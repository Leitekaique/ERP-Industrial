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Meu Drive\Fluxo de caixa\"/>
    </mc:Choice>
  </mc:AlternateContent>
  <xr:revisionPtr revIDLastSave="0" documentId="13_ncr:1_{E92B7F76-A06D-450E-99DA-D42415D0F29A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2021" sheetId="1" r:id="rId1"/>
    <sheet name="2022-2023" sheetId="2" r:id="rId2"/>
    <sheet name="2024" sheetId="3" r:id="rId3"/>
    <sheet name="2025" sheetId="4" r:id="rId4"/>
    <sheet name="2026" sheetId="10" r:id="rId5"/>
    <sheet name="Planilha1" sheetId="11" r:id="rId6"/>
    <sheet name="Custos insumos" sheetId="5" r:id="rId7"/>
    <sheet name="Eficiencias" sheetId="6" r:id="rId8"/>
    <sheet name="Peletizar" sheetId="7" state="hidden" r:id="rId9"/>
    <sheet name="Flanelar" sheetId="8" state="hidden" r:id="rId10"/>
    <sheet name="Calandrar + Malha" sheetId="9" state="hidden" r:id="rId11"/>
  </sheets>
  <definedNames>
    <definedName name="_xlnm._FilterDatabase" localSheetId="2" hidden="1">'2024'!$B$1:$N$184</definedName>
    <definedName name="_xlnm._FilterDatabase" localSheetId="3" hidden="1">'2025'!$B$1:$N$233</definedName>
    <definedName name="_xlnm._FilterDatabase" localSheetId="4" hidden="1">'2026'!$A$1:$V$213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rCblHAv2AHmMOnOcHcDXIR+X5zlaxO+otQpXP5RxQeI="/>
    </ext>
  </extLst>
</workbook>
</file>

<file path=xl/calcChain.xml><?xml version="1.0" encoding="utf-8"?>
<calcChain xmlns="http://schemas.openxmlformats.org/spreadsheetml/2006/main">
  <c r="T31" i="10" l="1" a="1"/>
  <c r="T31" i="10" s="1"/>
  <c r="T35" i="10" a="1"/>
  <c r="T35" i="10" s="1"/>
  <c r="M66" i="10"/>
  <c r="T66" i="10" a="1"/>
  <c r="T66" i="10" s="1"/>
  <c r="R66" i="10" a="1"/>
  <c r="R66" i="10" s="1"/>
  <c r="Q66" i="10" s="1"/>
  <c r="N66" i="10"/>
  <c r="L66" i="10" s="1"/>
  <c r="I66" i="10"/>
  <c r="M40" i="10"/>
  <c r="T40" i="10" a="1"/>
  <c r="T40" i="10" s="1"/>
  <c r="R40" i="10" a="1"/>
  <c r="R40" i="10" s="1"/>
  <c r="Q40" i="10" s="1"/>
  <c r="N40" i="10"/>
  <c r="I40" i="10"/>
  <c r="M41" i="10"/>
  <c r="N45" i="10"/>
  <c r="M45" i="10"/>
  <c r="M127" i="10"/>
  <c r="L11" i="5"/>
  <c r="M62" i="10" s="1"/>
  <c r="G62" i="10"/>
  <c r="N63" i="10"/>
  <c r="M63" i="10"/>
  <c r="T63" i="10" a="1"/>
  <c r="T63" i="10" s="1"/>
  <c r="T62" i="10" a="1"/>
  <c r="T62" i="10" s="1"/>
  <c r="G103" i="10"/>
  <c r="N103" i="10"/>
  <c r="N102" i="10"/>
  <c r="M103" i="10"/>
  <c r="T102" i="10" a="1"/>
  <c r="T102" i="10" s="1"/>
  <c r="R102" i="10" a="1"/>
  <c r="R102" i="10" s="1"/>
  <c r="Q102" i="10" s="1"/>
  <c r="M102" i="10"/>
  <c r="L102" i="10" s="1"/>
  <c r="I102" i="10"/>
  <c r="M193" i="10"/>
  <c r="T101" i="10" a="1"/>
  <c r="T101" i="10" s="1"/>
  <c r="R101" i="10" a="1"/>
  <c r="R101" i="10" s="1"/>
  <c r="Q101" i="10" s="1"/>
  <c r="N101" i="10"/>
  <c r="M101" i="10"/>
  <c r="I101" i="10"/>
  <c r="J33" i="5"/>
  <c r="M99" i="10"/>
  <c r="M98" i="10"/>
  <c r="J32" i="5"/>
  <c r="J31" i="5"/>
  <c r="T100" i="10" a="1"/>
  <c r="T100" i="10" s="1"/>
  <c r="R100" i="10" a="1"/>
  <c r="R100" i="10" s="1"/>
  <c r="Q100" i="10" s="1"/>
  <c r="I100" i="10"/>
  <c r="T98" i="10" a="1"/>
  <c r="T98" i="10" s="1"/>
  <c r="R98" i="10" a="1"/>
  <c r="R98" i="10" s="1"/>
  <c r="Q98" i="10" s="1"/>
  <c r="I98" i="10"/>
  <c r="T99" i="10" a="1"/>
  <c r="T99" i="10" s="1"/>
  <c r="R99" i="10" a="1"/>
  <c r="R99" i="10" s="1"/>
  <c r="Q99" i="10" s="1"/>
  <c r="I99" i="10"/>
  <c r="T159" i="10" a="1"/>
  <c r="T159" i="10" s="1"/>
  <c r="R159" i="10" a="1"/>
  <c r="R159" i="10" s="1"/>
  <c r="Q159" i="10" s="1"/>
  <c r="N159" i="10"/>
  <c r="M159" i="10"/>
  <c r="I159" i="10"/>
  <c r="I184" i="10"/>
  <c r="R184" i="10" a="1"/>
  <c r="R184" i="10" s="1"/>
  <c r="Q184" i="10" s="1"/>
  <c r="T179" i="10" a="1"/>
  <c r="T179" i="10" s="1"/>
  <c r="R179" i="10" a="1"/>
  <c r="R179" i="10" s="1"/>
  <c r="Q179" i="10" s="1"/>
  <c r="N179" i="10"/>
  <c r="L179" i="10" s="1"/>
  <c r="I179" i="10"/>
  <c r="T170" i="10" a="1"/>
  <c r="T170" i="10" s="1"/>
  <c r="R170" i="10" a="1"/>
  <c r="R170" i="10" s="1"/>
  <c r="Q170" i="10" s="1"/>
  <c r="N170" i="10"/>
  <c r="M170" i="10"/>
  <c r="I170" i="10"/>
  <c r="T169" i="10" a="1"/>
  <c r="T169" i="10" s="1"/>
  <c r="R169" i="10" a="1"/>
  <c r="R169" i="10" s="1"/>
  <c r="Q169" i="10" s="1"/>
  <c r="N169" i="10"/>
  <c r="M169" i="10"/>
  <c r="I169" i="10"/>
  <c r="I161" i="10"/>
  <c r="I165" i="10"/>
  <c r="I167" i="10"/>
  <c r="I157" i="10"/>
  <c r="T118" i="10" a="1"/>
  <c r="T118" i="10" s="1"/>
  <c r="R118" i="10" a="1"/>
  <c r="R118" i="10" s="1"/>
  <c r="Q118" i="10" s="1"/>
  <c r="I113" i="10"/>
  <c r="I114" i="10"/>
  <c r="I115" i="10"/>
  <c r="I116" i="10"/>
  <c r="I117" i="10"/>
  <c r="T108" i="10" a="1"/>
  <c r="T108" i="10" s="1"/>
  <c r="R108" i="10" a="1"/>
  <c r="R108" i="10" s="1"/>
  <c r="Q108" i="10" s="1"/>
  <c r="N108" i="10"/>
  <c r="M108" i="10"/>
  <c r="I108" i="10"/>
  <c r="T107" i="10" a="1"/>
  <c r="T107" i="10" s="1"/>
  <c r="R107" i="10" a="1"/>
  <c r="R107" i="10" s="1"/>
  <c r="Q107" i="10" s="1"/>
  <c r="N107" i="10"/>
  <c r="M107" i="10"/>
  <c r="I107" i="10"/>
  <c r="I93" i="10"/>
  <c r="I78" i="10"/>
  <c r="R78" i="10" a="1"/>
  <c r="R78" i="10" s="1"/>
  <c r="T78" i="10" a="1"/>
  <c r="T78" i="10" s="1"/>
  <c r="R60" i="10" a="1"/>
  <c r="R60" i="10" s="1"/>
  <c r="I59" i="10"/>
  <c r="I57" i="10"/>
  <c r="I37" i="10"/>
  <c r="I36" i="10"/>
  <c r="I33" i="10"/>
  <c r="I32" i="10"/>
  <c r="I29" i="10"/>
  <c r="I28" i="10"/>
  <c r="I26" i="10"/>
  <c r="I27" i="10"/>
  <c r="I14" i="10"/>
  <c r="I15" i="10"/>
  <c r="I16" i="10"/>
  <c r="I17" i="10"/>
  <c r="I18" i="10"/>
  <c r="I19" i="10"/>
  <c r="I20" i="10"/>
  <c r="I12" i="10"/>
  <c r="I13" i="10"/>
  <c r="I9" i="10"/>
  <c r="I7" i="10"/>
  <c r="I5" i="10"/>
  <c r="I4" i="10"/>
  <c r="T4" i="10" a="1"/>
  <c r="T4" i="10" s="1"/>
  <c r="R4" i="10" a="1"/>
  <c r="R4" i="10" s="1"/>
  <c r="N4" i="10"/>
  <c r="M4" i="10"/>
  <c r="L2" i="10"/>
  <c r="I68" i="10"/>
  <c r="I84" i="10"/>
  <c r="I141" i="10"/>
  <c r="I200" i="10"/>
  <c r="F215" i="10"/>
  <c r="T213" i="10" a="1"/>
  <c r="T213" i="10" s="1"/>
  <c r="R213" i="10" a="1"/>
  <c r="R213" i="10" s="1"/>
  <c r="I213" i="10"/>
  <c r="T212" i="10" a="1"/>
  <c r="T212" i="10" s="1"/>
  <c r="R212" i="10" a="1"/>
  <c r="R212" i="10" s="1"/>
  <c r="N212" i="10"/>
  <c r="M212" i="10"/>
  <c r="T211" i="10" a="1"/>
  <c r="T211" i="10" s="1"/>
  <c r="R211" i="10" a="1"/>
  <c r="R211" i="10" s="1"/>
  <c r="T210" i="10" a="1"/>
  <c r="T210" i="10" s="1"/>
  <c r="R210" i="10" a="1"/>
  <c r="R210" i="10" s="1"/>
  <c r="T209" i="10" a="1"/>
  <c r="T209" i="10" s="1"/>
  <c r="R209" i="10" a="1"/>
  <c r="R209" i="10" s="1"/>
  <c r="T208" i="10" a="1"/>
  <c r="T208" i="10" s="1"/>
  <c r="R208" i="10" a="1"/>
  <c r="R208" i="10" s="1"/>
  <c r="N208" i="10"/>
  <c r="M208" i="10"/>
  <c r="T207" i="10" a="1"/>
  <c r="T207" i="10" s="1"/>
  <c r="R207" i="10" a="1"/>
  <c r="R207" i="10" s="1"/>
  <c r="I207" i="10"/>
  <c r="R206" i="10" a="1"/>
  <c r="R206" i="10" s="1"/>
  <c r="Q206" i="10" s="1"/>
  <c r="O206" i="10" s="1"/>
  <c r="I206" i="10"/>
  <c r="T205" i="10" a="1"/>
  <c r="T205" i="10" s="1"/>
  <c r="R205" i="10" a="1"/>
  <c r="R205" i="10" s="1"/>
  <c r="Q205" i="10" s="1"/>
  <c r="O205" i="10" s="1"/>
  <c r="I205" i="10"/>
  <c r="T204" i="10" a="1"/>
  <c r="T204" i="10" s="1"/>
  <c r="R204" i="10" a="1"/>
  <c r="R204" i="10" s="1"/>
  <c r="Q204" i="10" s="1"/>
  <c r="I204" i="10"/>
  <c r="T203" i="10" a="1"/>
  <c r="T203" i="10" s="1"/>
  <c r="R203" i="10" a="1"/>
  <c r="R203" i="10" s="1"/>
  <c r="Q203" i="10" s="1"/>
  <c r="N203" i="10"/>
  <c r="I203" i="10"/>
  <c r="T202" i="10" a="1"/>
  <c r="T202" i="10" s="1"/>
  <c r="R202" i="10" a="1"/>
  <c r="R202" i="10" s="1"/>
  <c r="N202" i="10"/>
  <c r="T201" i="10" a="1"/>
  <c r="T201" i="10" s="1"/>
  <c r="R201" i="10" a="1"/>
  <c r="R201" i="10" s="1"/>
  <c r="N201" i="10"/>
  <c r="M201" i="10"/>
  <c r="T200" i="10" a="1"/>
  <c r="T200" i="10" s="1"/>
  <c r="R200" i="10" a="1"/>
  <c r="R200" i="10" s="1"/>
  <c r="N200" i="10"/>
  <c r="M200" i="10"/>
  <c r="T199" i="10" a="1"/>
  <c r="T199" i="10" s="1"/>
  <c r="R199" i="10" a="1"/>
  <c r="R199" i="10" s="1"/>
  <c r="Q199" i="10" s="1"/>
  <c r="O199" i="10" s="1"/>
  <c r="N199" i="10"/>
  <c r="M199" i="10"/>
  <c r="I199" i="10"/>
  <c r="T198" i="10" a="1"/>
  <c r="T198" i="10" s="1"/>
  <c r="R198" i="10" a="1"/>
  <c r="R198" i="10" s="1"/>
  <c r="N198" i="10"/>
  <c r="M198" i="10"/>
  <c r="T197" i="10" a="1"/>
  <c r="T197" i="10" s="1"/>
  <c r="R197" i="10" a="1"/>
  <c r="R197" i="10" s="1"/>
  <c r="N197" i="10"/>
  <c r="M197" i="10"/>
  <c r="T196" i="10" a="1"/>
  <c r="T196" i="10" s="1"/>
  <c r="R196" i="10" a="1"/>
  <c r="R196" i="10" s="1"/>
  <c r="N196" i="10"/>
  <c r="M196" i="10"/>
  <c r="T195" i="10" a="1"/>
  <c r="T195" i="10" s="1"/>
  <c r="R195" i="10" a="1"/>
  <c r="R195" i="10" s="1"/>
  <c r="I195" i="10"/>
  <c r="T194" i="10" a="1"/>
  <c r="T194" i="10" s="1"/>
  <c r="R194" i="10" a="1"/>
  <c r="R194" i="10" s="1"/>
  <c r="Q194" i="10" s="1"/>
  <c r="N194" i="10"/>
  <c r="I194" i="10"/>
  <c r="T193" i="10" a="1"/>
  <c r="T193" i="10" s="1"/>
  <c r="R193" i="10" a="1"/>
  <c r="R193" i="10" s="1"/>
  <c r="Q193" i="10" s="1"/>
  <c r="I193" i="10"/>
  <c r="T192" i="10" a="1"/>
  <c r="T192" i="10" s="1"/>
  <c r="R192" i="10" a="1"/>
  <c r="R192" i="10" s="1"/>
  <c r="Q192" i="10" s="1"/>
  <c r="N192" i="10"/>
  <c r="M192" i="10"/>
  <c r="I192" i="10"/>
  <c r="T191" i="10" a="1"/>
  <c r="T191" i="10" s="1"/>
  <c r="R191" i="10" a="1"/>
  <c r="R191" i="10" s="1"/>
  <c r="Q191" i="10" s="1"/>
  <c r="N191" i="10"/>
  <c r="I191" i="10"/>
  <c r="T190" i="10" a="1"/>
  <c r="T190" i="10" s="1"/>
  <c r="R190" i="10" a="1"/>
  <c r="R190" i="10" s="1"/>
  <c r="Q190" i="10" s="1"/>
  <c r="I190" i="10"/>
  <c r="T189" i="10" a="1"/>
  <c r="T189" i="10" s="1"/>
  <c r="R189" i="10" a="1"/>
  <c r="R189" i="10" s="1"/>
  <c r="Q189" i="10" s="1"/>
  <c r="N189" i="10"/>
  <c r="I189" i="10"/>
  <c r="T188" i="10" a="1"/>
  <c r="T188" i="10" s="1"/>
  <c r="R188" i="10" a="1"/>
  <c r="R188" i="10" s="1"/>
  <c r="Q188" i="10" s="1"/>
  <c r="N188" i="10"/>
  <c r="L188" i="10" s="1"/>
  <c r="I188" i="10"/>
  <c r="T187" i="10" a="1"/>
  <c r="T187" i="10" s="1"/>
  <c r="R187" i="10" a="1"/>
  <c r="R187" i="10" s="1"/>
  <c r="N187" i="10"/>
  <c r="I187" i="10"/>
  <c r="T186" i="10" a="1"/>
  <c r="T186" i="10" s="1"/>
  <c r="R186" i="10" a="1"/>
  <c r="R186" i="10" s="1"/>
  <c r="Q186" i="10" s="1"/>
  <c r="N186" i="10"/>
  <c r="I186" i="10"/>
  <c r="T185" i="10" a="1"/>
  <c r="T185" i="10" s="1"/>
  <c r="R185" i="10" a="1"/>
  <c r="R185" i="10" s="1"/>
  <c r="Q185" i="10" s="1"/>
  <c r="N185" i="10"/>
  <c r="M185" i="10"/>
  <c r="I185" i="10"/>
  <c r="T184" i="10" a="1"/>
  <c r="T184" i="10" s="1"/>
  <c r="T183" i="10" a="1"/>
  <c r="T183" i="10" s="1"/>
  <c r="R183" i="10" a="1"/>
  <c r="R183" i="10" s="1"/>
  <c r="N183" i="10"/>
  <c r="M183" i="10"/>
  <c r="T182" i="10" a="1"/>
  <c r="T182" i="10" s="1"/>
  <c r="R182" i="10" a="1"/>
  <c r="R182" i="10" s="1"/>
  <c r="N182" i="10"/>
  <c r="M182" i="10"/>
  <c r="T181" i="10" a="1"/>
  <c r="T181" i="10" s="1"/>
  <c r="R181" i="10" a="1"/>
  <c r="R181" i="10" s="1"/>
  <c r="Q181" i="10" s="1"/>
  <c r="I181" i="10"/>
  <c r="T180" i="10" a="1"/>
  <c r="T180" i="10" s="1"/>
  <c r="R180" i="10" a="1"/>
  <c r="R180" i="10" s="1"/>
  <c r="Q180" i="10" s="1"/>
  <c r="I180" i="10"/>
  <c r="T178" i="10" a="1"/>
  <c r="T178" i="10" s="1"/>
  <c r="R178" i="10" a="1"/>
  <c r="R178" i="10" s="1"/>
  <c r="N178" i="10"/>
  <c r="M178" i="10"/>
  <c r="T177" i="10" a="1"/>
  <c r="T177" i="10" s="1"/>
  <c r="R177" i="10" a="1"/>
  <c r="R177" i="10" s="1"/>
  <c r="N177" i="10"/>
  <c r="M177" i="10"/>
  <c r="T176" i="10" a="1"/>
  <c r="T176" i="10" s="1"/>
  <c r="L176" i="10"/>
  <c r="T175" i="10" a="1"/>
  <c r="T175" i="10" s="1"/>
  <c r="L175" i="10"/>
  <c r="T174" i="10" a="1"/>
  <c r="T174" i="10" s="1"/>
  <c r="R174" i="10" a="1"/>
  <c r="R174" i="10" s="1"/>
  <c r="N174" i="10"/>
  <c r="M174" i="10"/>
  <c r="T173" i="10" a="1"/>
  <c r="T173" i="10" s="1"/>
  <c r="R173" i="10" a="1"/>
  <c r="R173" i="10" s="1"/>
  <c r="N173" i="10"/>
  <c r="M173" i="10"/>
  <c r="T172" i="10" a="1"/>
  <c r="T172" i="10" s="1"/>
  <c r="R172" i="10" a="1"/>
  <c r="R172" i="10" s="1"/>
  <c r="T171" i="10" a="1"/>
  <c r="T171" i="10" s="1"/>
  <c r="R171" i="10" a="1"/>
  <c r="R171" i="10" s="1"/>
  <c r="Q171" i="10" s="1"/>
  <c r="N171" i="10"/>
  <c r="M171" i="10"/>
  <c r="I171" i="10"/>
  <c r="T168" i="10" a="1"/>
  <c r="T168" i="10" s="1"/>
  <c r="R168" i="10" a="1"/>
  <c r="R168" i="10" s="1"/>
  <c r="N168" i="10"/>
  <c r="M168" i="10"/>
  <c r="T167" i="10" a="1"/>
  <c r="T167" i="10" s="1"/>
  <c r="R167" i="10" a="1"/>
  <c r="R167" i="10" s="1"/>
  <c r="N167" i="10"/>
  <c r="M167" i="10"/>
  <c r="T166" i="10" a="1"/>
  <c r="T166" i="10" s="1"/>
  <c r="R166" i="10" a="1"/>
  <c r="R166" i="10" s="1"/>
  <c r="N166" i="10"/>
  <c r="M166" i="10"/>
  <c r="T165" i="10" a="1"/>
  <c r="T165" i="10" s="1"/>
  <c r="R165" i="10" a="1"/>
  <c r="R165" i="10" s="1"/>
  <c r="N165" i="10"/>
  <c r="M165" i="10"/>
  <c r="T164" i="10" a="1"/>
  <c r="T164" i="10" s="1"/>
  <c r="R164" i="10" a="1"/>
  <c r="R164" i="10" s="1"/>
  <c r="N164" i="10"/>
  <c r="M164" i="10"/>
  <c r="T163" i="10" a="1"/>
  <c r="T163" i="10" s="1"/>
  <c r="R163" i="10" a="1"/>
  <c r="R163" i="10" s="1"/>
  <c r="N163" i="10"/>
  <c r="M163" i="10"/>
  <c r="T162" i="10" a="1"/>
  <c r="T162" i="10" s="1"/>
  <c r="R162" i="10" a="1"/>
  <c r="R162" i="10" s="1"/>
  <c r="N162" i="10"/>
  <c r="M162" i="10"/>
  <c r="T161" i="10" a="1"/>
  <c r="T161" i="10" s="1"/>
  <c r="R161" i="10" a="1"/>
  <c r="R161" i="10" s="1"/>
  <c r="N161" i="10"/>
  <c r="M161" i="10"/>
  <c r="T160" i="10" a="1"/>
  <c r="T160" i="10" s="1"/>
  <c r="R160" i="10" a="1"/>
  <c r="R160" i="10" s="1"/>
  <c r="N160" i="10"/>
  <c r="M160" i="10"/>
  <c r="T158" i="10" a="1"/>
  <c r="T158" i="10" s="1"/>
  <c r="R158" i="10" a="1"/>
  <c r="R158" i="10" s="1"/>
  <c r="N158" i="10"/>
  <c r="M158" i="10"/>
  <c r="T157" i="10" a="1"/>
  <c r="T157" i="10" s="1"/>
  <c r="R157" i="10" a="1"/>
  <c r="R157" i="10" s="1"/>
  <c r="N157" i="10"/>
  <c r="M157" i="10"/>
  <c r="T155" i="10" a="1"/>
  <c r="T155" i="10" s="1"/>
  <c r="R155" i="10" a="1"/>
  <c r="R155" i="10" s="1"/>
  <c r="T154" i="10" a="1"/>
  <c r="T154" i="10" s="1"/>
  <c r="R154" i="10" a="1"/>
  <c r="R154" i="10" s="1"/>
  <c r="N154" i="10"/>
  <c r="M154" i="10"/>
  <c r="I154" i="10"/>
  <c r="T153" i="10" a="1"/>
  <c r="T153" i="10" s="1"/>
  <c r="R153" i="10" a="1"/>
  <c r="R153" i="10" s="1"/>
  <c r="N153" i="10"/>
  <c r="T152" i="10" a="1"/>
  <c r="T152" i="10" s="1"/>
  <c r="R152" i="10" a="1"/>
  <c r="R152" i="10" s="1"/>
  <c r="N152" i="10"/>
  <c r="M152" i="10"/>
  <c r="I152" i="10"/>
  <c r="T151" i="10" a="1"/>
  <c r="T151" i="10" s="1"/>
  <c r="R151" i="10" a="1"/>
  <c r="R151" i="10" s="1"/>
  <c r="Q151" i="10" s="1"/>
  <c r="N151" i="10"/>
  <c r="M151" i="10"/>
  <c r="I151" i="10"/>
  <c r="T150" i="10" a="1"/>
  <c r="T150" i="10" s="1"/>
  <c r="R150" i="10" a="1"/>
  <c r="R150" i="10" s="1"/>
  <c r="Q150" i="10" s="1"/>
  <c r="N150" i="10"/>
  <c r="M150" i="10"/>
  <c r="I150" i="10"/>
  <c r="T149" i="10" a="1"/>
  <c r="T149" i="10" s="1"/>
  <c r="R149" i="10" a="1"/>
  <c r="R149" i="10" s="1"/>
  <c r="T148" i="10" a="1"/>
  <c r="T148" i="10" s="1"/>
  <c r="R148" i="10" a="1"/>
  <c r="R148" i="10" s="1"/>
  <c r="T147" i="10" a="1"/>
  <c r="T147" i="10" s="1"/>
  <c r="R147" i="10" a="1"/>
  <c r="R147" i="10" s="1"/>
  <c r="N147" i="10"/>
  <c r="M147" i="10"/>
  <c r="T146" i="10" a="1"/>
  <c r="T146" i="10" s="1"/>
  <c r="R146" i="10" a="1"/>
  <c r="R146" i="10" s="1"/>
  <c r="N146" i="10"/>
  <c r="T145" i="10" a="1"/>
  <c r="T145" i="10" s="1"/>
  <c r="R145" i="10" a="1"/>
  <c r="R145" i="10" s="1"/>
  <c r="N145" i="10"/>
  <c r="M145" i="10"/>
  <c r="T144" i="10" a="1"/>
  <c r="T144" i="10" s="1"/>
  <c r="R144" i="10" a="1"/>
  <c r="R144" i="10" s="1"/>
  <c r="N144" i="10"/>
  <c r="M144" i="10"/>
  <c r="T143" i="10" a="1"/>
  <c r="T143" i="10" s="1"/>
  <c r="R143" i="10" a="1"/>
  <c r="R143" i="10" s="1"/>
  <c r="N143" i="10"/>
  <c r="M143" i="10"/>
  <c r="T142" i="10" a="1"/>
  <c r="T142" i="10" s="1"/>
  <c r="R142" i="10" a="1"/>
  <c r="R142" i="10" s="1"/>
  <c r="M142" i="10"/>
  <c r="T141" i="10" a="1"/>
  <c r="T141" i="10" s="1"/>
  <c r="R141" i="10" a="1"/>
  <c r="R141" i="10" s="1"/>
  <c r="N141" i="10"/>
  <c r="T140" i="10" a="1"/>
  <c r="T140" i="10" s="1"/>
  <c r="R140" i="10" a="1"/>
  <c r="R140" i="10" s="1"/>
  <c r="N140" i="10"/>
  <c r="I140" i="10"/>
  <c r="T139" i="10" a="1"/>
  <c r="T139" i="10" s="1"/>
  <c r="R139" i="10" a="1"/>
  <c r="R139" i="10" s="1"/>
  <c r="Q139" i="10" s="1"/>
  <c r="I139" i="10"/>
  <c r="T138" i="10" a="1"/>
  <c r="T138" i="10" s="1"/>
  <c r="R138" i="10" a="1"/>
  <c r="R138" i="10" s="1"/>
  <c r="N138" i="10"/>
  <c r="M138" i="10"/>
  <c r="T137" i="10" a="1"/>
  <c r="T137" i="10" s="1"/>
  <c r="R137" i="10" a="1"/>
  <c r="R137" i="10" s="1"/>
  <c r="N137" i="10"/>
  <c r="M137" i="10"/>
  <c r="I137" i="10"/>
  <c r="T136" i="10" a="1"/>
  <c r="T136" i="10" s="1"/>
  <c r="R136" i="10" a="1"/>
  <c r="R136" i="10" s="1"/>
  <c r="Q136" i="10" s="1"/>
  <c r="I136" i="10"/>
  <c r="T135" i="10" a="1"/>
  <c r="T135" i="10" s="1"/>
  <c r="R135" i="10" a="1"/>
  <c r="R135" i="10" s="1"/>
  <c r="Q135" i="10" s="1"/>
  <c r="N135" i="10"/>
  <c r="I135" i="10"/>
  <c r="T134" i="10" a="1"/>
  <c r="T134" i="10" s="1"/>
  <c r="R134" i="10" a="1"/>
  <c r="R134" i="10" s="1"/>
  <c r="N134" i="10"/>
  <c r="M134" i="10"/>
  <c r="T133" i="10" a="1"/>
  <c r="T133" i="10" s="1"/>
  <c r="R133" i="10" a="1"/>
  <c r="R133" i="10" s="1"/>
  <c r="N133" i="10"/>
  <c r="T132" i="10" a="1"/>
  <c r="T132" i="10" s="1"/>
  <c r="R132" i="10" a="1"/>
  <c r="R132" i="10" s="1"/>
  <c r="M132" i="10"/>
  <c r="T131" i="10" a="1"/>
  <c r="T131" i="10" s="1"/>
  <c r="R131" i="10" a="1"/>
  <c r="R131" i="10" s="1"/>
  <c r="N131" i="10"/>
  <c r="M131" i="10"/>
  <c r="I130" i="10"/>
  <c r="N128" i="10"/>
  <c r="M128" i="10"/>
  <c r="N127" i="10"/>
  <c r="T126" i="10" a="1"/>
  <c r="T126" i="10" s="1"/>
  <c r="N126" i="10"/>
  <c r="M126" i="10"/>
  <c r="T125" i="10" a="1"/>
  <c r="T125" i="10" s="1"/>
  <c r="R125" i="10" a="1"/>
  <c r="R125" i="10" s="1"/>
  <c r="N125" i="10"/>
  <c r="M125" i="10"/>
  <c r="T124" i="10" a="1"/>
  <c r="T124" i="10" s="1"/>
  <c r="R124" i="10" a="1"/>
  <c r="R124" i="10" s="1"/>
  <c r="N124" i="10"/>
  <c r="M124" i="10"/>
  <c r="T123" i="10" a="1"/>
  <c r="T123" i="10" s="1"/>
  <c r="R123" i="10" a="1"/>
  <c r="R123" i="10" s="1"/>
  <c r="N123" i="10"/>
  <c r="M123" i="10"/>
  <c r="T122" i="10" a="1"/>
  <c r="T122" i="10" s="1"/>
  <c r="R122" i="10" a="1"/>
  <c r="R122" i="10" s="1"/>
  <c r="M122" i="10"/>
  <c r="T121" i="10" a="1"/>
  <c r="T121" i="10" s="1"/>
  <c r="R121" i="10" a="1"/>
  <c r="R121" i="10" s="1"/>
  <c r="T120" i="10" a="1"/>
  <c r="T120" i="10" s="1"/>
  <c r="R120" i="10" a="1"/>
  <c r="R120" i="10" s="1"/>
  <c r="M120" i="10"/>
  <c r="T119" i="10" a="1"/>
  <c r="T119" i="10" s="1"/>
  <c r="R119" i="10" a="1"/>
  <c r="R119" i="10" s="1"/>
  <c r="Q119" i="10" s="1"/>
  <c r="T117" i="10" a="1"/>
  <c r="T117" i="10" s="1"/>
  <c r="R117" i="10" a="1"/>
  <c r="R117" i="10" s="1"/>
  <c r="T116" i="10" a="1"/>
  <c r="T116" i="10" s="1"/>
  <c r="R116" i="10" a="1"/>
  <c r="R116" i="10" s="1"/>
  <c r="T115" i="10" a="1"/>
  <c r="T115" i="10" s="1"/>
  <c r="R115" i="10" a="1"/>
  <c r="R115" i="10" s="1"/>
  <c r="N115" i="10"/>
  <c r="T114" i="10" a="1"/>
  <c r="T114" i="10" s="1"/>
  <c r="R114" i="10" a="1"/>
  <c r="R114" i="10" s="1"/>
  <c r="N114" i="10"/>
  <c r="T113" i="10" a="1"/>
  <c r="T113" i="10" s="1"/>
  <c r="R113" i="10" a="1"/>
  <c r="R113" i="10" s="1"/>
  <c r="N113" i="10"/>
  <c r="T112" i="10" a="1"/>
  <c r="T112" i="10" s="1"/>
  <c r="R112" i="10" a="1"/>
  <c r="R112" i="10" s="1"/>
  <c r="N112" i="10"/>
  <c r="T111" i="10" a="1"/>
  <c r="T111" i="10" s="1"/>
  <c r="R111" i="10" a="1"/>
  <c r="R111" i="10" s="1"/>
  <c r="N111" i="10"/>
  <c r="M111" i="10"/>
  <c r="T110" i="10" a="1"/>
  <c r="T110" i="10" s="1"/>
  <c r="R110" i="10" a="1"/>
  <c r="R110" i="10" s="1"/>
  <c r="Q110" i="10" s="1"/>
  <c r="N110" i="10"/>
  <c r="M110" i="10"/>
  <c r="I110" i="10"/>
  <c r="T109" i="10" a="1"/>
  <c r="T109" i="10" s="1"/>
  <c r="R109" i="10" a="1"/>
  <c r="R109" i="10" s="1"/>
  <c r="Q109" i="10" s="1"/>
  <c r="N109" i="10"/>
  <c r="M109" i="10"/>
  <c r="I109" i="10"/>
  <c r="T106" i="10" a="1"/>
  <c r="T106" i="10" s="1"/>
  <c r="R106" i="10" a="1"/>
  <c r="R106" i="10" s="1"/>
  <c r="Q106" i="10" s="1"/>
  <c r="L106" i="10"/>
  <c r="I106" i="10"/>
  <c r="T105" i="10" a="1"/>
  <c r="T105" i="10" s="1"/>
  <c r="R105" i="10" a="1"/>
  <c r="R105" i="10" s="1"/>
  <c r="T104" i="10" a="1"/>
  <c r="T104" i="10" s="1"/>
  <c r="R104" i="10" a="1"/>
  <c r="R104" i="10" s="1"/>
  <c r="N104" i="10"/>
  <c r="M104" i="10"/>
  <c r="T103" i="10" a="1"/>
  <c r="T103" i="10" s="1"/>
  <c r="R103" i="10" a="1"/>
  <c r="R103" i="10" s="1"/>
  <c r="T97" i="10" a="1"/>
  <c r="T97" i="10" s="1"/>
  <c r="R97" i="10" a="1"/>
  <c r="R97" i="10" s="1"/>
  <c r="N97" i="10"/>
  <c r="T96" i="10" a="1"/>
  <c r="T96" i="10" s="1"/>
  <c r="R96" i="10" a="1"/>
  <c r="R96" i="10" s="1"/>
  <c r="Q96" i="10" s="1"/>
  <c r="N96" i="10"/>
  <c r="M96" i="10"/>
  <c r="I96" i="10"/>
  <c r="T95" i="10" a="1"/>
  <c r="T95" i="10" s="1"/>
  <c r="R95" i="10" a="1"/>
  <c r="R95" i="10" s="1"/>
  <c r="N95" i="10"/>
  <c r="M95" i="10"/>
  <c r="T94" i="10" a="1"/>
  <c r="T94" i="10" s="1"/>
  <c r="R94" i="10" a="1"/>
  <c r="R94" i="10" s="1"/>
  <c r="T93" i="10" a="1"/>
  <c r="T93" i="10" s="1"/>
  <c r="R93" i="10" a="1"/>
  <c r="R93" i="10" s="1"/>
  <c r="Q93" i="10" s="1"/>
  <c r="T92" i="10" a="1"/>
  <c r="T92" i="10" s="1"/>
  <c r="R92" i="10" a="1"/>
  <c r="R92" i="10" s="1"/>
  <c r="N92" i="10"/>
  <c r="M92" i="10"/>
  <c r="T91" i="10" a="1"/>
  <c r="T91" i="10" s="1"/>
  <c r="R91" i="10" a="1"/>
  <c r="R91" i="10" s="1"/>
  <c r="Q91" i="10" s="1"/>
  <c r="T90" i="10" a="1"/>
  <c r="T90" i="10" s="1"/>
  <c r="R90" i="10" a="1"/>
  <c r="R90" i="10" s="1"/>
  <c r="Q90" i="10" s="1"/>
  <c r="T89" i="10" a="1"/>
  <c r="T89" i="10" s="1"/>
  <c r="R89" i="10" a="1"/>
  <c r="R89" i="10" s="1"/>
  <c r="N89" i="10"/>
  <c r="M89" i="10"/>
  <c r="T88" i="10" a="1"/>
  <c r="T88" i="10" s="1"/>
  <c r="R88" i="10" a="1"/>
  <c r="R88" i="10" s="1"/>
  <c r="Q88" i="10" s="1"/>
  <c r="I88" i="10"/>
  <c r="T87" i="10" a="1"/>
  <c r="T87" i="10" s="1"/>
  <c r="R87" i="10" a="1"/>
  <c r="R87" i="10" s="1"/>
  <c r="Q87" i="10" s="1"/>
  <c r="I87" i="10"/>
  <c r="T86" i="10" a="1"/>
  <c r="T86" i="10" s="1"/>
  <c r="R86" i="10" a="1"/>
  <c r="R86" i="10" s="1"/>
  <c r="N86" i="10"/>
  <c r="I86" i="10"/>
  <c r="T85" i="10" a="1"/>
  <c r="T85" i="10" s="1"/>
  <c r="R85" i="10" a="1"/>
  <c r="R85" i="10" s="1"/>
  <c r="N85" i="10"/>
  <c r="M85" i="10"/>
  <c r="T84" i="10" a="1"/>
  <c r="T84" i="10" s="1"/>
  <c r="R84" i="10" a="1"/>
  <c r="R84" i="10" s="1"/>
  <c r="N84" i="10"/>
  <c r="M84" i="10"/>
  <c r="T83" i="10" a="1"/>
  <c r="T83" i="10" s="1"/>
  <c r="R83" i="10" a="1"/>
  <c r="R83" i="10" s="1"/>
  <c r="N83" i="10"/>
  <c r="M83" i="10"/>
  <c r="T82" i="10" a="1"/>
  <c r="T82" i="10" s="1"/>
  <c r="R82" i="10" a="1"/>
  <c r="R82" i="10" s="1"/>
  <c r="N82" i="10"/>
  <c r="M82" i="10"/>
  <c r="I82" i="10"/>
  <c r="T81" i="10" a="1"/>
  <c r="T81" i="10" s="1"/>
  <c r="R81" i="10" a="1"/>
  <c r="R81" i="10" s="1"/>
  <c r="N81" i="10"/>
  <c r="M81" i="10"/>
  <c r="T80" i="10" a="1"/>
  <c r="T80" i="10" s="1"/>
  <c r="R80" i="10" a="1"/>
  <c r="R80" i="10" s="1"/>
  <c r="N80" i="10"/>
  <c r="M80" i="10"/>
  <c r="T79" i="10" a="1"/>
  <c r="T79" i="10" s="1"/>
  <c r="R79" i="10" a="1"/>
  <c r="R79" i="10" s="1"/>
  <c r="T77" i="10" a="1"/>
  <c r="T77" i="10" s="1"/>
  <c r="R77" i="10" a="1"/>
  <c r="R77" i="10" s="1"/>
  <c r="T76" i="10" a="1"/>
  <c r="T76" i="10" s="1"/>
  <c r="R76" i="10" a="1"/>
  <c r="R76" i="10" s="1"/>
  <c r="N76" i="10"/>
  <c r="M76" i="10"/>
  <c r="T75" i="10" a="1"/>
  <c r="T75" i="10" s="1"/>
  <c r="R75" i="10" a="1"/>
  <c r="R75" i="10" s="1"/>
  <c r="T74" i="10" a="1"/>
  <c r="T74" i="10" s="1"/>
  <c r="R74" i="10" a="1"/>
  <c r="R74" i="10" s="1"/>
  <c r="N74" i="10"/>
  <c r="M74" i="10"/>
  <c r="T73" i="10" a="1"/>
  <c r="T73" i="10" s="1"/>
  <c r="R73" i="10" a="1"/>
  <c r="R73" i="10" s="1"/>
  <c r="M73" i="10"/>
  <c r="T72" i="10" a="1"/>
  <c r="T72" i="10" s="1"/>
  <c r="R72" i="10" a="1"/>
  <c r="R72" i="10" s="1"/>
  <c r="N72" i="10"/>
  <c r="M72" i="10"/>
  <c r="T71" i="10" a="1"/>
  <c r="T71" i="10" s="1"/>
  <c r="R71" i="10" a="1"/>
  <c r="R71" i="10" s="1"/>
  <c r="N71" i="10"/>
  <c r="M71" i="10"/>
  <c r="T70" i="10" a="1"/>
  <c r="T70" i="10" s="1"/>
  <c r="R70" i="10" a="1"/>
  <c r="R70" i="10" s="1"/>
  <c r="N70" i="10"/>
  <c r="M70" i="10"/>
  <c r="I70" i="10"/>
  <c r="T69" i="10" a="1"/>
  <c r="T69" i="10" s="1"/>
  <c r="R69" i="10" a="1"/>
  <c r="R69" i="10" s="1"/>
  <c r="N69" i="10"/>
  <c r="M69" i="10"/>
  <c r="I69" i="10"/>
  <c r="T68" i="10" a="1"/>
  <c r="T68" i="10" s="1"/>
  <c r="R68" i="10" a="1"/>
  <c r="R68" i="10" s="1"/>
  <c r="N68" i="10"/>
  <c r="M68" i="10"/>
  <c r="T67" i="10" a="1"/>
  <c r="T67" i="10" s="1"/>
  <c r="R67" i="10" a="1"/>
  <c r="R67" i="10" s="1"/>
  <c r="N67" i="10"/>
  <c r="T65" i="10" a="1"/>
  <c r="T65" i="10" s="1"/>
  <c r="R65" i="10" a="1"/>
  <c r="R65" i="10" s="1"/>
  <c r="N65" i="10"/>
  <c r="M65" i="10"/>
  <c r="T64" i="10" a="1"/>
  <c r="T64" i="10" s="1"/>
  <c r="R64" i="10" a="1"/>
  <c r="R64" i="10" s="1"/>
  <c r="N64" i="10"/>
  <c r="M64" i="10"/>
  <c r="T61" i="10" a="1"/>
  <c r="T61" i="10" s="1"/>
  <c r="R61" i="10" a="1"/>
  <c r="R61" i="10" s="1"/>
  <c r="Q61" i="10" s="1"/>
  <c r="N61" i="10"/>
  <c r="I61" i="10"/>
  <c r="T60" i="10" a="1"/>
  <c r="T60" i="10" s="1"/>
  <c r="T59" i="10" a="1"/>
  <c r="T59" i="10" s="1"/>
  <c r="R59" i="10" a="1"/>
  <c r="R59" i="10" s="1"/>
  <c r="N59" i="10"/>
  <c r="M59" i="10"/>
  <c r="T58" i="10" a="1"/>
  <c r="T58" i="10" s="1"/>
  <c r="R58" i="10" a="1"/>
  <c r="R58" i="10" s="1"/>
  <c r="Q58" i="10" s="1"/>
  <c r="N58" i="10"/>
  <c r="M58" i="10"/>
  <c r="I58" i="10"/>
  <c r="T57" i="10" a="1"/>
  <c r="T57" i="10" s="1"/>
  <c r="R57" i="10" a="1"/>
  <c r="R57" i="10" s="1"/>
  <c r="N57" i="10"/>
  <c r="M57" i="10"/>
  <c r="T56" i="10" a="1"/>
  <c r="T56" i="10" s="1"/>
  <c r="R56" i="10" a="1"/>
  <c r="R56" i="10" s="1"/>
  <c r="T55" i="10" a="1"/>
  <c r="T55" i="10" s="1"/>
  <c r="R55" i="10" a="1"/>
  <c r="R55" i="10" s="1"/>
  <c r="N55" i="10"/>
  <c r="M55" i="10"/>
  <c r="T54" i="10" a="1"/>
  <c r="T54" i="10" s="1"/>
  <c r="R54" i="10" a="1"/>
  <c r="R54" i="10" s="1"/>
  <c r="N54" i="10"/>
  <c r="M54" i="10"/>
  <c r="T53" i="10" a="1"/>
  <c r="T53" i="10" s="1"/>
  <c r="R53" i="10" a="1"/>
  <c r="R53" i="10" s="1"/>
  <c r="T52" i="10" a="1"/>
  <c r="T52" i="10" s="1"/>
  <c r="R52" i="10" a="1"/>
  <c r="R52" i="10" s="1"/>
  <c r="N52" i="10"/>
  <c r="M52" i="10"/>
  <c r="T51" i="10" a="1"/>
  <c r="T51" i="10" s="1"/>
  <c r="R51" i="10" a="1"/>
  <c r="R51" i="10" s="1"/>
  <c r="N51" i="10"/>
  <c r="M51" i="10"/>
  <c r="T50" i="10" a="1"/>
  <c r="T50" i="10" s="1"/>
  <c r="R50" i="10" a="1"/>
  <c r="R50" i="10" s="1"/>
  <c r="N50" i="10"/>
  <c r="M50" i="10"/>
  <c r="T49" i="10" a="1"/>
  <c r="T49" i="10" s="1"/>
  <c r="R49" i="10" a="1"/>
  <c r="R49" i="10" s="1"/>
  <c r="N49" i="10"/>
  <c r="M49" i="10"/>
  <c r="T48" i="10" a="1"/>
  <c r="T48" i="10" s="1"/>
  <c r="R48" i="10" a="1"/>
  <c r="R48" i="10" s="1"/>
  <c r="N48" i="10"/>
  <c r="M48" i="10"/>
  <c r="T47" i="10" a="1"/>
  <c r="T47" i="10" s="1"/>
  <c r="R47" i="10" a="1"/>
  <c r="R47" i="10" s="1"/>
  <c r="N47" i="10"/>
  <c r="M47" i="10"/>
  <c r="T46" i="10" a="1"/>
  <c r="T46" i="10" s="1"/>
  <c r="R46" i="10" a="1"/>
  <c r="R46" i="10" s="1"/>
  <c r="N46" i="10"/>
  <c r="I46" i="10"/>
  <c r="T45" i="10" a="1"/>
  <c r="T45" i="10" s="1"/>
  <c r="R45" i="10" a="1"/>
  <c r="R45" i="10" s="1"/>
  <c r="I45" i="10"/>
  <c r="T44" i="10" a="1"/>
  <c r="T44" i="10" s="1"/>
  <c r="R44" i="10" a="1"/>
  <c r="R44" i="10" s="1"/>
  <c r="I44" i="10"/>
  <c r="T43" i="10" a="1"/>
  <c r="T43" i="10" s="1"/>
  <c r="R43" i="10" a="1"/>
  <c r="R43" i="10" s="1"/>
  <c r="I43" i="10"/>
  <c r="T42" i="10" a="1"/>
  <c r="T42" i="10" s="1"/>
  <c r="R42" i="10" a="1"/>
  <c r="R42" i="10" s="1"/>
  <c r="N42" i="10"/>
  <c r="I42" i="10"/>
  <c r="T41" i="10" a="1"/>
  <c r="T41" i="10" s="1"/>
  <c r="R41" i="10" a="1"/>
  <c r="R41" i="10" s="1"/>
  <c r="Q41" i="10" s="1"/>
  <c r="N41" i="10"/>
  <c r="I41" i="10"/>
  <c r="T39" i="10" a="1"/>
  <c r="T39" i="10" s="1"/>
  <c r="R39" i="10" a="1"/>
  <c r="R39" i="10" s="1"/>
  <c r="N39" i="10"/>
  <c r="M39" i="10"/>
  <c r="I39" i="10"/>
  <c r="T38" i="10" a="1"/>
  <c r="T38" i="10" s="1"/>
  <c r="R38" i="10" a="1"/>
  <c r="R38" i="10" s="1"/>
  <c r="N38" i="10"/>
  <c r="M38" i="10"/>
  <c r="T37" i="10" a="1"/>
  <c r="T37" i="10" s="1"/>
  <c r="R37" i="10" a="1"/>
  <c r="R37" i="10" s="1"/>
  <c r="N37" i="10"/>
  <c r="T36" i="10" a="1"/>
  <c r="T36" i="10" s="1"/>
  <c r="R36" i="10" a="1"/>
  <c r="R36" i="10" s="1"/>
  <c r="N36" i="10"/>
  <c r="T34" i="10" a="1"/>
  <c r="T34" i="10" s="1"/>
  <c r="R34" i="10" a="1"/>
  <c r="R34" i="10" s="1"/>
  <c r="N34" i="10"/>
  <c r="M34" i="10"/>
  <c r="I34" i="10"/>
  <c r="T33" i="10" a="1"/>
  <c r="T33" i="10" s="1"/>
  <c r="R33" i="10" a="1"/>
  <c r="R33" i="10" s="1"/>
  <c r="T32" i="10" a="1"/>
  <c r="T32" i="10" s="1"/>
  <c r="R32" i="10" a="1"/>
  <c r="R32" i="10" s="1"/>
  <c r="N32" i="10"/>
  <c r="M32" i="10"/>
  <c r="T30" i="10" a="1"/>
  <c r="T30" i="10" s="1"/>
  <c r="R30" i="10" a="1"/>
  <c r="R30" i="10" s="1"/>
  <c r="N30" i="10"/>
  <c r="M30" i="10"/>
  <c r="I30" i="10"/>
  <c r="T29" i="10" a="1"/>
  <c r="T29" i="10" s="1"/>
  <c r="R29" i="10" a="1"/>
  <c r="R29" i="10" s="1"/>
  <c r="N29" i="10"/>
  <c r="M29" i="10"/>
  <c r="T28" i="10" a="1"/>
  <c r="T28" i="10" s="1"/>
  <c r="R28" i="10" a="1"/>
  <c r="R28" i="10" s="1"/>
  <c r="N28" i="10"/>
  <c r="M28" i="10"/>
  <c r="T27" i="10" a="1"/>
  <c r="T27" i="10" s="1"/>
  <c r="R27" i="10" a="1"/>
  <c r="R27" i="10" s="1"/>
  <c r="N27" i="10"/>
  <c r="M27" i="10"/>
  <c r="T26" i="10" a="1"/>
  <c r="T26" i="10" s="1"/>
  <c r="R26" i="10" a="1"/>
  <c r="R26" i="10" s="1"/>
  <c r="N26" i="10"/>
  <c r="M26" i="10"/>
  <c r="T25" i="10" a="1"/>
  <c r="T25" i="10" s="1"/>
  <c r="R25" i="10" a="1"/>
  <c r="R25" i="10" s="1"/>
  <c r="T24" i="10" a="1"/>
  <c r="T24" i="10" s="1"/>
  <c r="R24" i="10" a="1"/>
  <c r="R24" i="10" s="1"/>
  <c r="Q24" i="10" s="1"/>
  <c r="I24" i="10"/>
  <c r="T23" i="10" a="1"/>
  <c r="T23" i="10" s="1"/>
  <c r="N23" i="10"/>
  <c r="M23" i="10"/>
  <c r="T22" i="10" a="1"/>
  <c r="T22" i="10" s="1"/>
  <c r="R22" i="10" a="1"/>
  <c r="R22" i="10" s="1"/>
  <c r="Q22" i="10" s="1"/>
  <c r="N22" i="10"/>
  <c r="M22" i="10"/>
  <c r="T21" i="10" a="1"/>
  <c r="T21" i="10" s="1"/>
  <c r="R21" i="10" a="1"/>
  <c r="R21" i="10" s="1"/>
  <c r="N21" i="10"/>
  <c r="M21" i="10"/>
  <c r="I21" i="10"/>
  <c r="T20" i="10" a="1"/>
  <c r="T20" i="10" s="1"/>
  <c r="R20" i="10" a="1"/>
  <c r="R20" i="10" s="1"/>
  <c r="T19" i="10" a="1"/>
  <c r="T19" i="10" s="1"/>
  <c r="R19" i="10" a="1"/>
  <c r="R19" i="10" s="1"/>
  <c r="N19" i="10"/>
  <c r="M19" i="10"/>
  <c r="T18" i="10" a="1"/>
  <c r="T18" i="10" s="1"/>
  <c r="R18" i="10" a="1"/>
  <c r="R18" i="10" s="1"/>
  <c r="N18" i="10"/>
  <c r="M18" i="10"/>
  <c r="T17" i="10" a="1"/>
  <c r="T17" i="10" s="1"/>
  <c r="R17" i="10" a="1"/>
  <c r="R17" i="10" s="1"/>
  <c r="N17" i="10"/>
  <c r="T16" i="10" a="1"/>
  <c r="T16" i="10" s="1"/>
  <c r="R16" i="10" a="1"/>
  <c r="R16" i="10" s="1"/>
  <c r="N16" i="10"/>
  <c r="T15" i="10" a="1"/>
  <c r="T15" i="10" s="1"/>
  <c r="R15" i="10" a="1"/>
  <c r="R15" i="10" s="1"/>
  <c r="N15" i="10"/>
  <c r="M15" i="10"/>
  <c r="T14" i="10" a="1"/>
  <c r="T14" i="10" s="1"/>
  <c r="R14" i="10" a="1"/>
  <c r="R14" i="10" s="1"/>
  <c r="N14" i="10"/>
  <c r="M14" i="10"/>
  <c r="T13" i="10" a="1"/>
  <c r="T13" i="10" s="1"/>
  <c r="R13" i="10" a="1"/>
  <c r="R13" i="10" s="1"/>
  <c r="N13" i="10"/>
  <c r="M13" i="10"/>
  <c r="T12" i="10" a="1"/>
  <c r="T12" i="10" s="1"/>
  <c r="R12" i="10" a="1"/>
  <c r="R12" i="10" s="1"/>
  <c r="N12" i="10"/>
  <c r="M12" i="10"/>
  <c r="T11" i="10" a="1"/>
  <c r="T11" i="10" s="1"/>
  <c r="R11" i="10" a="1"/>
  <c r="R11" i="10" s="1"/>
  <c r="N11" i="10"/>
  <c r="T10" i="10" a="1"/>
  <c r="T10" i="10" s="1"/>
  <c r="R10" i="10" a="1"/>
  <c r="R10" i="10" s="1"/>
  <c r="N10" i="10"/>
  <c r="M10" i="10"/>
  <c r="T9" i="10" a="1"/>
  <c r="T9" i="10" s="1"/>
  <c r="R9" i="10" a="1"/>
  <c r="R9" i="10" s="1"/>
  <c r="N9" i="10"/>
  <c r="M9" i="10"/>
  <c r="T8" i="10" a="1"/>
  <c r="T8" i="10" s="1"/>
  <c r="R8" i="10" a="1"/>
  <c r="R8" i="10" s="1"/>
  <c r="N8" i="10"/>
  <c r="M8" i="10"/>
  <c r="T7" i="10" a="1"/>
  <c r="T7" i="10" s="1"/>
  <c r="R7" i="10" a="1"/>
  <c r="R7" i="10" s="1"/>
  <c r="T6" i="10" a="1"/>
  <c r="T6" i="10" s="1"/>
  <c r="R6" i="10" a="1"/>
  <c r="R6" i="10" s="1"/>
  <c r="Q6" i="10" s="1"/>
  <c r="N6" i="10"/>
  <c r="M6" i="10"/>
  <c r="I6" i="10"/>
  <c r="T5" i="10" a="1"/>
  <c r="T5" i="10" s="1"/>
  <c r="R5" i="10" a="1"/>
  <c r="R5" i="10" s="1"/>
  <c r="N5" i="10"/>
  <c r="M5" i="10"/>
  <c r="T3" i="10" a="1"/>
  <c r="T3" i="10" s="1"/>
  <c r="R3" i="10" a="1"/>
  <c r="R3" i="10" s="1"/>
  <c r="T2" i="10" a="1"/>
  <c r="T2" i="10" s="1"/>
  <c r="R2" i="10" a="1"/>
  <c r="R2" i="10" s="1"/>
  <c r="M112" i="4"/>
  <c r="T112" i="4" a="1"/>
  <c r="T112" i="4" s="1"/>
  <c r="R112" i="4" a="1"/>
  <c r="R112" i="4" s="1"/>
  <c r="N112" i="4"/>
  <c r="T111" i="4" a="1"/>
  <c r="T111" i="4" s="1"/>
  <c r="R111" i="4"/>
  <c r="R111" i="4" a="1"/>
  <c r="N111" i="4"/>
  <c r="Q111" i="4"/>
  <c r="T113" i="4" a="1"/>
  <c r="T113" i="4" s="1"/>
  <c r="R113" i="4" a="1"/>
  <c r="R113" i="4" s="1"/>
  <c r="T153" i="4" a="1"/>
  <c r="T153" i="4" s="1"/>
  <c r="R153" i="4" a="1"/>
  <c r="R153" i="4" s="1"/>
  <c r="N153" i="4"/>
  <c r="M153" i="4"/>
  <c r="I153" i="4"/>
  <c r="F153" i="4"/>
  <c r="M203" i="4"/>
  <c r="T55" i="4" a="1"/>
  <c r="T55" i="4" s="1"/>
  <c r="R55" i="4" a="1"/>
  <c r="R55" i="4" s="1"/>
  <c r="Q55" i="4" s="1"/>
  <c r="N55" i="4"/>
  <c r="M55" i="4"/>
  <c r="I55" i="4"/>
  <c r="T182" i="4" a="1"/>
  <c r="T182" i="4" s="1"/>
  <c r="R182" i="4" a="1"/>
  <c r="R182" i="4" s="1"/>
  <c r="Q182" i="4" s="1"/>
  <c r="N182" i="4"/>
  <c r="M182" i="4"/>
  <c r="I182" i="4"/>
  <c r="L177" i="4"/>
  <c r="L178" i="4"/>
  <c r="T177" i="4" a="1"/>
  <c r="T177" i="4" s="1"/>
  <c r="T178" i="4" a="1"/>
  <c r="T178" i="4" s="1"/>
  <c r="T175" i="4" a="1"/>
  <c r="T175" i="4" s="1"/>
  <c r="R175" i="4" a="1"/>
  <c r="R175" i="4" s="1"/>
  <c r="N175" i="4"/>
  <c r="M175" i="4"/>
  <c r="G175" i="4"/>
  <c r="I175" i="4" s="1"/>
  <c r="T93" i="4" a="1"/>
  <c r="T93" i="4" s="1"/>
  <c r="R93" i="4" a="1"/>
  <c r="R93" i="4" s="1"/>
  <c r="Q93" i="4" s="1"/>
  <c r="M200" i="4"/>
  <c r="M199" i="4"/>
  <c r="T199" i="4" a="1"/>
  <c r="T199" i="4" s="1"/>
  <c r="R199" i="4" a="1"/>
  <c r="R199" i="4" s="1"/>
  <c r="Q199" i="4" s="1"/>
  <c r="I199" i="4"/>
  <c r="T106" i="4" a="1"/>
  <c r="T106" i="4" s="1"/>
  <c r="R106" i="4" a="1"/>
  <c r="R106" i="4" s="1"/>
  <c r="N106" i="4"/>
  <c r="M106" i="4"/>
  <c r="T107" i="4" a="1"/>
  <c r="T107" i="4" s="1"/>
  <c r="R107" i="4" a="1"/>
  <c r="R107" i="4" s="1"/>
  <c r="N107" i="4"/>
  <c r="M107" i="4"/>
  <c r="I107" i="4"/>
  <c r="T57" i="4" a="1"/>
  <c r="T57" i="4" s="1"/>
  <c r="T123" i="4" a="1"/>
  <c r="T123" i="4" s="1"/>
  <c r="L21" i="5"/>
  <c r="N121" i="10" s="1"/>
  <c r="L20" i="5"/>
  <c r="N120" i="10" s="1"/>
  <c r="R5" i="5"/>
  <c r="I226" i="4"/>
  <c r="R226" i="4" a="1"/>
  <c r="R226" i="4" s="1"/>
  <c r="Q226" i="4" s="1"/>
  <c r="O226" i="4" s="1"/>
  <c r="N14" i="5"/>
  <c r="N117" i="10" s="1"/>
  <c r="T186" i="4" a="1"/>
  <c r="T186" i="4" s="1"/>
  <c r="N9" i="5"/>
  <c r="N8" i="5"/>
  <c r="N7" i="5"/>
  <c r="M114" i="10" s="1"/>
  <c r="N6" i="5"/>
  <c r="M226" i="4" s="1"/>
  <c r="L226" i="4" s="1"/>
  <c r="N5" i="5"/>
  <c r="N4" i="5"/>
  <c r="M180" i="10" s="1"/>
  <c r="N3" i="5"/>
  <c r="M186" i="4" s="1"/>
  <c r="L158" i="4"/>
  <c r="L3" i="5"/>
  <c r="M127" i="4" s="1"/>
  <c r="G125" i="4"/>
  <c r="R121" i="4" a="1"/>
  <c r="R121" i="4" s="1"/>
  <c r="T121" i="4" a="1"/>
  <c r="T121" i="4" s="1"/>
  <c r="L15" i="5"/>
  <c r="N129" i="10" s="1"/>
  <c r="G227" i="4"/>
  <c r="T227" i="4" a="1"/>
  <c r="T227" i="4" s="1"/>
  <c r="R227" i="4" a="1"/>
  <c r="R227" i="4" s="1"/>
  <c r="T140" i="4" a="1"/>
  <c r="T140" i="4" s="1"/>
  <c r="R140" i="4" a="1"/>
  <c r="R140" i="4" s="1"/>
  <c r="Q140" i="4" s="1"/>
  <c r="I140" i="4"/>
  <c r="T137" i="4" a="1"/>
  <c r="T137" i="4" s="1"/>
  <c r="R137" i="4" a="1"/>
  <c r="R137" i="4" s="1"/>
  <c r="Q137" i="4" s="1"/>
  <c r="I137" i="4"/>
  <c r="T87" i="4" a="1"/>
  <c r="T87" i="4" s="1"/>
  <c r="R87" i="4" a="1"/>
  <c r="R87" i="4" s="1"/>
  <c r="Q87" i="4" s="1"/>
  <c r="N87" i="4"/>
  <c r="M87" i="4"/>
  <c r="I87" i="4"/>
  <c r="S66" i="10" l="1"/>
  <c r="P66" i="10" s="1"/>
  <c r="L40" i="10"/>
  <c r="S40" i="10"/>
  <c r="P40" i="10" s="1"/>
  <c r="L62" i="10"/>
  <c r="L63" i="10"/>
  <c r="L101" i="10"/>
  <c r="S102" i="10"/>
  <c r="P102" i="10" s="1"/>
  <c r="S101" i="10"/>
  <c r="P101" i="10" s="1"/>
  <c r="M183" i="4"/>
  <c r="M202" i="4"/>
  <c r="N114" i="4"/>
  <c r="N186" i="4"/>
  <c r="M194" i="10"/>
  <c r="L194" i="10" s="1"/>
  <c r="M204" i="10"/>
  <c r="L204" i="10" s="1"/>
  <c r="N116" i="4"/>
  <c r="N117" i="4"/>
  <c r="G117" i="4" s="1"/>
  <c r="M229" i="4"/>
  <c r="M115" i="4"/>
  <c r="L115" i="4" s="1"/>
  <c r="M57" i="4"/>
  <c r="L57" i="4" s="1"/>
  <c r="M111" i="4"/>
  <c r="L111" i="4" s="1"/>
  <c r="M121" i="10"/>
  <c r="S121" i="10" s="1"/>
  <c r="M87" i="10"/>
  <c r="N75" i="10"/>
  <c r="M116" i="4"/>
  <c r="G116" i="4" s="1"/>
  <c r="M118" i="4"/>
  <c r="G118" i="4" s="1"/>
  <c r="M58" i="4"/>
  <c r="L153" i="4"/>
  <c r="M113" i="4"/>
  <c r="M141" i="4"/>
  <c r="M61" i="10"/>
  <c r="S61" i="10" s="1"/>
  <c r="P61" i="10" s="1"/>
  <c r="M130" i="10"/>
  <c r="M139" i="10"/>
  <c r="L139" i="10" s="1"/>
  <c r="M184" i="10"/>
  <c r="M190" i="10"/>
  <c r="M209" i="10"/>
  <c r="M211" i="10"/>
  <c r="M156" i="10"/>
  <c r="M117" i="4"/>
  <c r="M60" i="10"/>
  <c r="L60" i="10" s="1"/>
  <c r="M129" i="10"/>
  <c r="L129" i="10" s="1"/>
  <c r="N184" i="10"/>
  <c r="M191" i="10"/>
  <c r="L191" i="10" s="1"/>
  <c r="M56" i="10"/>
  <c r="M79" i="10"/>
  <c r="M119" i="10"/>
  <c r="L119" i="10" s="1"/>
  <c r="S98" i="10"/>
  <c r="P98" i="10" s="1"/>
  <c r="M88" i="10"/>
  <c r="M115" i="10"/>
  <c r="L115" i="10" s="1"/>
  <c r="M116" i="10"/>
  <c r="M136" i="10"/>
  <c r="M206" i="10"/>
  <c r="L206" i="10" s="1"/>
  <c r="M3" i="10"/>
  <c r="L3" i="10" s="1"/>
  <c r="M117" i="10"/>
  <c r="S117" i="10" s="1"/>
  <c r="M118" i="10"/>
  <c r="L118" i="10" s="1"/>
  <c r="S99" i="10"/>
  <c r="P99" i="10" s="1"/>
  <c r="L99" i="10"/>
  <c r="L159" i="10"/>
  <c r="S159" i="10"/>
  <c r="P159" i="10" s="1"/>
  <c r="L170" i="10"/>
  <c r="S179" i="10"/>
  <c r="P179" i="10" s="1"/>
  <c r="L169" i="10"/>
  <c r="S170" i="10"/>
  <c r="P170" i="10" s="1"/>
  <c r="S169" i="10"/>
  <c r="P169" i="10" s="1"/>
  <c r="Q117" i="10"/>
  <c r="L108" i="10"/>
  <c r="L107" i="10"/>
  <c r="Q113" i="10"/>
  <c r="Q114" i="10"/>
  <c r="Q115" i="10"/>
  <c r="Q116" i="10"/>
  <c r="S108" i="10"/>
  <c r="P108" i="10" s="1"/>
  <c r="S107" i="10"/>
  <c r="P107" i="10" s="1"/>
  <c r="Q37" i="10"/>
  <c r="Q29" i="10"/>
  <c r="L4" i="10"/>
  <c r="Q78" i="10"/>
  <c r="Q32" i="10"/>
  <c r="Q196" i="10"/>
  <c r="Q28" i="10"/>
  <c r="Q56" i="10"/>
  <c r="Q71" i="10"/>
  <c r="Q8" i="10"/>
  <c r="Q33" i="10"/>
  <c r="S120" i="10"/>
  <c r="Q14" i="10"/>
  <c r="L96" i="10"/>
  <c r="L110" i="10"/>
  <c r="Q36" i="10"/>
  <c r="L114" i="10"/>
  <c r="Q48" i="10"/>
  <c r="Q52" i="10"/>
  <c r="L14" i="10"/>
  <c r="L34" i="10"/>
  <c r="S59" i="10"/>
  <c r="Q157" i="10"/>
  <c r="L160" i="10"/>
  <c r="L166" i="10"/>
  <c r="S166" i="10"/>
  <c r="L171" i="10"/>
  <c r="S198" i="10"/>
  <c r="S68" i="10"/>
  <c r="L134" i="10"/>
  <c r="S134" i="10"/>
  <c r="S196" i="10"/>
  <c r="L30" i="10"/>
  <c r="Q121" i="10"/>
  <c r="L151" i="10"/>
  <c r="Q197" i="10"/>
  <c r="Q209" i="10"/>
  <c r="Q57" i="10"/>
  <c r="L29" i="10"/>
  <c r="Q95" i="10"/>
  <c r="S109" i="10"/>
  <c r="P109" i="10" s="1"/>
  <c r="S201" i="10"/>
  <c r="S5" i="10"/>
  <c r="S28" i="10"/>
  <c r="L32" i="10"/>
  <c r="Q50" i="10"/>
  <c r="Q54" i="10"/>
  <c r="L57" i="10"/>
  <c r="S89" i="10"/>
  <c r="S90" i="10"/>
  <c r="P90" i="10" s="1"/>
  <c r="Q120" i="10"/>
  <c r="L123" i="10"/>
  <c r="Q142" i="10"/>
  <c r="L162" i="10"/>
  <c r="S162" i="10"/>
  <c r="S178" i="10"/>
  <c r="S183" i="10"/>
  <c r="I197" i="10"/>
  <c r="Q4" i="10"/>
  <c r="S188" i="10"/>
  <c r="P188" i="10" s="1"/>
  <c r="S104" i="10"/>
  <c r="L150" i="10"/>
  <c r="L28" i="10"/>
  <c r="S58" i="10"/>
  <c r="P58" i="10" s="1"/>
  <c r="S70" i="10"/>
  <c r="S84" i="10"/>
  <c r="L124" i="10"/>
  <c r="L144" i="10"/>
  <c r="S144" i="10"/>
  <c r="L185" i="10"/>
  <c r="S197" i="10"/>
  <c r="L199" i="10"/>
  <c r="S199" i="10"/>
  <c r="P199" i="10" s="1"/>
  <c r="S9" i="10"/>
  <c r="L12" i="10"/>
  <c r="S15" i="10"/>
  <c r="S19" i="10"/>
  <c r="S21" i="10"/>
  <c r="S27" i="10"/>
  <c r="S29" i="10"/>
  <c r="L38" i="10"/>
  <c r="S48" i="10"/>
  <c r="S50" i="10"/>
  <c r="S52" i="10"/>
  <c r="S54" i="10"/>
  <c r="L58" i="10"/>
  <c r="S73" i="10"/>
  <c r="S85" i="10"/>
  <c r="S106" i="10"/>
  <c r="P106" i="10" s="1"/>
  <c r="S110" i="10"/>
  <c r="P110" i="10" s="1"/>
  <c r="S22" i="10"/>
  <c r="P22" i="10" s="1"/>
  <c r="S69" i="10"/>
  <c r="S71" i="10"/>
  <c r="S14" i="10"/>
  <c r="L22" i="10"/>
  <c r="S26" i="10"/>
  <c r="S32" i="10"/>
  <c r="S47" i="10"/>
  <c r="S49" i="10"/>
  <c r="S51" i="10"/>
  <c r="S55" i="10"/>
  <c r="Q64" i="10"/>
  <c r="S18" i="10"/>
  <c r="S2" i="10"/>
  <c r="L6" i="10"/>
  <c r="S10" i="10"/>
  <c r="Q47" i="10"/>
  <c r="Q49" i="10"/>
  <c r="Q51" i="10"/>
  <c r="Q53" i="10"/>
  <c r="Q55" i="10"/>
  <c r="S64" i="10"/>
  <c r="Q67" i="10"/>
  <c r="S177" i="10"/>
  <c r="S4" i="10"/>
  <c r="Q72" i="10"/>
  <c r="S76" i="10"/>
  <c r="S81" i="10"/>
  <c r="S83" i="10"/>
  <c r="S122" i="10"/>
  <c r="Q133" i="10"/>
  <c r="S182" i="10"/>
  <c r="Q207" i="10"/>
  <c r="O207" i="10" s="1"/>
  <c r="Q65" i="10"/>
  <c r="S57" i="10"/>
  <c r="S65" i="10"/>
  <c r="S74" i="10"/>
  <c r="Q89" i="10"/>
  <c r="L104" i="10"/>
  <c r="S143" i="10"/>
  <c r="S154" i="10"/>
  <c r="S161" i="10"/>
  <c r="S165" i="10"/>
  <c r="L168" i="10"/>
  <c r="Q183" i="10"/>
  <c r="L192" i="10"/>
  <c r="S208" i="10"/>
  <c r="L73" i="10"/>
  <c r="S212" i="10"/>
  <c r="Q11" i="10"/>
  <c r="S80" i="10"/>
  <c r="S82" i="10"/>
  <c r="Q94" i="10"/>
  <c r="S95" i="10"/>
  <c r="L109" i="10"/>
  <c r="Q122" i="10"/>
  <c r="S131" i="10"/>
  <c r="S137" i="10"/>
  <c r="S138" i="10"/>
  <c r="S147" i="10"/>
  <c r="Q198" i="10"/>
  <c r="Q149" i="10"/>
  <c r="L39" i="10"/>
  <c r="I48" i="10"/>
  <c r="L9" i="10"/>
  <c r="I52" i="10"/>
  <c r="L165" i="10"/>
  <c r="L137" i="10"/>
  <c r="L5" i="10"/>
  <c r="Q137" i="10"/>
  <c r="I56" i="10"/>
  <c r="L152" i="10"/>
  <c r="I124" i="10"/>
  <c r="I162" i="10"/>
  <c r="Q162" i="10"/>
  <c r="L212" i="10"/>
  <c r="I212" i="10"/>
  <c r="Q97" i="10"/>
  <c r="I97" i="10"/>
  <c r="Q211" i="10"/>
  <c r="I211" i="10"/>
  <c r="I177" i="10"/>
  <c r="Q177" i="10"/>
  <c r="L177" i="10"/>
  <c r="Q163" i="10"/>
  <c r="I163" i="10"/>
  <c r="I158" i="10"/>
  <c r="Q158" i="10"/>
  <c r="Q153" i="10"/>
  <c r="I153" i="10"/>
  <c r="I138" i="10"/>
  <c r="L138" i="10"/>
  <c r="Q105" i="10"/>
  <c r="I105" i="10"/>
  <c r="Q208" i="10"/>
  <c r="I208" i="10"/>
  <c r="L178" i="10"/>
  <c r="Q178" i="10"/>
  <c r="I178" i="10"/>
  <c r="I164" i="10"/>
  <c r="L164" i="10"/>
  <c r="Q202" i="10"/>
  <c r="I202" i="10"/>
  <c r="L182" i="10"/>
  <c r="Q182" i="10"/>
  <c r="I182" i="10"/>
  <c r="Q59" i="10"/>
  <c r="L68" i="10"/>
  <c r="Q70" i="10"/>
  <c r="Q144" i="10"/>
  <c r="L145" i="10"/>
  <c r="Q161" i="10"/>
  <c r="Q187" i="10"/>
  <c r="Q42" i="10"/>
  <c r="Q43" i="10"/>
  <c r="Q44" i="10"/>
  <c r="I47" i="10"/>
  <c r="I51" i="10"/>
  <c r="I55" i="10"/>
  <c r="Q69" i="10"/>
  <c r="I89" i="10"/>
  <c r="I103" i="10"/>
  <c r="Q103" i="10"/>
  <c r="I123" i="10"/>
  <c r="Q123" i="10"/>
  <c r="I127" i="10"/>
  <c r="I134" i="10"/>
  <c r="Q134" i="10"/>
  <c r="Q141" i="10"/>
  <c r="L142" i="10"/>
  <c r="Q146" i="10"/>
  <c r="I160" i="10"/>
  <c r="Q160" i="10"/>
  <c r="L163" i="10"/>
  <c r="Q167" i="10"/>
  <c r="I168" i="10"/>
  <c r="Q168" i="10"/>
  <c r="I50" i="10"/>
  <c r="Q68" i="10"/>
  <c r="L89" i="10"/>
  <c r="Q104" i="10"/>
  <c r="I133" i="10"/>
  <c r="Q145" i="10"/>
  <c r="Q148" i="10"/>
  <c r="L161" i="10"/>
  <c r="Q165" i="10"/>
  <c r="I166" i="10"/>
  <c r="Q166" i="10"/>
  <c r="L183" i="10"/>
  <c r="I183" i="10"/>
  <c r="I196" i="10"/>
  <c r="I54" i="10"/>
  <c r="L59" i="10"/>
  <c r="L70" i="10"/>
  <c r="I104" i="10"/>
  <c r="I49" i="10"/>
  <c r="I53" i="10"/>
  <c r="L69" i="10"/>
  <c r="I94" i="10"/>
  <c r="I95" i="10"/>
  <c r="Q138" i="10"/>
  <c r="Q140" i="10"/>
  <c r="L157" i="10"/>
  <c r="L158" i="10"/>
  <c r="Q164" i="10"/>
  <c r="L167" i="10"/>
  <c r="I198" i="10"/>
  <c r="Q26" i="10"/>
  <c r="Q27" i="10"/>
  <c r="L27" i="10"/>
  <c r="I23" i="10"/>
  <c r="L23" i="10"/>
  <c r="Q18" i="10"/>
  <c r="Q19" i="10"/>
  <c r="Q21" i="10"/>
  <c r="I8" i="10"/>
  <c r="Q15" i="10"/>
  <c r="Q16" i="10"/>
  <c r="Q17" i="10"/>
  <c r="Q20" i="10"/>
  <c r="L15" i="10"/>
  <c r="L18" i="10"/>
  <c r="L19" i="10"/>
  <c r="L21" i="10"/>
  <c r="Q5" i="10"/>
  <c r="Q9" i="10"/>
  <c r="L13" i="10"/>
  <c r="Q2" i="10"/>
  <c r="Q7" i="10"/>
  <c r="Q13" i="10"/>
  <c r="S13" i="10"/>
  <c r="Q34" i="10"/>
  <c r="S34" i="10"/>
  <c r="Q3" i="10"/>
  <c r="S6" i="10"/>
  <c r="P6" i="10" s="1"/>
  <c r="Q10" i="10"/>
  <c r="L10" i="10"/>
  <c r="I10" i="10"/>
  <c r="Q12" i="10"/>
  <c r="S12" i="10"/>
  <c r="Q30" i="10"/>
  <c r="S30" i="10"/>
  <c r="Q46" i="10"/>
  <c r="Q39" i="10"/>
  <c r="S39" i="10"/>
  <c r="S8" i="10"/>
  <c r="Q25" i="10"/>
  <c r="S25" i="10"/>
  <c r="Q38" i="10"/>
  <c r="S38" i="10"/>
  <c r="Q74" i="10"/>
  <c r="L74" i="10"/>
  <c r="Q76" i="10"/>
  <c r="L76" i="10"/>
  <c r="Q80" i="10"/>
  <c r="L80" i="10"/>
  <c r="Q83" i="10"/>
  <c r="L83" i="10"/>
  <c r="S92" i="10"/>
  <c r="S145" i="10"/>
  <c r="Q147" i="10"/>
  <c r="L147" i="10"/>
  <c r="I11" i="10"/>
  <c r="L47" i="10"/>
  <c r="L48" i="10"/>
  <c r="L49" i="10"/>
  <c r="L50" i="10"/>
  <c r="L51" i="10"/>
  <c r="L52" i="10"/>
  <c r="L54" i="10"/>
  <c r="L55" i="10"/>
  <c r="I64" i="10"/>
  <c r="I65" i="10"/>
  <c r="I67" i="10"/>
  <c r="I71" i="10"/>
  <c r="I72" i="10"/>
  <c r="I74" i="10"/>
  <c r="I76" i="10"/>
  <c r="I80" i="10"/>
  <c r="I83" i="10"/>
  <c r="Q84" i="10"/>
  <c r="L84" i="10"/>
  <c r="S91" i="10"/>
  <c r="P91" i="10" s="1"/>
  <c r="S96" i="10"/>
  <c r="P96" i="10" s="1"/>
  <c r="S123" i="10"/>
  <c r="Q45" i="10"/>
  <c r="L64" i="10"/>
  <c r="L71" i="10"/>
  <c r="L72" i="10"/>
  <c r="S72" i="10"/>
  <c r="Q75" i="10"/>
  <c r="Q77" i="10"/>
  <c r="Q79" i="10"/>
  <c r="Q81" i="10"/>
  <c r="L81" i="10"/>
  <c r="Q85" i="10"/>
  <c r="L85" i="10"/>
  <c r="Q92" i="10"/>
  <c r="L92" i="10"/>
  <c r="I92" i="10"/>
  <c r="Q143" i="10"/>
  <c r="L143" i="10"/>
  <c r="L65" i="10"/>
  <c r="L8" i="10"/>
  <c r="Q73" i="10"/>
  <c r="I73" i="10"/>
  <c r="I75" i="10"/>
  <c r="I77" i="10"/>
  <c r="I79" i="10"/>
  <c r="I81" i="10"/>
  <c r="Q82" i="10"/>
  <c r="L82" i="10"/>
  <c r="I85" i="10"/>
  <c r="Q86" i="10"/>
  <c r="S114" i="10"/>
  <c r="L126" i="10"/>
  <c r="I126" i="10"/>
  <c r="S132" i="10"/>
  <c r="L95" i="10"/>
  <c r="S111" i="10"/>
  <c r="L128" i="10"/>
  <c r="I128" i="10"/>
  <c r="L132" i="10"/>
  <c r="Q132" i="10"/>
  <c r="I132" i="10"/>
  <c r="Q155" i="10"/>
  <c r="I155" i="10"/>
  <c r="S157" i="10"/>
  <c r="S158" i="10"/>
  <c r="S167" i="10"/>
  <c r="Q174" i="10"/>
  <c r="L174" i="10"/>
  <c r="I174" i="10"/>
  <c r="S192" i="10"/>
  <c r="P192" i="10" s="1"/>
  <c r="Q112" i="10"/>
  <c r="I112" i="10"/>
  <c r="Q125" i="10"/>
  <c r="L125" i="10"/>
  <c r="I125" i="10"/>
  <c r="L135" i="10"/>
  <c r="S135" i="10"/>
  <c r="P135" i="10" s="1"/>
  <c r="O203" i="10"/>
  <c r="Q111" i="10"/>
  <c r="L111" i="10"/>
  <c r="I111" i="10"/>
  <c r="S125" i="10"/>
  <c r="Q131" i="10"/>
  <c r="L131" i="10"/>
  <c r="I131" i="10"/>
  <c r="S142" i="10"/>
  <c r="S163" i="10"/>
  <c r="Q195" i="10"/>
  <c r="S171" i="10"/>
  <c r="P171" i="10" s="1"/>
  <c r="Q173" i="10"/>
  <c r="L173" i="10"/>
  <c r="I173" i="10"/>
  <c r="S185" i="10"/>
  <c r="P185" i="10" s="1"/>
  <c r="S150" i="10"/>
  <c r="P150" i="10" s="1"/>
  <c r="S151" i="10"/>
  <c r="P151" i="10" s="1"/>
  <c r="S152" i="10"/>
  <c r="Q154" i="10"/>
  <c r="L154" i="10"/>
  <c r="S160" i="10"/>
  <c r="S164" i="10"/>
  <c r="S168" i="10"/>
  <c r="Q172" i="10"/>
  <c r="I172" i="10"/>
  <c r="S174" i="10"/>
  <c r="Q152" i="10"/>
  <c r="S173" i="10"/>
  <c r="Q210" i="10"/>
  <c r="I210" i="10"/>
  <c r="Q200" i="10"/>
  <c r="S200" i="10"/>
  <c r="Q201" i="10"/>
  <c r="L201" i="10"/>
  <c r="I201" i="10"/>
  <c r="L196" i="10"/>
  <c r="L197" i="10"/>
  <c r="L198" i="10"/>
  <c r="L200" i="10"/>
  <c r="L208" i="10"/>
  <c r="Q212" i="10"/>
  <c r="Q213" i="10"/>
  <c r="Q113" i="4"/>
  <c r="Q112" i="4"/>
  <c r="S112" i="4"/>
  <c r="I111" i="4"/>
  <c r="I112" i="4"/>
  <c r="L112" i="4"/>
  <c r="L55" i="4"/>
  <c r="I113" i="4"/>
  <c r="Q153" i="4"/>
  <c r="S153" i="4"/>
  <c r="L182" i="4"/>
  <c r="S55" i="4"/>
  <c r="P55" i="4" s="1"/>
  <c r="S182" i="4"/>
  <c r="P182" i="4" s="1"/>
  <c r="S93" i="4"/>
  <c r="P93" i="4" s="1"/>
  <c r="S175" i="4"/>
  <c r="L175" i="4"/>
  <c r="Q175" i="4"/>
  <c r="Q106" i="4"/>
  <c r="S106" i="4"/>
  <c r="I106" i="4"/>
  <c r="Q107" i="4"/>
  <c r="L106" i="4"/>
  <c r="L107" i="4"/>
  <c r="S107" i="4"/>
  <c r="M159" i="4"/>
  <c r="G186" i="4"/>
  <c r="N126" i="4"/>
  <c r="M126" i="4"/>
  <c r="Q227" i="4"/>
  <c r="I227" i="4"/>
  <c r="L87" i="4"/>
  <c r="S87" i="4"/>
  <c r="P87" i="4" s="1"/>
  <c r="S204" i="10" l="1"/>
  <c r="P204" i="10" s="1"/>
  <c r="L117" i="10"/>
  <c r="S194" i="10"/>
  <c r="P194" i="10" s="1"/>
  <c r="S191" i="10"/>
  <c r="P191" i="10" s="1"/>
  <c r="S111" i="4"/>
  <c r="P111" i="4" s="1"/>
  <c r="S3" i="10"/>
  <c r="P3" i="10" s="1"/>
  <c r="S139" i="10"/>
  <c r="P139" i="10" s="1"/>
  <c r="S115" i="10"/>
  <c r="P115" i="10" s="1"/>
  <c r="S118" i="10"/>
  <c r="P118" i="10" s="1"/>
  <c r="L98" i="10"/>
  <c r="L61" i="10"/>
  <c r="L184" i="10"/>
  <c r="S119" i="10"/>
  <c r="P119" i="10" s="1"/>
  <c r="P196" i="10"/>
  <c r="P117" i="10"/>
  <c r="P183" i="10"/>
  <c r="P114" i="10"/>
  <c r="P29" i="10"/>
  <c r="P82" i="10"/>
  <c r="P131" i="10"/>
  <c r="P8" i="10"/>
  <c r="P166" i="10"/>
  <c r="P122" i="10"/>
  <c r="P54" i="10"/>
  <c r="P80" i="10"/>
  <c r="P72" i="10"/>
  <c r="P147" i="10"/>
  <c r="P76" i="10"/>
  <c r="P32" i="10"/>
  <c r="P28" i="10"/>
  <c r="P14" i="10"/>
  <c r="P52" i="10"/>
  <c r="P74" i="10"/>
  <c r="P71" i="10"/>
  <c r="I209" i="10"/>
  <c r="P83" i="10"/>
  <c r="P9" i="10"/>
  <c r="P84" i="10"/>
  <c r="P18" i="10"/>
  <c r="P120" i="10"/>
  <c r="P73" i="10"/>
  <c r="P161" i="10"/>
  <c r="P4" i="10"/>
  <c r="P59" i="10"/>
  <c r="P198" i="10"/>
  <c r="P165" i="10"/>
  <c r="P104" i="10"/>
  <c r="P197" i="10"/>
  <c r="P2" i="10"/>
  <c r="P70" i="10"/>
  <c r="P177" i="10"/>
  <c r="P49" i="10"/>
  <c r="P5" i="10"/>
  <c r="P68" i="10"/>
  <c r="P142" i="10"/>
  <c r="P157" i="10"/>
  <c r="P89" i="10"/>
  <c r="P48" i="10"/>
  <c r="P81" i="10"/>
  <c r="P15" i="10"/>
  <c r="P134" i="10"/>
  <c r="P95" i="10"/>
  <c r="P143" i="10"/>
  <c r="P50" i="10"/>
  <c r="P27" i="10"/>
  <c r="P182" i="10"/>
  <c r="P162" i="10"/>
  <c r="P57" i="10"/>
  <c r="P144" i="10"/>
  <c r="P47" i="10"/>
  <c r="P164" i="10"/>
  <c r="P21" i="10"/>
  <c r="P152" i="10"/>
  <c r="P38" i="10"/>
  <c r="P25" i="10"/>
  <c r="P26" i="10"/>
  <c r="P55" i="10"/>
  <c r="P111" i="10"/>
  <c r="P154" i="10"/>
  <c r="P92" i="10"/>
  <c r="P85" i="10"/>
  <c r="P10" i="10"/>
  <c r="P13" i="10"/>
  <c r="P19" i="10"/>
  <c r="P69" i="10"/>
  <c r="P178" i="10"/>
  <c r="P51" i="10"/>
  <c r="P138" i="10"/>
  <c r="P160" i="10"/>
  <c r="P137" i="10"/>
  <c r="P65" i="10"/>
  <c r="P145" i="10"/>
  <c r="P167" i="10"/>
  <c r="P158" i="10"/>
  <c r="P173" i="10"/>
  <c r="P208" i="10"/>
  <c r="P64" i="10"/>
  <c r="O208" i="10"/>
  <c r="P123" i="10"/>
  <c r="P168" i="10"/>
  <c r="O211" i="10"/>
  <c r="O202" i="10"/>
  <c r="P163" i="10"/>
  <c r="P121" i="10"/>
  <c r="P39" i="10"/>
  <c r="P201" i="10"/>
  <c r="O201" i="10"/>
  <c r="O209" i="10"/>
  <c r="P200" i="10"/>
  <c r="O200" i="10"/>
  <c r="P132" i="10"/>
  <c r="P34" i="10"/>
  <c r="O213" i="10"/>
  <c r="P212" i="10"/>
  <c r="O212" i="10"/>
  <c r="O210" i="10"/>
  <c r="P125" i="10"/>
  <c r="P174" i="10"/>
  <c r="P30" i="10"/>
  <c r="P12" i="10"/>
  <c r="P112" i="4"/>
  <c r="P153" i="4"/>
  <c r="P175" i="4"/>
  <c r="P106" i="4"/>
  <c r="P107" i="4"/>
  <c r="L126" i="4"/>
  <c r="O227" i="4"/>
  <c r="N11" i="5"/>
  <c r="L25" i="5"/>
  <c r="T86" i="4" a="1"/>
  <c r="T86" i="4" s="1"/>
  <c r="R86" i="4" a="1"/>
  <c r="R86" i="4" s="1"/>
  <c r="Q86" i="4" s="1"/>
  <c r="I86" i="4"/>
  <c r="T56" i="4" a="1"/>
  <c r="T56" i="4" s="1"/>
  <c r="R56" i="4" a="1"/>
  <c r="R56" i="4" s="1"/>
  <c r="N56" i="4"/>
  <c r="M56" i="4"/>
  <c r="G56" i="4"/>
  <c r="I56" i="4" s="1"/>
  <c r="N88" i="4" l="1"/>
  <c r="N136" i="10"/>
  <c r="N87" i="10"/>
  <c r="N137" i="4"/>
  <c r="N86" i="4"/>
  <c r="Q56" i="4"/>
  <c r="L56" i="4"/>
  <c r="S56" i="4"/>
  <c r="L87" i="10" l="1"/>
  <c r="S87" i="10"/>
  <c r="P87" i="10" s="1"/>
  <c r="L136" i="10"/>
  <c r="S136" i="10"/>
  <c r="P136" i="10" s="1"/>
  <c r="P56" i="4"/>
  <c r="L9" i="5"/>
  <c r="L13" i="5"/>
  <c r="L12" i="5"/>
  <c r="L8" i="5"/>
  <c r="L7" i="5"/>
  <c r="L6" i="5"/>
  <c r="M88" i="4" s="1"/>
  <c r="L5" i="5"/>
  <c r="T89" i="4" a="1"/>
  <c r="T89" i="4" s="1"/>
  <c r="R89" i="4" a="1"/>
  <c r="R89" i="4" s="1"/>
  <c r="Q89" i="4" s="1"/>
  <c r="I89" i="4"/>
  <c r="L19" i="5"/>
  <c r="L18" i="5"/>
  <c r="L4" i="5"/>
  <c r="H4" i="5"/>
  <c r="M225" i="4" s="1"/>
  <c r="T90" i="4" a="1"/>
  <c r="T90" i="4" s="1"/>
  <c r="R90" i="4" a="1"/>
  <c r="R90" i="4" s="1"/>
  <c r="Q90" i="4" s="1"/>
  <c r="I90" i="4"/>
  <c r="L22" i="5"/>
  <c r="N225" i="4" s="1"/>
  <c r="T32" i="4" a="1"/>
  <c r="T32" i="4" s="1"/>
  <c r="R32" i="4" a="1"/>
  <c r="R32" i="4" s="1"/>
  <c r="G12" i="4"/>
  <c r="T23" i="4" a="1"/>
  <c r="T23" i="4" s="1"/>
  <c r="T139" i="4" a="1"/>
  <c r="T139" i="4" s="1"/>
  <c r="R139" i="4" a="1"/>
  <c r="R139" i="4" s="1"/>
  <c r="N139" i="4"/>
  <c r="M139" i="4"/>
  <c r="G139" i="4"/>
  <c r="I139" i="4" s="1"/>
  <c r="M21" i="4"/>
  <c r="N21" i="4"/>
  <c r="R29" i="4" a="1"/>
  <c r="R29" i="4" s="1"/>
  <c r="Q29" i="4" s="1"/>
  <c r="T29" i="4" a="1"/>
  <c r="T29" i="4" s="1"/>
  <c r="M22" i="4"/>
  <c r="N22" i="4"/>
  <c r="R30" i="4" a="1"/>
  <c r="R30" i="4" s="1"/>
  <c r="Q30" i="4" s="1"/>
  <c r="T30" i="4" a="1"/>
  <c r="T30" i="4" s="1"/>
  <c r="T197" i="4" a="1"/>
  <c r="T197" i="4" s="1"/>
  <c r="R197" i="4" a="1"/>
  <c r="R197" i="4" s="1"/>
  <c r="N197" i="4"/>
  <c r="F197" i="4"/>
  <c r="T99" i="4" a="1"/>
  <c r="T99" i="4" s="1"/>
  <c r="T202" i="4" a="1"/>
  <c r="T202" i="4" s="1"/>
  <c r="R202" i="4" a="1"/>
  <c r="R202" i="4" s="1"/>
  <c r="Q202" i="4" s="1"/>
  <c r="I202" i="4"/>
  <c r="M224" i="4"/>
  <c r="L224" i="4" s="1"/>
  <c r="J29" i="5"/>
  <c r="M119" i="4" s="1"/>
  <c r="G119" i="4" s="1"/>
  <c r="J30" i="5"/>
  <c r="J26" i="5"/>
  <c r="J27" i="5"/>
  <c r="J28" i="5"/>
  <c r="R205" i="4" a="1"/>
  <c r="R205" i="4" s="1"/>
  <c r="T205" i="4" a="1"/>
  <c r="T205" i="4" s="1"/>
  <c r="R206" i="4" a="1"/>
  <c r="R206" i="4" s="1"/>
  <c r="T206" i="4" a="1"/>
  <c r="T206" i="4" s="1"/>
  <c r="R207" i="4" a="1"/>
  <c r="R207" i="4" s="1"/>
  <c r="T207" i="4" a="1"/>
  <c r="T207" i="4" s="1"/>
  <c r="R208" i="4" a="1"/>
  <c r="R208" i="4" s="1"/>
  <c r="Q208" i="4" s="1"/>
  <c r="T208" i="4" a="1"/>
  <c r="T208" i="4" s="1"/>
  <c r="R209" i="4" a="1"/>
  <c r="R209" i="4" s="1"/>
  <c r="T209" i="4" a="1"/>
  <c r="T209" i="4" s="1"/>
  <c r="R210" i="4" a="1"/>
  <c r="R210" i="4" s="1"/>
  <c r="T210" i="4" a="1"/>
  <c r="T210" i="4" s="1"/>
  <c r="R211" i="4" a="1"/>
  <c r="R211" i="4" s="1"/>
  <c r="Q211" i="4" s="1"/>
  <c r="T211" i="4" a="1"/>
  <c r="T211" i="4" s="1"/>
  <c r="R212" i="4" a="1"/>
  <c r="R212" i="4" s="1"/>
  <c r="Q212" i="4" s="1"/>
  <c r="T212" i="4" a="1"/>
  <c r="T212" i="4" s="1"/>
  <c r="R213" i="4" a="1"/>
  <c r="R213" i="4" s="1"/>
  <c r="T213" i="4" a="1"/>
  <c r="T213" i="4" s="1"/>
  <c r="R214" i="4" a="1"/>
  <c r="R214" i="4" s="1"/>
  <c r="T214" i="4" a="1"/>
  <c r="T214" i="4" s="1"/>
  <c r="R215" i="4" a="1"/>
  <c r="R215" i="4" s="1"/>
  <c r="T215" i="4" a="1"/>
  <c r="T215" i="4" s="1"/>
  <c r="R216" i="4" a="1"/>
  <c r="R216" i="4" s="1"/>
  <c r="T216" i="4" a="1"/>
  <c r="T216" i="4" s="1"/>
  <c r="R217" i="4" a="1"/>
  <c r="R217" i="4" s="1"/>
  <c r="T217" i="4" a="1"/>
  <c r="T217" i="4" s="1"/>
  <c r="R218" i="4" a="1"/>
  <c r="R218" i="4" s="1"/>
  <c r="T218" i="4" a="1"/>
  <c r="T218" i="4" s="1"/>
  <c r="R219" i="4" a="1"/>
  <c r="R219" i="4" s="1"/>
  <c r="Q219" i="4" s="1"/>
  <c r="T219" i="4" a="1"/>
  <c r="T219" i="4" s="1"/>
  <c r="R220" i="4" a="1"/>
  <c r="R220" i="4" s="1"/>
  <c r="T220" i="4" a="1"/>
  <c r="T220" i="4" s="1"/>
  <c r="R221" i="4" a="1"/>
  <c r="R221" i="4" s="1"/>
  <c r="T221" i="4" a="1"/>
  <c r="T221" i="4" s="1"/>
  <c r="R222" i="4" a="1"/>
  <c r="R222" i="4" s="1"/>
  <c r="T222" i="4" a="1"/>
  <c r="T222" i="4" s="1"/>
  <c r="R223" i="4" a="1"/>
  <c r="R223" i="4" s="1"/>
  <c r="T223" i="4" a="1"/>
  <c r="T223" i="4" s="1"/>
  <c r="R224" i="4" a="1"/>
  <c r="R224" i="4" s="1"/>
  <c r="Q224" i="4" s="1"/>
  <c r="T224" i="4" a="1"/>
  <c r="T224" i="4" s="1"/>
  <c r="R225" i="4" a="1"/>
  <c r="R225" i="4" s="1"/>
  <c r="T225" i="4" a="1"/>
  <c r="T225" i="4" s="1"/>
  <c r="R228" i="4" a="1"/>
  <c r="R228" i="4" s="1"/>
  <c r="T228" i="4" a="1"/>
  <c r="T228" i="4" s="1"/>
  <c r="R229" i="4" a="1"/>
  <c r="R229" i="4" s="1"/>
  <c r="T229" i="4" a="1"/>
  <c r="T229" i="4" s="1"/>
  <c r="R230" i="4" a="1"/>
  <c r="R230" i="4" s="1"/>
  <c r="T230" i="4" a="1"/>
  <c r="T230" i="4" s="1"/>
  <c r="R231" i="4" a="1"/>
  <c r="R231" i="4" s="1"/>
  <c r="T231" i="4" a="1"/>
  <c r="T231" i="4" s="1"/>
  <c r="R232" i="4" a="1"/>
  <c r="R232" i="4" s="1"/>
  <c r="T232" i="4" a="1"/>
  <c r="T232" i="4" s="1"/>
  <c r="R233" i="4" a="1"/>
  <c r="R233" i="4" s="1"/>
  <c r="T233" i="4" a="1"/>
  <c r="T233" i="4" s="1"/>
  <c r="R200" i="4" a="1"/>
  <c r="R200" i="4" s="1"/>
  <c r="T200" i="4" a="1"/>
  <c r="T200" i="4" s="1"/>
  <c r="R201" i="4" a="1"/>
  <c r="R201" i="4" s="1"/>
  <c r="Q201" i="4" s="1"/>
  <c r="T201" i="4" a="1"/>
  <c r="T201" i="4" s="1"/>
  <c r="R203" i="4" a="1"/>
  <c r="R203" i="4" s="1"/>
  <c r="Q203" i="4" s="1"/>
  <c r="T203" i="4" a="1"/>
  <c r="T203" i="4" s="1"/>
  <c r="R204" i="4" a="1"/>
  <c r="R204" i="4" s="1"/>
  <c r="T204" i="4" a="1"/>
  <c r="T204" i="4" s="1"/>
  <c r="R94" i="4" a="1"/>
  <c r="R94" i="4" s="1"/>
  <c r="Q94" i="4" s="1"/>
  <c r="T94" i="4" a="1"/>
  <c r="T94" i="4" s="1"/>
  <c r="R95" i="4" a="1"/>
  <c r="R95" i="4" s="1"/>
  <c r="T95" i="4" a="1"/>
  <c r="T95" i="4" s="1"/>
  <c r="R96" i="4" a="1"/>
  <c r="R96" i="4" s="1"/>
  <c r="Q96" i="4" s="1"/>
  <c r="T96" i="4" a="1"/>
  <c r="T96" i="4" s="1"/>
  <c r="R97" i="4" a="1"/>
  <c r="R97" i="4" s="1"/>
  <c r="T97" i="4" a="1"/>
  <c r="T97" i="4" s="1"/>
  <c r="R98" i="4" a="1"/>
  <c r="R98" i="4" s="1"/>
  <c r="T98" i="4" a="1"/>
  <c r="T98" i="4" s="1"/>
  <c r="R99" i="4" a="1"/>
  <c r="R99" i="4" s="1"/>
  <c r="Q99" i="4" s="1"/>
  <c r="R100" i="4" a="1"/>
  <c r="R100" i="4" s="1"/>
  <c r="T100" i="4" a="1"/>
  <c r="T100" i="4" s="1"/>
  <c r="R101" i="4" a="1"/>
  <c r="R101" i="4" s="1"/>
  <c r="T101" i="4" a="1"/>
  <c r="T101" i="4" s="1"/>
  <c r="R102" i="4" a="1"/>
  <c r="R102" i="4" s="1"/>
  <c r="T102" i="4" a="1"/>
  <c r="T102" i="4" s="1"/>
  <c r="R103" i="4" a="1"/>
  <c r="R103" i="4" s="1"/>
  <c r="T103" i="4" a="1"/>
  <c r="T103" i="4" s="1"/>
  <c r="R104" i="4" a="1"/>
  <c r="R104" i="4" s="1"/>
  <c r="T104" i="4" a="1"/>
  <c r="T104" i="4" s="1"/>
  <c r="R105" i="4" a="1"/>
  <c r="R105" i="4" s="1"/>
  <c r="Q105" i="4" s="1"/>
  <c r="T105" i="4" a="1"/>
  <c r="T105" i="4" s="1"/>
  <c r="R108" i="4" a="1"/>
  <c r="R108" i="4" s="1"/>
  <c r="T108" i="4" a="1"/>
  <c r="T108" i="4" s="1"/>
  <c r="R109" i="4" a="1"/>
  <c r="R109" i="4" s="1"/>
  <c r="T109" i="4" a="1"/>
  <c r="T109" i="4" s="1"/>
  <c r="R110" i="4" a="1"/>
  <c r="R110" i="4" s="1"/>
  <c r="T110" i="4" a="1"/>
  <c r="T110" i="4" s="1"/>
  <c r="R114" i="4" a="1"/>
  <c r="R114" i="4" s="1"/>
  <c r="T114" i="4" a="1"/>
  <c r="T114" i="4" s="1"/>
  <c r="R115" i="4" a="1"/>
  <c r="R115" i="4" s="1"/>
  <c r="T115" i="4" a="1"/>
  <c r="T115" i="4" s="1"/>
  <c r="R116" i="4" a="1"/>
  <c r="R116" i="4" s="1"/>
  <c r="T116" i="4" a="1"/>
  <c r="T116" i="4" s="1"/>
  <c r="R117" i="4" a="1"/>
  <c r="R117" i="4" s="1"/>
  <c r="T117" i="4" a="1"/>
  <c r="T117" i="4" s="1"/>
  <c r="R118" i="4" a="1"/>
  <c r="R118" i="4" s="1"/>
  <c r="T118" i="4" a="1"/>
  <c r="T118" i="4" s="1"/>
  <c r="R119" i="4" a="1"/>
  <c r="R119" i="4" s="1"/>
  <c r="T119" i="4" a="1"/>
  <c r="T119" i="4" s="1"/>
  <c r="R120" i="4" a="1"/>
  <c r="R120" i="4" s="1"/>
  <c r="T120" i="4" a="1"/>
  <c r="T120" i="4" s="1"/>
  <c r="R122" i="4" a="1"/>
  <c r="R122" i="4" s="1"/>
  <c r="T122" i="4" a="1"/>
  <c r="T122" i="4" s="1"/>
  <c r="R128" i="4" a="1"/>
  <c r="R128" i="4" s="1"/>
  <c r="T128" i="4" a="1"/>
  <c r="T128" i="4" s="1"/>
  <c r="R129" i="4" a="1"/>
  <c r="R129" i="4" s="1"/>
  <c r="T129" i="4" a="1"/>
  <c r="T129" i="4" s="1"/>
  <c r="R130" i="4" a="1"/>
  <c r="R130" i="4" s="1"/>
  <c r="T130" i="4" a="1"/>
  <c r="T130" i="4" s="1"/>
  <c r="R131" i="4" a="1"/>
  <c r="R131" i="4" s="1"/>
  <c r="T131" i="4" a="1"/>
  <c r="T131" i="4" s="1"/>
  <c r="R132" i="4" a="1"/>
  <c r="R132" i="4" s="1"/>
  <c r="T132" i="4" a="1"/>
  <c r="T132" i="4" s="1"/>
  <c r="R133" i="4" a="1"/>
  <c r="R133" i="4" s="1"/>
  <c r="T133" i="4" a="1"/>
  <c r="T133" i="4" s="1"/>
  <c r="R134" i="4" a="1"/>
  <c r="R134" i="4" s="1"/>
  <c r="T134" i="4" a="1"/>
  <c r="T134" i="4" s="1"/>
  <c r="R135" i="4" a="1"/>
  <c r="R135" i="4" s="1"/>
  <c r="Q135" i="4" s="1"/>
  <c r="T135" i="4" a="1"/>
  <c r="T135" i="4" s="1"/>
  <c r="R136" i="4" a="1"/>
  <c r="R136" i="4" s="1"/>
  <c r="Q136" i="4" s="1"/>
  <c r="T136" i="4" a="1"/>
  <c r="T136" i="4" s="1"/>
  <c r="R138" i="4" a="1"/>
  <c r="R138" i="4" s="1"/>
  <c r="T138" i="4" a="1"/>
  <c r="T138" i="4" s="1"/>
  <c r="R141" i="4" a="1"/>
  <c r="R141" i="4" s="1"/>
  <c r="T141" i="4" a="1"/>
  <c r="T141" i="4" s="1"/>
  <c r="R142" i="4" a="1"/>
  <c r="R142" i="4" s="1"/>
  <c r="T142" i="4" a="1"/>
  <c r="T142" i="4" s="1"/>
  <c r="R143" i="4" a="1"/>
  <c r="R143" i="4" s="1"/>
  <c r="T143" i="4" a="1"/>
  <c r="T143" i="4" s="1"/>
  <c r="R144" i="4" a="1"/>
  <c r="R144" i="4" s="1"/>
  <c r="T144" i="4" a="1"/>
  <c r="T144" i="4" s="1"/>
  <c r="R145" i="4" a="1"/>
  <c r="R145" i="4" s="1"/>
  <c r="T145" i="4" a="1"/>
  <c r="T145" i="4" s="1"/>
  <c r="R146" i="4" a="1"/>
  <c r="R146" i="4" s="1"/>
  <c r="T146" i="4" a="1"/>
  <c r="T146" i="4" s="1"/>
  <c r="R147" i="4" a="1"/>
  <c r="R147" i="4" s="1"/>
  <c r="T147" i="4" a="1"/>
  <c r="T147" i="4" s="1"/>
  <c r="R148" i="4" a="1"/>
  <c r="R148" i="4" s="1"/>
  <c r="T148" i="4" a="1"/>
  <c r="T148" i="4" s="1"/>
  <c r="R149" i="4" a="1"/>
  <c r="R149" i="4" s="1"/>
  <c r="T149" i="4" a="1"/>
  <c r="T149" i="4" s="1"/>
  <c r="R150" i="4" a="1"/>
  <c r="R150" i="4" s="1"/>
  <c r="T150" i="4" a="1"/>
  <c r="T150" i="4" s="1"/>
  <c r="R151" i="4" a="1"/>
  <c r="R151" i="4" s="1"/>
  <c r="T151" i="4" a="1"/>
  <c r="T151" i="4" s="1"/>
  <c r="R152" i="4" a="1"/>
  <c r="R152" i="4" s="1"/>
  <c r="T152" i="4" a="1"/>
  <c r="T152" i="4" s="1"/>
  <c r="R154" i="4" a="1"/>
  <c r="R154" i="4" s="1"/>
  <c r="T154" i="4" a="1"/>
  <c r="T154" i="4" s="1"/>
  <c r="R155" i="4" a="1"/>
  <c r="R155" i="4" s="1"/>
  <c r="T155" i="4" a="1"/>
  <c r="T155" i="4" s="1"/>
  <c r="R156" i="4" a="1"/>
  <c r="R156" i="4" s="1"/>
  <c r="T156" i="4" a="1"/>
  <c r="T156" i="4" s="1"/>
  <c r="R157" i="4" a="1"/>
  <c r="R157" i="4" s="1"/>
  <c r="T157" i="4" a="1"/>
  <c r="T157" i="4" s="1"/>
  <c r="R160" i="4" a="1"/>
  <c r="R160" i="4" s="1"/>
  <c r="T160" i="4" a="1"/>
  <c r="T160" i="4" s="1"/>
  <c r="R161" i="4" a="1"/>
  <c r="R161" i="4" s="1"/>
  <c r="T161" i="4" a="1"/>
  <c r="T161" i="4" s="1"/>
  <c r="R162" i="4" a="1"/>
  <c r="R162" i="4" s="1"/>
  <c r="T162" i="4" a="1"/>
  <c r="T162" i="4" s="1"/>
  <c r="R163" i="4" a="1"/>
  <c r="R163" i="4" s="1"/>
  <c r="T163" i="4" a="1"/>
  <c r="T163" i="4" s="1"/>
  <c r="R164" i="4" a="1"/>
  <c r="R164" i="4" s="1"/>
  <c r="T164" i="4" a="1"/>
  <c r="T164" i="4" s="1"/>
  <c r="R165" i="4" a="1"/>
  <c r="R165" i="4" s="1"/>
  <c r="T165" i="4" a="1"/>
  <c r="T165" i="4" s="1"/>
  <c r="R166" i="4" a="1"/>
  <c r="R166" i="4" s="1"/>
  <c r="T166" i="4" a="1"/>
  <c r="T166" i="4" s="1"/>
  <c r="R167" i="4" a="1"/>
  <c r="R167" i="4" s="1"/>
  <c r="T167" i="4" a="1"/>
  <c r="T167" i="4" s="1"/>
  <c r="R168" i="4" a="1"/>
  <c r="R168" i="4" s="1"/>
  <c r="T168" i="4" a="1"/>
  <c r="T168" i="4" s="1"/>
  <c r="R169" i="4" a="1"/>
  <c r="R169" i="4" s="1"/>
  <c r="T169" i="4" a="1"/>
  <c r="T169" i="4" s="1"/>
  <c r="R170" i="4" a="1"/>
  <c r="R170" i="4" s="1"/>
  <c r="T170" i="4" a="1"/>
  <c r="T170" i="4" s="1"/>
  <c r="R171" i="4" a="1"/>
  <c r="R171" i="4" s="1"/>
  <c r="T171" i="4" a="1"/>
  <c r="T171" i="4" s="1"/>
  <c r="R172" i="4" a="1"/>
  <c r="R172" i="4" s="1"/>
  <c r="T172" i="4" a="1"/>
  <c r="T172" i="4" s="1"/>
  <c r="R173" i="4" a="1"/>
  <c r="R173" i="4" s="1"/>
  <c r="T173" i="4" a="1"/>
  <c r="T173" i="4" s="1"/>
  <c r="R174" i="4" a="1"/>
  <c r="R174" i="4" s="1"/>
  <c r="T174" i="4" a="1"/>
  <c r="T174" i="4" s="1"/>
  <c r="R176" i="4" a="1"/>
  <c r="R176" i="4" s="1"/>
  <c r="T176" i="4" a="1"/>
  <c r="T176" i="4" s="1"/>
  <c r="R179" i="4" a="1"/>
  <c r="R179" i="4" s="1"/>
  <c r="T179" i="4" a="1"/>
  <c r="T179" i="4" s="1"/>
  <c r="R180" i="4" a="1"/>
  <c r="R180" i="4" s="1"/>
  <c r="T180" i="4" a="1"/>
  <c r="T180" i="4" s="1"/>
  <c r="R181" i="4" a="1"/>
  <c r="R181" i="4" s="1"/>
  <c r="T181" i="4" a="1"/>
  <c r="T181" i="4" s="1"/>
  <c r="R183" i="4" a="1"/>
  <c r="R183" i="4" s="1"/>
  <c r="T183" i="4" a="1"/>
  <c r="T183" i="4" s="1"/>
  <c r="R184" i="4" a="1"/>
  <c r="R184" i="4" s="1"/>
  <c r="T184" i="4" a="1"/>
  <c r="T184" i="4" s="1"/>
  <c r="R185" i="4" a="1"/>
  <c r="R185" i="4" s="1"/>
  <c r="T185" i="4" a="1"/>
  <c r="T185" i="4" s="1"/>
  <c r="R187" i="4" a="1"/>
  <c r="R187" i="4" s="1"/>
  <c r="T187" i="4" a="1"/>
  <c r="T187" i="4" s="1"/>
  <c r="R188" i="4" a="1"/>
  <c r="R188" i="4" s="1"/>
  <c r="T188" i="4" a="1"/>
  <c r="T188" i="4" s="1"/>
  <c r="R189" i="4" a="1"/>
  <c r="R189" i="4" s="1"/>
  <c r="T189" i="4" a="1"/>
  <c r="T189" i="4" s="1"/>
  <c r="R190" i="4" a="1"/>
  <c r="R190" i="4" s="1"/>
  <c r="T190" i="4" a="1"/>
  <c r="T190" i="4" s="1"/>
  <c r="R191" i="4" a="1"/>
  <c r="R191" i="4" s="1"/>
  <c r="T191" i="4" a="1"/>
  <c r="T191" i="4" s="1"/>
  <c r="R192" i="4" a="1"/>
  <c r="R192" i="4" s="1"/>
  <c r="T192" i="4" a="1"/>
  <c r="T192" i="4" s="1"/>
  <c r="R193" i="4" a="1"/>
  <c r="R193" i="4" s="1"/>
  <c r="T193" i="4" a="1"/>
  <c r="T193" i="4" s="1"/>
  <c r="R194" i="4" a="1"/>
  <c r="R194" i="4" s="1"/>
  <c r="Q194" i="4" s="1"/>
  <c r="T194" i="4" a="1"/>
  <c r="T194" i="4" s="1"/>
  <c r="R195" i="4" a="1"/>
  <c r="R195" i="4" s="1"/>
  <c r="T195" i="4" a="1"/>
  <c r="T195" i="4" s="1"/>
  <c r="R196" i="4" a="1"/>
  <c r="R196" i="4" s="1"/>
  <c r="T196" i="4" a="1"/>
  <c r="T196" i="4" s="1"/>
  <c r="R198" i="4" a="1"/>
  <c r="R198" i="4" s="1"/>
  <c r="T198" i="4" a="1"/>
  <c r="T198" i="4" s="1"/>
  <c r="R3" i="4" a="1"/>
  <c r="R3" i="4" s="1"/>
  <c r="T3" i="4" a="1"/>
  <c r="T3" i="4" s="1"/>
  <c r="R4" i="4" a="1"/>
  <c r="R4" i="4" s="1"/>
  <c r="T4" i="4" a="1"/>
  <c r="T4" i="4" s="1"/>
  <c r="R5" i="4" a="1"/>
  <c r="R5" i="4" s="1"/>
  <c r="T5" i="4" a="1"/>
  <c r="T5" i="4" s="1"/>
  <c r="R6" i="4" a="1"/>
  <c r="R6" i="4" s="1"/>
  <c r="T6" i="4" a="1"/>
  <c r="T6" i="4" s="1"/>
  <c r="R7" i="4" a="1"/>
  <c r="R7" i="4" s="1"/>
  <c r="T7" i="4" a="1"/>
  <c r="T7" i="4" s="1"/>
  <c r="R8" i="4" a="1"/>
  <c r="R8" i="4" s="1"/>
  <c r="T8" i="4" a="1"/>
  <c r="T8" i="4" s="1"/>
  <c r="R9" i="4" a="1"/>
  <c r="R9" i="4" s="1"/>
  <c r="T9" i="4" a="1"/>
  <c r="T9" i="4" s="1"/>
  <c r="R10" i="4" a="1"/>
  <c r="R10" i="4" s="1"/>
  <c r="T10" i="4" a="1"/>
  <c r="T10" i="4" s="1"/>
  <c r="R11" i="4" a="1"/>
  <c r="R11" i="4" s="1"/>
  <c r="T11" i="4" a="1"/>
  <c r="T11" i="4" s="1"/>
  <c r="R12" i="4" a="1"/>
  <c r="R12" i="4" s="1"/>
  <c r="T12" i="4" a="1"/>
  <c r="T12" i="4" s="1"/>
  <c r="R13" i="4" a="1"/>
  <c r="R13" i="4" s="1"/>
  <c r="T13" i="4" a="1"/>
  <c r="T13" i="4" s="1"/>
  <c r="R14" i="4" a="1"/>
  <c r="R14" i="4" s="1"/>
  <c r="T14" i="4" a="1"/>
  <c r="T14" i="4" s="1"/>
  <c r="R15" i="4" a="1"/>
  <c r="R15" i="4" s="1"/>
  <c r="T15" i="4" a="1"/>
  <c r="T15" i="4" s="1"/>
  <c r="R16" i="4" a="1"/>
  <c r="R16" i="4" s="1"/>
  <c r="T16" i="4" a="1"/>
  <c r="T16" i="4" s="1"/>
  <c r="R17" i="4" a="1"/>
  <c r="R17" i="4" s="1"/>
  <c r="T17" i="4" a="1"/>
  <c r="T17" i="4" s="1"/>
  <c r="R18" i="4" a="1"/>
  <c r="R18" i="4" s="1"/>
  <c r="T18" i="4" a="1"/>
  <c r="T18" i="4" s="1"/>
  <c r="R19" i="4" a="1"/>
  <c r="R19" i="4" s="1"/>
  <c r="T19" i="4" a="1"/>
  <c r="T19" i="4" s="1"/>
  <c r="R20" i="4" a="1"/>
  <c r="R20" i="4" s="1"/>
  <c r="T20" i="4" a="1"/>
  <c r="T20" i="4" s="1"/>
  <c r="R21" i="4" a="1"/>
  <c r="R21" i="4" s="1"/>
  <c r="T21" i="4" a="1"/>
  <c r="T21" i="4" s="1"/>
  <c r="R22" i="4" a="1"/>
  <c r="R22" i="4" s="1"/>
  <c r="T22" i="4" a="1"/>
  <c r="T22" i="4" s="1"/>
  <c r="R24" i="4" a="1"/>
  <c r="R24" i="4" s="1"/>
  <c r="T24" i="4" a="1"/>
  <c r="T24" i="4" s="1"/>
  <c r="R25" i="4" a="1"/>
  <c r="R25" i="4" s="1"/>
  <c r="T25" i="4" a="1"/>
  <c r="T25" i="4" s="1"/>
  <c r="R26" i="4" a="1"/>
  <c r="R26" i="4" s="1"/>
  <c r="T26" i="4" a="1"/>
  <c r="T26" i="4" s="1"/>
  <c r="R27" i="4" a="1"/>
  <c r="R27" i="4" s="1"/>
  <c r="T27" i="4" a="1"/>
  <c r="T27" i="4" s="1"/>
  <c r="R28" i="4" a="1"/>
  <c r="R28" i="4" s="1"/>
  <c r="T28" i="4" a="1"/>
  <c r="T28" i="4" s="1"/>
  <c r="R31" i="4" a="1"/>
  <c r="R31" i="4" s="1"/>
  <c r="T31" i="4" a="1"/>
  <c r="T31" i="4" s="1"/>
  <c r="R33" i="4" a="1"/>
  <c r="R33" i="4" s="1"/>
  <c r="T33" i="4" a="1"/>
  <c r="T33" i="4" s="1"/>
  <c r="R34" i="4" a="1"/>
  <c r="R34" i="4" s="1"/>
  <c r="Q34" i="4" s="1"/>
  <c r="T34" i="4" a="1"/>
  <c r="T34" i="4" s="1"/>
  <c r="R35" i="4" a="1"/>
  <c r="R35" i="4" s="1"/>
  <c r="Q35" i="4" s="1"/>
  <c r="T35" i="4" a="1"/>
  <c r="T35" i="4" s="1"/>
  <c r="R36" i="4" a="1"/>
  <c r="R36" i="4" s="1"/>
  <c r="Q36" i="4" s="1"/>
  <c r="T36" i="4" a="1"/>
  <c r="T36" i="4" s="1"/>
  <c r="R37" i="4" a="1"/>
  <c r="R37" i="4" s="1"/>
  <c r="T37" i="4" a="1"/>
  <c r="T37" i="4" s="1"/>
  <c r="R38" i="4" a="1"/>
  <c r="R38" i="4" s="1"/>
  <c r="Q38" i="4" s="1"/>
  <c r="T38" i="4" a="1"/>
  <c r="T38" i="4" s="1"/>
  <c r="R39" i="4" a="1"/>
  <c r="R39" i="4" s="1"/>
  <c r="T39" i="4" a="1"/>
  <c r="T39" i="4" s="1"/>
  <c r="R40" i="4" a="1"/>
  <c r="R40" i="4" s="1"/>
  <c r="T40" i="4" a="1"/>
  <c r="T40" i="4" s="1"/>
  <c r="R41" i="4" a="1"/>
  <c r="R41" i="4" s="1"/>
  <c r="T41" i="4" a="1"/>
  <c r="T41" i="4" s="1"/>
  <c r="R42" i="4" a="1"/>
  <c r="R42" i="4" s="1"/>
  <c r="T42" i="4" a="1"/>
  <c r="T42" i="4" s="1"/>
  <c r="R43" i="4" a="1"/>
  <c r="R43" i="4" s="1"/>
  <c r="T43" i="4" a="1"/>
  <c r="T43" i="4" s="1"/>
  <c r="R44" i="4" a="1"/>
  <c r="R44" i="4" s="1"/>
  <c r="T44" i="4" a="1"/>
  <c r="T44" i="4" s="1"/>
  <c r="R45" i="4" a="1"/>
  <c r="R45" i="4" s="1"/>
  <c r="T45" i="4" a="1"/>
  <c r="T45" i="4" s="1"/>
  <c r="R46" i="4" a="1"/>
  <c r="R46" i="4" s="1"/>
  <c r="T46" i="4" a="1"/>
  <c r="T46" i="4" s="1"/>
  <c r="R47" i="4" a="1"/>
  <c r="R47" i="4" s="1"/>
  <c r="T47" i="4" a="1"/>
  <c r="T47" i="4" s="1"/>
  <c r="R48" i="4" a="1"/>
  <c r="R48" i="4" s="1"/>
  <c r="T48" i="4" a="1"/>
  <c r="T48" i="4" s="1"/>
  <c r="R49" i="4" a="1"/>
  <c r="R49" i="4" s="1"/>
  <c r="T49" i="4" a="1"/>
  <c r="T49" i="4" s="1"/>
  <c r="R50" i="4" a="1"/>
  <c r="R50" i="4" s="1"/>
  <c r="T50" i="4" a="1"/>
  <c r="T50" i="4" s="1"/>
  <c r="R51" i="4" a="1"/>
  <c r="R51" i="4" s="1"/>
  <c r="T51" i="4" a="1"/>
  <c r="T51" i="4" s="1"/>
  <c r="R52" i="4" a="1"/>
  <c r="R52" i="4" s="1"/>
  <c r="T52" i="4" a="1"/>
  <c r="T52" i="4" s="1"/>
  <c r="R53" i="4" a="1"/>
  <c r="R53" i="4" s="1"/>
  <c r="T53" i="4" a="1"/>
  <c r="T53" i="4" s="1"/>
  <c r="R54" i="4" a="1"/>
  <c r="R54" i="4" s="1"/>
  <c r="Q54" i="4" s="1"/>
  <c r="T54" i="4" a="1"/>
  <c r="T54" i="4" s="1"/>
  <c r="R58" i="4" a="1"/>
  <c r="R58" i="4" s="1"/>
  <c r="T58" i="4" a="1"/>
  <c r="T58" i="4" s="1"/>
  <c r="R59" i="4" a="1"/>
  <c r="R59" i="4" s="1"/>
  <c r="T59" i="4" a="1"/>
  <c r="T59" i="4" s="1"/>
  <c r="R60" i="4" a="1"/>
  <c r="R60" i="4" s="1"/>
  <c r="T60" i="4" a="1"/>
  <c r="T60" i="4" s="1"/>
  <c r="R61" i="4" a="1"/>
  <c r="R61" i="4" s="1"/>
  <c r="T61" i="4" a="1"/>
  <c r="T61" i="4" s="1"/>
  <c r="R62" i="4" a="1"/>
  <c r="R62" i="4" s="1"/>
  <c r="T62" i="4" a="1"/>
  <c r="T62" i="4" s="1"/>
  <c r="R63" i="4" a="1"/>
  <c r="R63" i="4" s="1"/>
  <c r="T63" i="4" a="1"/>
  <c r="T63" i="4" s="1"/>
  <c r="R64" i="4" a="1"/>
  <c r="R64" i="4" s="1"/>
  <c r="T64" i="4" a="1"/>
  <c r="T64" i="4" s="1"/>
  <c r="R65" i="4" a="1"/>
  <c r="R65" i="4" s="1"/>
  <c r="T65" i="4" a="1"/>
  <c r="T65" i="4" s="1"/>
  <c r="R66" i="4" a="1"/>
  <c r="R66" i="4" s="1"/>
  <c r="T66" i="4" a="1"/>
  <c r="T66" i="4" s="1"/>
  <c r="R67" i="4" a="1"/>
  <c r="R67" i="4" s="1"/>
  <c r="T67" i="4" a="1"/>
  <c r="T67" i="4" s="1"/>
  <c r="R68" i="4" a="1"/>
  <c r="R68" i="4" s="1"/>
  <c r="T68" i="4" a="1"/>
  <c r="T68" i="4" s="1"/>
  <c r="R69" i="4" a="1"/>
  <c r="R69" i="4" s="1"/>
  <c r="T69" i="4" a="1"/>
  <c r="T69" i="4" s="1"/>
  <c r="R70" i="4" a="1"/>
  <c r="R70" i="4" s="1"/>
  <c r="T70" i="4" a="1"/>
  <c r="T70" i="4" s="1"/>
  <c r="R71" i="4" a="1"/>
  <c r="R71" i="4" s="1"/>
  <c r="T71" i="4" a="1"/>
  <c r="T71" i="4" s="1"/>
  <c r="R72" i="4" a="1"/>
  <c r="R72" i="4" s="1"/>
  <c r="T72" i="4" a="1"/>
  <c r="T72" i="4" s="1"/>
  <c r="R73" i="4" a="1"/>
  <c r="R73" i="4" s="1"/>
  <c r="T73" i="4" a="1"/>
  <c r="T73" i="4" s="1"/>
  <c r="R74" i="4" a="1"/>
  <c r="R74" i="4" s="1"/>
  <c r="T74" i="4" a="1"/>
  <c r="T74" i="4" s="1"/>
  <c r="R75" i="4" a="1"/>
  <c r="R75" i="4" s="1"/>
  <c r="T75" i="4" a="1"/>
  <c r="T75" i="4" s="1"/>
  <c r="R76" i="4" a="1"/>
  <c r="R76" i="4" s="1"/>
  <c r="T76" i="4" a="1"/>
  <c r="T76" i="4" s="1"/>
  <c r="R77" i="4" a="1"/>
  <c r="R77" i="4" s="1"/>
  <c r="T77" i="4" a="1"/>
  <c r="T77" i="4" s="1"/>
  <c r="R78" i="4" a="1"/>
  <c r="R78" i="4" s="1"/>
  <c r="T78" i="4" a="1"/>
  <c r="T78" i="4" s="1"/>
  <c r="R79" i="4" a="1"/>
  <c r="R79" i="4" s="1"/>
  <c r="T79" i="4" a="1"/>
  <c r="T79" i="4" s="1"/>
  <c r="R80" i="4" a="1"/>
  <c r="R80" i="4" s="1"/>
  <c r="T80" i="4" a="1"/>
  <c r="T80" i="4" s="1"/>
  <c r="R81" i="4" a="1"/>
  <c r="R81" i="4" s="1"/>
  <c r="T81" i="4" a="1"/>
  <c r="T81" i="4" s="1"/>
  <c r="R82" i="4" a="1"/>
  <c r="R82" i="4" s="1"/>
  <c r="T82" i="4" a="1"/>
  <c r="T82" i="4" s="1"/>
  <c r="R83" i="4" a="1"/>
  <c r="R83" i="4" s="1"/>
  <c r="T83" i="4" a="1"/>
  <c r="T83" i="4" s="1"/>
  <c r="R84" i="4" a="1"/>
  <c r="R84" i="4" s="1"/>
  <c r="T84" i="4" a="1"/>
  <c r="T84" i="4" s="1"/>
  <c r="R85" i="4" a="1"/>
  <c r="R85" i="4" s="1"/>
  <c r="T85" i="4" a="1"/>
  <c r="T85" i="4" s="1"/>
  <c r="R88" i="4" a="1"/>
  <c r="R88" i="4" s="1"/>
  <c r="T88" i="4" a="1"/>
  <c r="T88" i="4" s="1"/>
  <c r="R91" i="4" a="1"/>
  <c r="R91" i="4" s="1"/>
  <c r="T91" i="4" a="1"/>
  <c r="T91" i="4" s="1"/>
  <c r="R92" i="4" a="1"/>
  <c r="R92" i="4" s="1"/>
  <c r="T92" i="4" a="1"/>
  <c r="T92" i="4" s="1"/>
  <c r="T2" i="4" a="1"/>
  <c r="T2" i="4" s="1"/>
  <c r="R2" i="4" a="1"/>
  <c r="R2" i="4" s="1"/>
  <c r="M208" i="4"/>
  <c r="N207" i="4"/>
  <c r="F207" i="4"/>
  <c r="G207" i="4" s="1"/>
  <c r="B3" i="6"/>
  <c r="H26" i="5"/>
  <c r="F25" i="5"/>
  <c r="E25" i="5"/>
  <c r="D25" i="5"/>
  <c r="N82" i="3" s="1"/>
  <c r="D23" i="5"/>
  <c r="D22" i="5"/>
  <c r="D19" i="5"/>
  <c r="N7" i="3" s="1"/>
  <c r="D18" i="5"/>
  <c r="D17" i="5"/>
  <c r="D16" i="5"/>
  <c r="N206" i="4" s="1"/>
  <c r="H13" i="5"/>
  <c r="H12" i="5"/>
  <c r="F12" i="5"/>
  <c r="H11" i="5"/>
  <c r="F11" i="5"/>
  <c r="D11" i="5"/>
  <c r="B11" i="5"/>
  <c r="F10" i="5"/>
  <c r="M215" i="4" s="1"/>
  <c r="D10" i="5"/>
  <c r="F9" i="5"/>
  <c r="M168" i="3" s="1"/>
  <c r="L168" i="3" s="1"/>
  <c r="D9" i="5"/>
  <c r="H8" i="5"/>
  <c r="F8" i="5"/>
  <c r="H7" i="5"/>
  <c r="F7" i="5"/>
  <c r="D7" i="5"/>
  <c r="C7" i="5"/>
  <c r="H6" i="5"/>
  <c r="M211" i="4" s="1"/>
  <c r="F6" i="5"/>
  <c r="E6" i="5"/>
  <c r="F5" i="5"/>
  <c r="M36" i="3" s="1"/>
  <c r="E5" i="5"/>
  <c r="F4" i="5"/>
  <c r="D4" i="5"/>
  <c r="M53" i="10" s="1"/>
  <c r="C4" i="5"/>
  <c r="H3" i="5"/>
  <c r="F3" i="5"/>
  <c r="D3" i="5"/>
  <c r="F235" i="4"/>
  <c r="G233" i="4"/>
  <c r="N232" i="4"/>
  <c r="M232" i="4"/>
  <c r="G232" i="4"/>
  <c r="G231" i="4"/>
  <c r="N230" i="4"/>
  <c r="M230" i="4"/>
  <c r="G230" i="4"/>
  <c r="I230" i="4" s="1"/>
  <c r="N228" i="4"/>
  <c r="M228" i="4"/>
  <c r="G228" i="4"/>
  <c r="I225" i="4"/>
  <c r="I224" i="4"/>
  <c r="N223" i="4"/>
  <c r="N222" i="4"/>
  <c r="M222" i="4"/>
  <c r="G222" i="4"/>
  <c r="N221" i="4"/>
  <c r="M221" i="4"/>
  <c r="G221" i="4"/>
  <c r="N220" i="4"/>
  <c r="M220" i="4"/>
  <c r="G220" i="4"/>
  <c r="I220" i="4" s="1"/>
  <c r="N219" i="4"/>
  <c r="M219" i="4"/>
  <c r="I219" i="4"/>
  <c r="N218" i="4"/>
  <c r="M218" i="4"/>
  <c r="G218" i="4"/>
  <c r="I218" i="4" s="1"/>
  <c r="N217" i="4"/>
  <c r="M217" i="4"/>
  <c r="G217" i="4"/>
  <c r="I217" i="4" s="1"/>
  <c r="N216" i="4"/>
  <c r="M216" i="4"/>
  <c r="G216" i="4"/>
  <c r="I216" i="4" s="1"/>
  <c r="G215" i="4"/>
  <c r="G214" i="4"/>
  <c r="G213" i="4"/>
  <c r="F212" i="4"/>
  <c r="N211" i="4"/>
  <c r="I211" i="4"/>
  <c r="N210" i="4"/>
  <c r="N209" i="4"/>
  <c r="M209" i="4"/>
  <c r="I209" i="4"/>
  <c r="N208" i="4"/>
  <c r="G206" i="4"/>
  <c r="N205" i="4"/>
  <c r="M205" i="4"/>
  <c r="G205" i="4"/>
  <c r="N204" i="4"/>
  <c r="M204" i="4"/>
  <c r="G204" i="4"/>
  <c r="N203" i="4"/>
  <c r="I203" i="4"/>
  <c r="N201" i="4"/>
  <c r="M201" i="4"/>
  <c r="I201" i="4"/>
  <c r="N200" i="4"/>
  <c r="I200" i="4"/>
  <c r="N198" i="4"/>
  <c r="F198" i="4"/>
  <c r="N196" i="4"/>
  <c r="G196" i="4"/>
  <c r="I196" i="4" s="1"/>
  <c r="N195" i="4"/>
  <c r="G195" i="4"/>
  <c r="I195" i="4" s="1"/>
  <c r="N194" i="4"/>
  <c r="I194" i="4"/>
  <c r="N193" i="4"/>
  <c r="M193" i="4"/>
  <c r="N192" i="4"/>
  <c r="M192" i="4"/>
  <c r="G192" i="4"/>
  <c r="N191" i="4"/>
  <c r="G191" i="4"/>
  <c r="I191" i="4" s="1"/>
  <c r="G190" i="4"/>
  <c r="I190" i="4" s="1"/>
  <c r="N189" i="4"/>
  <c r="G189" i="4"/>
  <c r="I189" i="4" s="1"/>
  <c r="N188" i="4"/>
  <c r="M188" i="4"/>
  <c r="G188" i="4"/>
  <c r="N187" i="4"/>
  <c r="M187" i="4"/>
  <c r="G187" i="4"/>
  <c r="N185" i="4"/>
  <c r="M185" i="4"/>
  <c r="G185" i="4"/>
  <c r="I185" i="4" s="1"/>
  <c r="N184" i="4"/>
  <c r="M184" i="4"/>
  <c r="G184" i="4"/>
  <c r="N181" i="4"/>
  <c r="M181" i="4"/>
  <c r="G181" i="4"/>
  <c r="N180" i="4"/>
  <c r="M180" i="4"/>
  <c r="G180" i="4"/>
  <c r="I180" i="4" s="1"/>
  <c r="N179" i="4"/>
  <c r="M179" i="4"/>
  <c r="G179" i="4"/>
  <c r="N176" i="4"/>
  <c r="M176" i="4"/>
  <c r="G176" i="4"/>
  <c r="G174" i="4"/>
  <c r="N173" i="4"/>
  <c r="M173" i="4"/>
  <c r="I173" i="4"/>
  <c r="N172" i="4"/>
  <c r="M172" i="4"/>
  <c r="G172" i="4"/>
  <c r="N171" i="4"/>
  <c r="M171" i="4"/>
  <c r="G171" i="4"/>
  <c r="I171" i="4" s="1"/>
  <c r="N170" i="4"/>
  <c r="M170" i="4"/>
  <c r="G170" i="4"/>
  <c r="I170" i="4" s="1"/>
  <c r="N169" i="4"/>
  <c r="M169" i="4"/>
  <c r="G169" i="4"/>
  <c r="I169" i="4" s="1"/>
  <c r="N168" i="4"/>
  <c r="M168" i="4"/>
  <c r="G168" i="4"/>
  <c r="I168" i="4" s="1"/>
  <c r="N167" i="4"/>
  <c r="M167" i="4"/>
  <c r="G167" i="4"/>
  <c r="I167" i="4" s="1"/>
  <c r="N166" i="4"/>
  <c r="M166" i="4"/>
  <c r="G166" i="4"/>
  <c r="I166" i="4" s="1"/>
  <c r="N165" i="4"/>
  <c r="M165" i="4"/>
  <c r="G165" i="4"/>
  <c r="I165" i="4" s="1"/>
  <c r="N164" i="4"/>
  <c r="M164" i="4"/>
  <c r="G164" i="4"/>
  <c r="I164" i="4" s="1"/>
  <c r="N163" i="4"/>
  <c r="M163" i="4"/>
  <c r="G163" i="4"/>
  <c r="I163" i="4" s="1"/>
  <c r="N162" i="4"/>
  <c r="M162" i="4"/>
  <c r="G162" i="4"/>
  <c r="I162" i="4" s="1"/>
  <c r="N161" i="4"/>
  <c r="M161" i="4"/>
  <c r="G161" i="4"/>
  <c r="I161" i="4" s="1"/>
  <c r="N160" i="4"/>
  <c r="M160" i="4"/>
  <c r="F160" i="4"/>
  <c r="G160" i="4" s="1"/>
  <c r="I160" i="4" s="1"/>
  <c r="N157" i="4"/>
  <c r="M157" i="4"/>
  <c r="F157" i="4"/>
  <c r="G157" i="4" s="1"/>
  <c r="N156" i="4"/>
  <c r="M156" i="4"/>
  <c r="F156" i="4"/>
  <c r="G156" i="4" s="1"/>
  <c r="N155" i="4"/>
  <c r="M155" i="4"/>
  <c r="F155" i="4"/>
  <c r="G155" i="4" s="1"/>
  <c r="N154" i="4"/>
  <c r="M154" i="4"/>
  <c r="F154" i="4"/>
  <c r="G154" i="4" s="1"/>
  <c r="I154" i="4" s="1"/>
  <c r="N152" i="4"/>
  <c r="M152" i="4"/>
  <c r="I152" i="4"/>
  <c r="G151" i="4"/>
  <c r="G150" i="4"/>
  <c r="G149" i="4"/>
  <c r="N148" i="4"/>
  <c r="G148" i="4"/>
  <c r="N147" i="4"/>
  <c r="M147" i="4"/>
  <c r="G147" i="4"/>
  <c r="N146" i="4"/>
  <c r="M146" i="4"/>
  <c r="G146" i="4"/>
  <c r="N145" i="4"/>
  <c r="M145" i="4"/>
  <c r="G145" i="4"/>
  <c r="M144" i="4"/>
  <c r="F144" i="4"/>
  <c r="G144" i="4" s="1"/>
  <c r="N143" i="4"/>
  <c r="G143" i="4"/>
  <c r="N142" i="4"/>
  <c r="M142" i="4"/>
  <c r="G142" i="4"/>
  <c r="I142" i="4" s="1"/>
  <c r="I141" i="4"/>
  <c r="N138" i="4"/>
  <c r="M138" i="4"/>
  <c r="G138" i="4"/>
  <c r="N136" i="4"/>
  <c r="M136" i="4"/>
  <c r="I136" i="4"/>
  <c r="N135" i="4"/>
  <c r="L135" i="4" s="1"/>
  <c r="I135" i="4"/>
  <c r="N134" i="4"/>
  <c r="M134" i="4"/>
  <c r="G134" i="4"/>
  <c r="I134" i="4" s="1"/>
  <c r="N133" i="4"/>
  <c r="M133" i="4"/>
  <c r="G133" i="4"/>
  <c r="I133" i="4" s="1"/>
  <c r="N132" i="4"/>
  <c r="M132" i="4"/>
  <c r="G132" i="4"/>
  <c r="N131" i="4"/>
  <c r="M131" i="4"/>
  <c r="N130" i="4"/>
  <c r="G130" i="4"/>
  <c r="G129" i="4"/>
  <c r="I129" i="4" s="1"/>
  <c r="N128" i="4"/>
  <c r="M128" i="4"/>
  <c r="G128" i="4"/>
  <c r="I127" i="4"/>
  <c r="N125" i="4"/>
  <c r="M125" i="4"/>
  <c r="I125" i="4"/>
  <c r="N124" i="4"/>
  <c r="G124" i="4"/>
  <c r="N123" i="4"/>
  <c r="M123" i="4"/>
  <c r="G123" i="4"/>
  <c r="I123" i="4" s="1"/>
  <c r="G122" i="4"/>
  <c r="N121" i="4"/>
  <c r="M121" i="4"/>
  <c r="G121" i="4"/>
  <c r="I121" i="4" s="1"/>
  <c r="N120" i="4"/>
  <c r="M120" i="4"/>
  <c r="G120" i="4"/>
  <c r="I114" i="4"/>
  <c r="N110" i="4"/>
  <c r="I110" i="4"/>
  <c r="N109" i="4"/>
  <c r="G109" i="4"/>
  <c r="I109" i="4" s="1"/>
  <c r="N108" i="4"/>
  <c r="M108" i="4"/>
  <c r="G108" i="4"/>
  <c r="N105" i="4"/>
  <c r="M105" i="4"/>
  <c r="I105" i="4"/>
  <c r="G103" i="4"/>
  <c r="I103" i="4" s="1"/>
  <c r="N102" i="4"/>
  <c r="M102" i="4"/>
  <c r="G102" i="4"/>
  <c r="G101" i="4"/>
  <c r="N100" i="4"/>
  <c r="G100" i="4"/>
  <c r="N99" i="4"/>
  <c r="M99" i="4"/>
  <c r="N98" i="4"/>
  <c r="M98" i="4"/>
  <c r="G98" i="4"/>
  <c r="G97" i="4"/>
  <c r="I96" i="4"/>
  <c r="N95" i="4"/>
  <c r="M95" i="4"/>
  <c r="G95" i="4"/>
  <c r="N92" i="4"/>
  <c r="M92" i="4"/>
  <c r="G92" i="4"/>
  <c r="I92" i="4" s="1"/>
  <c r="N91" i="4"/>
  <c r="G91" i="4"/>
  <c r="I91" i="4" s="1"/>
  <c r="I88" i="4"/>
  <c r="N85" i="4"/>
  <c r="G85" i="4"/>
  <c r="I85" i="4" s="1"/>
  <c r="N84" i="4"/>
  <c r="M84" i="4"/>
  <c r="G84" i="4"/>
  <c r="I84" i="4" s="1"/>
  <c r="N83" i="4"/>
  <c r="M83" i="4"/>
  <c r="G83" i="4"/>
  <c r="I83" i="4" s="1"/>
  <c r="N82" i="4"/>
  <c r="M82" i="4"/>
  <c r="G82" i="4"/>
  <c r="I82" i="4" s="1"/>
  <c r="N81" i="4"/>
  <c r="M81" i="4"/>
  <c r="G81" i="4"/>
  <c r="I81" i="4" s="1"/>
  <c r="N80" i="4"/>
  <c r="M80" i="4"/>
  <c r="G80" i="4"/>
  <c r="I80" i="4" s="1"/>
  <c r="N79" i="4"/>
  <c r="M79" i="4"/>
  <c r="G79" i="4"/>
  <c r="I79" i="4" s="1"/>
  <c r="G78" i="4"/>
  <c r="I78" i="4" s="1"/>
  <c r="G77" i="4"/>
  <c r="I77" i="4" s="1"/>
  <c r="G76" i="4"/>
  <c r="I76" i="4" s="1"/>
  <c r="N75" i="4"/>
  <c r="M75" i="4"/>
  <c r="G75" i="4"/>
  <c r="I75" i="4" s="1"/>
  <c r="G74" i="4"/>
  <c r="I74" i="4" s="1"/>
  <c r="N73" i="4"/>
  <c r="M73" i="4"/>
  <c r="G73" i="4"/>
  <c r="I73" i="4" s="1"/>
  <c r="M72" i="4"/>
  <c r="G72" i="4"/>
  <c r="I72" i="4" s="1"/>
  <c r="N71" i="4"/>
  <c r="M71" i="4"/>
  <c r="G71" i="4"/>
  <c r="I71" i="4" s="1"/>
  <c r="N70" i="4"/>
  <c r="M70" i="4"/>
  <c r="G70" i="4"/>
  <c r="I70" i="4" s="1"/>
  <c r="N69" i="4"/>
  <c r="M69" i="4"/>
  <c r="G69" i="4"/>
  <c r="I69" i="4" s="1"/>
  <c r="N68" i="4"/>
  <c r="M68" i="4"/>
  <c r="N67" i="4"/>
  <c r="M67" i="4"/>
  <c r="G67" i="4"/>
  <c r="I67" i="4" s="1"/>
  <c r="N66" i="4"/>
  <c r="M66" i="4"/>
  <c r="G66" i="4"/>
  <c r="I66" i="4" s="1"/>
  <c r="N65" i="4"/>
  <c r="M65" i="4"/>
  <c r="G65" i="4"/>
  <c r="I65" i="4" s="1"/>
  <c r="N64" i="4"/>
  <c r="M64" i="4"/>
  <c r="G64" i="4"/>
  <c r="I64" i="4" s="1"/>
  <c r="N63" i="4"/>
  <c r="F63" i="4"/>
  <c r="G63" i="4" s="1"/>
  <c r="I63" i="4" s="1"/>
  <c r="N62" i="4"/>
  <c r="G62" i="4"/>
  <c r="N61" i="4"/>
  <c r="G61" i="4"/>
  <c r="N60" i="4"/>
  <c r="M60" i="4"/>
  <c r="G60" i="4"/>
  <c r="N59" i="4"/>
  <c r="M59" i="4"/>
  <c r="G59" i="4"/>
  <c r="I59" i="4" s="1"/>
  <c r="N58" i="4"/>
  <c r="I58" i="4"/>
  <c r="N54" i="4"/>
  <c r="M54" i="4"/>
  <c r="I54" i="4"/>
  <c r="G53" i="4"/>
  <c r="I53" i="4" s="1"/>
  <c r="N52" i="4"/>
  <c r="M52" i="4"/>
  <c r="G52" i="4"/>
  <c r="I52" i="4" s="1"/>
  <c r="N51" i="4"/>
  <c r="M51" i="4"/>
  <c r="G51" i="4"/>
  <c r="I51" i="4" s="1"/>
  <c r="G50" i="4"/>
  <c r="I50" i="4" s="1"/>
  <c r="N49" i="4"/>
  <c r="M49" i="4"/>
  <c r="G49" i="4"/>
  <c r="I49" i="4" s="1"/>
  <c r="N48" i="4"/>
  <c r="M48" i="4"/>
  <c r="G48" i="4"/>
  <c r="I48" i="4" s="1"/>
  <c r="N47" i="4"/>
  <c r="M47" i="4"/>
  <c r="G47" i="4"/>
  <c r="I47" i="4" s="1"/>
  <c r="N46" i="4"/>
  <c r="M46" i="4"/>
  <c r="G46" i="4"/>
  <c r="I46" i="4" s="1"/>
  <c r="N45" i="4"/>
  <c r="M45" i="4"/>
  <c r="G45" i="4"/>
  <c r="I45" i="4" s="1"/>
  <c r="N44" i="4"/>
  <c r="M44" i="4"/>
  <c r="G44" i="4"/>
  <c r="I44" i="4" s="1"/>
  <c r="N43" i="4"/>
  <c r="I43" i="4"/>
  <c r="G42" i="4"/>
  <c r="G41" i="4"/>
  <c r="G40" i="4"/>
  <c r="N39" i="4"/>
  <c r="G39" i="4"/>
  <c r="N38" i="4"/>
  <c r="I38" i="4"/>
  <c r="N37" i="4"/>
  <c r="M37" i="4"/>
  <c r="G37" i="4"/>
  <c r="I37" i="4" s="1"/>
  <c r="N36" i="4"/>
  <c r="M36" i="4"/>
  <c r="N35" i="4"/>
  <c r="I35" i="4"/>
  <c r="N34" i="4"/>
  <c r="I34" i="4"/>
  <c r="N33" i="4"/>
  <c r="M33" i="4"/>
  <c r="I33" i="4"/>
  <c r="N31" i="4"/>
  <c r="M31" i="4"/>
  <c r="I31" i="4"/>
  <c r="N30" i="4"/>
  <c r="M30" i="4"/>
  <c r="I30" i="4"/>
  <c r="N29" i="4"/>
  <c r="M29" i="4"/>
  <c r="I29" i="4"/>
  <c r="N28" i="4"/>
  <c r="M28" i="4"/>
  <c r="I28" i="4"/>
  <c r="N27" i="4"/>
  <c r="M27" i="4"/>
  <c r="G27" i="4"/>
  <c r="I27" i="4" s="1"/>
  <c r="N26" i="4"/>
  <c r="M26" i="4"/>
  <c r="G26" i="4"/>
  <c r="F24" i="4"/>
  <c r="N23" i="4"/>
  <c r="M23" i="4"/>
  <c r="G23" i="4"/>
  <c r="I23" i="4" s="1"/>
  <c r="N20" i="4"/>
  <c r="M20" i="4"/>
  <c r="G20" i="4"/>
  <c r="I20" i="4" s="1"/>
  <c r="N19" i="4"/>
  <c r="M19" i="4"/>
  <c r="G19" i="4"/>
  <c r="G18" i="4"/>
  <c r="N17" i="4"/>
  <c r="M17" i="4"/>
  <c r="G17" i="4"/>
  <c r="N16" i="4"/>
  <c r="G16" i="4"/>
  <c r="N15" i="4"/>
  <c r="M15" i="4"/>
  <c r="G15" i="4"/>
  <c r="N14" i="4"/>
  <c r="M14" i="4"/>
  <c r="G14" i="4"/>
  <c r="N13" i="4"/>
  <c r="M13" i="4"/>
  <c r="N12" i="4"/>
  <c r="M12" i="4"/>
  <c r="N11" i="4"/>
  <c r="M11" i="4"/>
  <c r="N10" i="4"/>
  <c r="F10" i="4"/>
  <c r="G10" i="4" s="1"/>
  <c r="N9" i="4"/>
  <c r="M9" i="4"/>
  <c r="F9" i="4"/>
  <c r="G9" i="4" s="1"/>
  <c r="I9" i="4" s="1"/>
  <c r="N8" i="4"/>
  <c r="M8" i="4"/>
  <c r="F8" i="4"/>
  <c r="G8" i="4" s="1"/>
  <c r="G7" i="4"/>
  <c r="I7" i="4" s="1"/>
  <c r="G6" i="4"/>
  <c r="I6" i="4" s="1"/>
  <c r="N5" i="4"/>
  <c r="M5" i="4"/>
  <c r="I5" i="4"/>
  <c r="N4" i="4"/>
  <c r="M4" i="4"/>
  <c r="G4" i="4"/>
  <c r="I4" i="4" s="1"/>
  <c r="F3" i="4"/>
  <c r="G3" i="4" s="1"/>
  <c r="L3" i="4" s="1"/>
  <c r="G2" i="4"/>
  <c r="L2" i="4" s="1"/>
  <c r="L189" i="3"/>
  <c r="I184" i="3"/>
  <c r="N183" i="3"/>
  <c r="M183" i="3"/>
  <c r="I183" i="3"/>
  <c r="I182" i="3"/>
  <c r="N181" i="3"/>
  <c r="M181" i="3"/>
  <c r="I181" i="3"/>
  <c r="I180" i="3"/>
  <c r="N179" i="3"/>
  <c r="M179" i="3"/>
  <c r="I179" i="3"/>
  <c r="I178" i="3"/>
  <c r="N177" i="3"/>
  <c r="I177" i="3"/>
  <c r="N176" i="3"/>
  <c r="M176" i="3"/>
  <c r="I176" i="3"/>
  <c r="N175" i="3"/>
  <c r="M175" i="3"/>
  <c r="I175" i="3"/>
  <c r="N174" i="3"/>
  <c r="M174" i="3"/>
  <c r="I174" i="3"/>
  <c r="N173" i="3"/>
  <c r="M173" i="3"/>
  <c r="I173" i="3"/>
  <c r="N172" i="3"/>
  <c r="M172" i="3"/>
  <c r="I172" i="3"/>
  <c r="N171" i="3"/>
  <c r="M171" i="3"/>
  <c r="I171" i="3"/>
  <c r="N170" i="3"/>
  <c r="M170" i="3"/>
  <c r="I170" i="3"/>
  <c r="N166" i="3"/>
  <c r="M166" i="3"/>
  <c r="G166" i="3"/>
  <c r="I166" i="3" s="1"/>
  <c r="N165" i="3"/>
  <c r="M165" i="3"/>
  <c r="I165" i="3"/>
  <c r="G165" i="3"/>
  <c r="N164" i="3"/>
  <c r="M164" i="3"/>
  <c r="I164" i="3"/>
  <c r="N163" i="3"/>
  <c r="M163" i="3"/>
  <c r="G163" i="3"/>
  <c r="I163" i="3" s="1"/>
  <c r="I162" i="3"/>
  <c r="N161" i="3"/>
  <c r="M161" i="3"/>
  <c r="I161" i="3"/>
  <c r="N160" i="3"/>
  <c r="M160" i="3"/>
  <c r="I160" i="3"/>
  <c r="N159" i="3"/>
  <c r="I159" i="3"/>
  <c r="G159" i="3"/>
  <c r="N158" i="3"/>
  <c r="I158" i="3"/>
  <c r="N157" i="3"/>
  <c r="I157" i="3"/>
  <c r="N156" i="3"/>
  <c r="M156" i="3"/>
  <c r="I156" i="3"/>
  <c r="N155" i="3"/>
  <c r="M155" i="3"/>
  <c r="I155" i="3"/>
  <c r="N154" i="3"/>
  <c r="I154" i="3"/>
  <c r="I153" i="3"/>
  <c r="N152" i="3"/>
  <c r="I152" i="3"/>
  <c r="N151" i="3"/>
  <c r="M151" i="3"/>
  <c r="I151" i="3"/>
  <c r="N150" i="3"/>
  <c r="M150" i="3"/>
  <c r="I150" i="3"/>
  <c r="N149" i="3"/>
  <c r="M149" i="3"/>
  <c r="I149" i="3"/>
  <c r="N148" i="3"/>
  <c r="M148" i="3"/>
  <c r="I148" i="3"/>
  <c r="I147" i="3"/>
  <c r="N146" i="3"/>
  <c r="M146" i="3"/>
  <c r="I146" i="3"/>
  <c r="N145" i="3"/>
  <c r="M145" i="3"/>
  <c r="I145" i="3"/>
  <c r="N144" i="3"/>
  <c r="M144" i="3"/>
  <c r="I144" i="3"/>
  <c r="N143" i="3"/>
  <c r="M143" i="3"/>
  <c r="I143" i="3"/>
  <c r="I142" i="3"/>
  <c r="N141" i="3"/>
  <c r="M141" i="3"/>
  <c r="I141" i="3"/>
  <c r="N140" i="3"/>
  <c r="M140" i="3"/>
  <c r="I140" i="3"/>
  <c r="N139" i="3"/>
  <c r="M139" i="3"/>
  <c r="I139" i="3"/>
  <c r="N138" i="3"/>
  <c r="M138" i="3"/>
  <c r="I138" i="3"/>
  <c r="N137" i="3"/>
  <c r="M137" i="3"/>
  <c r="I137" i="3"/>
  <c r="N136" i="3"/>
  <c r="M136" i="3"/>
  <c r="I136" i="3"/>
  <c r="N135" i="3"/>
  <c r="M135" i="3"/>
  <c r="I135" i="3"/>
  <c r="N134" i="3"/>
  <c r="M134" i="3"/>
  <c r="I134" i="3"/>
  <c r="N133" i="3"/>
  <c r="M133" i="3"/>
  <c r="I133" i="3"/>
  <c r="N132" i="3"/>
  <c r="M132" i="3"/>
  <c r="I132" i="3"/>
  <c r="N131" i="3"/>
  <c r="M131" i="3"/>
  <c r="I131" i="3"/>
  <c r="N130" i="3"/>
  <c r="M130" i="3"/>
  <c r="I130" i="3"/>
  <c r="N129" i="3"/>
  <c r="M129" i="3"/>
  <c r="I129" i="3"/>
  <c r="N128" i="3"/>
  <c r="M128" i="3"/>
  <c r="G128" i="3"/>
  <c r="I128" i="3" s="1"/>
  <c r="N127" i="3"/>
  <c r="M127" i="3"/>
  <c r="I127" i="3"/>
  <c r="G127" i="3"/>
  <c r="N126" i="3"/>
  <c r="M126" i="3"/>
  <c r="G126" i="3"/>
  <c r="I126" i="3" s="1"/>
  <c r="N125" i="3"/>
  <c r="M125" i="3"/>
  <c r="I125" i="3"/>
  <c r="G125" i="3"/>
  <c r="N124" i="3"/>
  <c r="M124" i="3"/>
  <c r="G124" i="3"/>
  <c r="I124" i="3" s="1"/>
  <c r="N123" i="3"/>
  <c r="M123" i="3"/>
  <c r="I123" i="3"/>
  <c r="N119" i="3"/>
  <c r="N118" i="3"/>
  <c r="M118" i="3"/>
  <c r="N117" i="3"/>
  <c r="M117" i="3"/>
  <c r="N116" i="3"/>
  <c r="M116" i="3"/>
  <c r="M115" i="3"/>
  <c r="G115" i="3"/>
  <c r="N114" i="3"/>
  <c r="I114" i="3"/>
  <c r="N113" i="3"/>
  <c r="M113" i="3"/>
  <c r="I113" i="3"/>
  <c r="N112" i="3"/>
  <c r="M112" i="3"/>
  <c r="I112" i="3"/>
  <c r="N111" i="3"/>
  <c r="M111" i="3"/>
  <c r="I111" i="3"/>
  <c r="N110" i="3"/>
  <c r="M110" i="3"/>
  <c r="I110" i="3"/>
  <c r="N109" i="3"/>
  <c r="M109" i="3"/>
  <c r="I109" i="3"/>
  <c r="N108" i="3"/>
  <c r="M108" i="3"/>
  <c r="I108" i="3"/>
  <c r="N107" i="3"/>
  <c r="I107" i="3"/>
  <c r="N106" i="3"/>
  <c r="I106" i="3"/>
  <c r="N105" i="3"/>
  <c r="M105" i="3"/>
  <c r="I105" i="3"/>
  <c r="I104" i="3"/>
  <c r="N103" i="3"/>
  <c r="M103" i="3"/>
  <c r="I103" i="3"/>
  <c r="N102" i="3"/>
  <c r="I102" i="3"/>
  <c r="N101" i="3"/>
  <c r="M101" i="3"/>
  <c r="I101" i="3"/>
  <c r="I100" i="3"/>
  <c r="N99" i="3"/>
  <c r="M99" i="3"/>
  <c r="I99" i="3"/>
  <c r="N98" i="3"/>
  <c r="M98" i="3"/>
  <c r="I98" i="3"/>
  <c r="I97" i="3"/>
  <c r="N96" i="3"/>
  <c r="I96" i="3"/>
  <c r="N95" i="3"/>
  <c r="I95" i="3"/>
  <c r="N94" i="3"/>
  <c r="M94" i="3"/>
  <c r="I94" i="3"/>
  <c r="N93" i="3"/>
  <c r="M93" i="3"/>
  <c r="I93" i="3"/>
  <c r="M92" i="3"/>
  <c r="I92" i="3"/>
  <c r="N91" i="3"/>
  <c r="M91" i="3"/>
  <c r="I91" i="3"/>
  <c r="I90" i="3"/>
  <c r="N89" i="3"/>
  <c r="I89" i="3"/>
  <c r="N88" i="3"/>
  <c r="M88" i="3"/>
  <c r="I88" i="3"/>
  <c r="N87" i="3"/>
  <c r="M87" i="3"/>
  <c r="N85" i="3"/>
  <c r="M85" i="3"/>
  <c r="I85" i="3"/>
  <c r="N84" i="3"/>
  <c r="M84" i="3"/>
  <c r="I84" i="3"/>
  <c r="I83" i="3"/>
  <c r="I82" i="3"/>
  <c r="N81" i="3"/>
  <c r="I81" i="3"/>
  <c r="N80" i="3"/>
  <c r="M80" i="3"/>
  <c r="I80" i="3"/>
  <c r="N79" i="3"/>
  <c r="M79" i="3"/>
  <c r="I79" i="3"/>
  <c r="N78" i="3"/>
  <c r="M78" i="3"/>
  <c r="I78" i="3"/>
  <c r="N77" i="3"/>
  <c r="M77" i="3"/>
  <c r="I77" i="3"/>
  <c r="N76" i="3"/>
  <c r="M76" i="3"/>
  <c r="I76" i="3"/>
  <c r="N75" i="3"/>
  <c r="M75" i="3"/>
  <c r="I75" i="3"/>
  <c r="I74" i="3"/>
  <c r="I73" i="3"/>
  <c r="I72" i="3"/>
  <c r="N71" i="3"/>
  <c r="M71" i="3"/>
  <c r="I71" i="3"/>
  <c r="I70" i="3"/>
  <c r="N69" i="3"/>
  <c r="M69" i="3"/>
  <c r="I69" i="3"/>
  <c r="M68" i="3"/>
  <c r="I68" i="3"/>
  <c r="N67" i="3"/>
  <c r="M67" i="3"/>
  <c r="I67" i="3"/>
  <c r="N66" i="3"/>
  <c r="M66" i="3"/>
  <c r="I66" i="3"/>
  <c r="N65" i="3"/>
  <c r="M65" i="3"/>
  <c r="I65" i="3"/>
  <c r="N64" i="3"/>
  <c r="M64" i="3"/>
  <c r="I64" i="3"/>
  <c r="N63" i="3"/>
  <c r="M63" i="3"/>
  <c r="I63" i="3"/>
  <c r="N62" i="3"/>
  <c r="M62" i="3"/>
  <c r="I62" i="3"/>
  <c r="N61" i="3"/>
  <c r="M61" i="3"/>
  <c r="I61" i="3"/>
  <c r="N60" i="3"/>
  <c r="M60" i="3"/>
  <c r="I60" i="3"/>
  <c r="N59" i="3"/>
  <c r="G59" i="3"/>
  <c r="I59" i="3" s="1"/>
  <c r="N58" i="3"/>
  <c r="I58" i="3"/>
  <c r="N57" i="3"/>
  <c r="I57" i="3"/>
  <c r="N56" i="3"/>
  <c r="M56" i="3"/>
  <c r="I56" i="3"/>
  <c r="N55" i="3"/>
  <c r="M55" i="3"/>
  <c r="I55" i="3"/>
  <c r="N54" i="3"/>
  <c r="M54" i="3"/>
  <c r="I54" i="3"/>
  <c r="N53" i="3"/>
  <c r="M53" i="3"/>
  <c r="I53" i="3"/>
  <c r="N52" i="3"/>
  <c r="I52" i="3"/>
  <c r="N51" i="3"/>
  <c r="M51" i="3"/>
  <c r="I51" i="3"/>
  <c r="N50" i="3"/>
  <c r="M50" i="3"/>
  <c r="I50" i="3"/>
  <c r="N49" i="3"/>
  <c r="M49" i="3"/>
  <c r="I49" i="3"/>
  <c r="I48" i="3"/>
  <c r="N47" i="3"/>
  <c r="M47" i="3"/>
  <c r="I47" i="3"/>
  <c r="N46" i="3"/>
  <c r="M46" i="3"/>
  <c r="I46" i="3"/>
  <c r="N45" i="3"/>
  <c r="M45" i="3"/>
  <c r="I45" i="3"/>
  <c r="N44" i="3"/>
  <c r="M44" i="3"/>
  <c r="I44" i="3"/>
  <c r="N43" i="3"/>
  <c r="M43" i="3"/>
  <c r="I43" i="3"/>
  <c r="N42" i="3"/>
  <c r="M42" i="3"/>
  <c r="I42" i="3"/>
  <c r="N41" i="3"/>
  <c r="M41" i="3"/>
  <c r="I41" i="3"/>
  <c r="N40" i="3"/>
  <c r="M40" i="3"/>
  <c r="I40" i="3"/>
  <c r="N39" i="3"/>
  <c r="I39" i="3"/>
  <c r="I38" i="3"/>
  <c r="I37" i="3"/>
  <c r="I36" i="3"/>
  <c r="I35" i="3"/>
  <c r="N34" i="3"/>
  <c r="M34" i="3"/>
  <c r="I34" i="3"/>
  <c r="M33" i="3"/>
  <c r="L33" i="3" s="1"/>
  <c r="I33" i="3"/>
  <c r="N32" i="3"/>
  <c r="M32" i="3"/>
  <c r="I32" i="3"/>
  <c r="N31" i="3"/>
  <c r="M31" i="3"/>
  <c r="I31" i="3"/>
  <c r="N30" i="3"/>
  <c r="M30" i="3"/>
  <c r="I30" i="3"/>
  <c r="N29" i="3"/>
  <c r="M29" i="3"/>
  <c r="I29" i="3"/>
  <c r="N28" i="3"/>
  <c r="M28" i="3"/>
  <c r="I28" i="3"/>
  <c r="N27" i="3"/>
  <c r="M27" i="3"/>
  <c r="I27" i="3"/>
  <c r="N26" i="3"/>
  <c r="M26" i="3"/>
  <c r="I26" i="3"/>
  <c r="N25" i="3"/>
  <c r="M25" i="3"/>
  <c r="I25" i="3"/>
  <c r="N24" i="3"/>
  <c r="M24" i="3"/>
  <c r="I24" i="3"/>
  <c r="N23" i="3"/>
  <c r="M23" i="3"/>
  <c r="I23" i="3"/>
  <c r="G22" i="3"/>
  <c r="I22" i="3" s="1"/>
  <c r="N21" i="3"/>
  <c r="M21" i="3"/>
  <c r="I21" i="3"/>
  <c r="N20" i="3"/>
  <c r="M20" i="3"/>
  <c r="I20" i="3"/>
  <c r="N19" i="3"/>
  <c r="M19" i="3"/>
  <c r="I19" i="3"/>
  <c r="I18" i="3"/>
  <c r="N17" i="3"/>
  <c r="M17" i="3"/>
  <c r="I17" i="3"/>
  <c r="N16" i="3"/>
  <c r="I16" i="3"/>
  <c r="N15" i="3"/>
  <c r="M15" i="3"/>
  <c r="I15" i="3"/>
  <c r="N14" i="3"/>
  <c r="M14" i="3"/>
  <c r="I14" i="3"/>
  <c r="N13" i="3"/>
  <c r="M13" i="3"/>
  <c r="I13" i="3"/>
  <c r="N12" i="3"/>
  <c r="M12" i="3"/>
  <c r="I12" i="3"/>
  <c r="N11" i="3"/>
  <c r="M11" i="3"/>
  <c r="I11" i="3"/>
  <c r="N10" i="3"/>
  <c r="I10" i="3"/>
  <c r="G10" i="3"/>
  <c r="G9" i="3"/>
  <c r="I9" i="3" s="1"/>
  <c r="I8" i="3"/>
  <c r="G8" i="3"/>
  <c r="I7" i="3"/>
  <c r="I6" i="3"/>
  <c r="N5" i="3"/>
  <c r="M5" i="3"/>
  <c r="I5" i="3"/>
  <c r="N4" i="3"/>
  <c r="M4" i="3"/>
  <c r="I4" i="3"/>
  <c r="G3" i="3"/>
  <c r="M39" i="4" l="1"/>
  <c r="M42" i="10"/>
  <c r="M35" i="4"/>
  <c r="L35" i="4" s="1"/>
  <c r="M37" i="10"/>
  <c r="N48" i="3"/>
  <c r="N53" i="10"/>
  <c r="S53" i="10" s="1"/>
  <c r="P53" i="10" s="1"/>
  <c r="M113" i="10"/>
  <c r="M110" i="4"/>
  <c r="M231" i="4"/>
  <c r="M187" i="10"/>
  <c r="M94" i="10"/>
  <c r="M93" i="10"/>
  <c r="M44" i="10"/>
  <c r="M20" i="10"/>
  <c r="M7" i="10"/>
  <c r="M105" i="10"/>
  <c r="M43" i="10"/>
  <c r="M33" i="10"/>
  <c r="M78" i="10"/>
  <c r="M148" i="10"/>
  <c r="M213" i="10"/>
  <c r="M210" i="10"/>
  <c r="M189" i="10"/>
  <c r="M155" i="10"/>
  <c r="M149" i="10"/>
  <c r="M34" i="4"/>
  <c r="S34" i="4" s="1"/>
  <c r="P34" i="4" s="1"/>
  <c r="M36" i="10"/>
  <c r="N178" i="3"/>
  <c r="N205" i="10"/>
  <c r="N172" i="10"/>
  <c r="N150" i="4"/>
  <c r="N93" i="10"/>
  <c r="N44" i="10"/>
  <c r="N210" i="10"/>
  <c r="N211" i="10"/>
  <c r="N148" i="10"/>
  <c r="N7" i="10"/>
  <c r="M227" i="4"/>
  <c r="S227" i="4" s="1"/>
  <c r="P227" i="4" s="1"/>
  <c r="M207" i="10"/>
  <c r="M100" i="10"/>
  <c r="M38" i="4"/>
  <c r="S38" i="4" s="1"/>
  <c r="P38" i="4" s="1"/>
  <c r="M189" i="4"/>
  <c r="M153" i="10"/>
  <c r="M112" i="10"/>
  <c r="M86" i="10"/>
  <c r="M46" i="10"/>
  <c r="M17" i="10"/>
  <c r="M16" i="10"/>
  <c r="M11" i="10"/>
  <c r="M97" i="10"/>
  <c r="M202" i="10"/>
  <c r="M186" i="10"/>
  <c r="M133" i="10"/>
  <c r="L127" i="10"/>
  <c r="M146" i="10"/>
  <c r="M141" i="10"/>
  <c r="M140" i="10"/>
  <c r="N151" i="4"/>
  <c r="N78" i="10"/>
  <c r="N43" i="10"/>
  <c r="N94" i="10"/>
  <c r="N213" i="10"/>
  <c r="N77" i="10"/>
  <c r="N20" i="10"/>
  <c r="N155" i="10"/>
  <c r="N149" i="10"/>
  <c r="N79" i="10"/>
  <c r="M75" i="10"/>
  <c r="N56" i="10"/>
  <c r="N88" i="10"/>
  <c r="N180" i="10"/>
  <c r="N190" i="10"/>
  <c r="N130" i="10"/>
  <c r="L130" i="10" s="1"/>
  <c r="N199" i="4"/>
  <c r="N193" i="10"/>
  <c r="N156" i="10"/>
  <c r="L156" i="10" s="1"/>
  <c r="N202" i="4"/>
  <c r="M212" i="4"/>
  <c r="M195" i="10"/>
  <c r="M24" i="4"/>
  <c r="S24" i="4" s="1"/>
  <c r="M24" i="10"/>
  <c r="M76" i="4"/>
  <c r="M77" i="10"/>
  <c r="M178" i="3"/>
  <c r="M172" i="10"/>
  <c r="N229" i="4"/>
  <c r="G229" i="4" s="1"/>
  <c r="I229" i="4" s="1"/>
  <c r="N209" i="10"/>
  <c r="N113" i="4"/>
  <c r="N116" i="10"/>
  <c r="N100" i="10"/>
  <c r="M223" i="4"/>
  <c r="L223" i="4" s="1"/>
  <c r="M205" i="10"/>
  <c r="M203" i="10"/>
  <c r="M67" i="10"/>
  <c r="M181" i="10"/>
  <c r="L179" i="4"/>
  <c r="L144" i="4"/>
  <c r="N8" i="3"/>
  <c r="N35" i="3"/>
  <c r="M22" i="3"/>
  <c r="L22" i="3" s="1"/>
  <c r="L20" i="3"/>
  <c r="L149" i="3"/>
  <c r="M86" i="3"/>
  <c r="N149" i="4"/>
  <c r="N147" i="3"/>
  <c r="N153" i="3"/>
  <c r="L176" i="3"/>
  <c r="N104" i="3"/>
  <c r="M77" i="4"/>
  <c r="M57" i="3"/>
  <c r="L75" i="3"/>
  <c r="L79" i="3"/>
  <c r="M122" i="3"/>
  <c r="N180" i="3"/>
  <c r="N41" i="4"/>
  <c r="M97" i="4"/>
  <c r="N233" i="4"/>
  <c r="N36" i="3"/>
  <c r="L36" i="3" s="1"/>
  <c r="M39" i="3"/>
  <c r="L39" i="3" s="1"/>
  <c r="M177" i="3"/>
  <c r="L177" i="3" s="1"/>
  <c r="N97" i="4"/>
  <c r="M142" i="3"/>
  <c r="M174" i="4"/>
  <c r="N159" i="4"/>
  <c r="L159" i="4" s="1"/>
  <c r="N127" i="4"/>
  <c r="L85" i="3"/>
  <c r="L110" i="3"/>
  <c r="M158" i="3"/>
  <c r="L158" i="3" s="1"/>
  <c r="M214" i="4"/>
  <c r="L214" i="4" s="1"/>
  <c r="N231" i="4"/>
  <c r="L231" i="4" s="1"/>
  <c r="M6" i="3"/>
  <c r="M35" i="3"/>
  <c r="L35" i="3" s="1"/>
  <c r="N74" i="3"/>
  <c r="N83" i="3"/>
  <c r="N90" i="3"/>
  <c r="N120" i="3"/>
  <c r="M159" i="3"/>
  <c r="L159" i="3" s="1"/>
  <c r="M169" i="3"/>
  <c r="L169" i="3" s="1"/>
  <c r="M182" i="3"/>
  <c r="M40" i="4"/>
  <c r="M96" i="4"/>
  <c r="M151" i="4"/>
  <c r="L151" i="4" s="1"/>
  <c r="N174" i="4"/>
  <c r="M233" i="4"/>
  <c r="N70" i="3"/>
  <c r="N6" i="3"/>
  <c r="M37" i="3"/>
  <c r="N97" i="3"/>
  <c r="N100" i="3"/>
  <c r="M121" i="3"/>
  <c r="N142" i="3"/>
  <c r="M157" i="3"/>
  <c r="L157" i="3" s="1"/>
  <c r="N162" i="3"/>
  <c r="N182" i="3"/>
  <c r="M6" i="4"/>
  <c r="N74" i="4"/>
  <c r="N78" i="4"/>
  <c r="N96" i="4"/>
  <c r="N101" i="4"/>
  <c r="M150" i="4"/>
  <c r="N89" i="4"/>
  <c r="N90" i="4"/>
  <c r="M8" i="3"/>
  <c r="N37" i="3"/>
  <c r="M73" i="3"/>
  <c r="M82" i="3"/>
  <c r="L82" i="3" s="1"/>
  <c r="N121" i="3"/>
  <c r="M184" i="3"/>
  <c r="N6" i="4"/>
  <c r="M41" i="4"/>
  <c r="M103" i="4"/>
  <c r="S103" i="4" s="1"/>
  <c r="N122" i="4"/>
  <c r="N190" i="4"/>
  <c r="M195" i="4"/>
  <c r="L195" i="4" s="1"/>
  <c r="M137" i="4"/>
  <c r="M86" i="4"/>
  <c r="M89" i="4"/>
  <c r="M90" i="4"/>
  <c r="N9" i="3"/>
  <c r="L25" i="3"/>
  <c r="L29" i="3"/>
  <c r="M32" i="4"/>
  <c r="L32" i="4" s="1"/>
  <c r="L23" i="3"/>
  <c r="L43" i="3"/>
  <c r="L47" i="3"/>
  <c r="M70" i="3"/>
  <c r="M50" i="4"/>
  <c r="L141" i="4"/>
  <c r="M74" i="3"/>
  <c r="L74" i="3" s="1"/>
  <c r="L150" i="3"/>
  <c r="L155" i="3"/>
  <c r="L173" i="3"/>
  <c r="L183" i="3"/>
  <c r="M10" i="3"/>
  <c r="L10" i="3" s="1"/>
  <c r="N73" i="3"/>
  <c r="M107" i="3"/>
  <c r="L107" i="3" s="1"/>
  <c r="M124" i="4"/>
  <c r="L124" i="4" s="1"/>
  <c r="M143" i="4"/>
  <c r="S143" i="4" s="1"/>
  <c r="L69" i="3"/>
  <c r="M72" i="3"/>
  <c r="L93" i="3"/>
  <c r="L99" i="3"/>
  <c r="L148" i="3"/>
  <c r="L88" i="4"/>
  <c r="M191" i="4"/>
  <c r="S191" i="4" s="1"/>
  <c r="S225" i="4"/>
  <c r="M63" i="4"/>
  <c r="S63" i="4" s="1"/>
  <c r="S110" i="4"/>
  <c r="M89" i="3"/>
  <c r="L89" i="3" s="1"/>
  <c r="M95" i="3"/>
  <c r="L95" i="3" s="1"/>
  <c r="L117" i="3"/>
  <c r="M119" i="3"/>
  <c r="L119" i="3" s="1"/>
  <c r="L151" i="3"/>
  <c r="L156" i="3"/>
  <c r="L164" i="3"/>
  <c r="N76" i="4"/>
  <c r="L76" i="4" s="1"/>
  <c r="M100" i="4"/>
  <c r="L100" i="4" s="1"/>
  <c r="L21" i="4"/>
  <c r="M198" i="4"/>
  <c r="L198" i="4" s="1"/>
  <c r="Q32" i="4"/>
  <c r="I32" i="4"/>
  <c r="Q143" i="4"/>
  <c r="L72" i="4"/>
  <c r="L139" i="4"/>
  <c r="Q156" i="4"/>
  <c r="Q174" i="4"/>
  <c r="Q232" i="4"/>
  <c r="O232" i="4" s="1"/>
  <c r="Q228" i="4"/>
  <c r="O228" i="4" s="1"/>
  <c r="S30" i="4"/>
  <c r="P30" i="4" s="1"/>
  <c r="S29" i="4"/>
  <c r="P29" i="4" s="1"/>
  <c r="Q139" i="4"/>
  <c r="S139" i="4"/>
  <c r="L22" i="4"/>
  <c r="Q146" i="4"/>
  <c r="Q229" i="4"/>
  <c r="Q97" i="4"/>
  <c r="Q179" i="4"/>
  <c r="Q198" i="4"/>
  <c r="Q103" i="4"/>
  <c r="Q151" i="4"/>
  <c r="S197" i="4"/>
  <c r="Q110" i="4"/>
  <c r="Q102" i="4"/>
  <c r="Q207" i="4"/>
  <c r="Q197" i="4"/>
  <c r="L197" i="4"/>
  <c r="I197" i="4"/>
  <c r="Q101" i="4"/>
  <c r="Q145" i="4"/>
  <c r="Q167" i="4"/>
  <c r="L71" i="4"/>
  <c r="Q222" i="4"/>
  <c r="O222" i="4" s="1"/>
  <c r="Q181" i="4"/>
  <c r="Q172" i="4"/>
  <c r="Q168" i="4"/>
  <c r="Q118" i="4"/>
  <c r="Q133" i="4"/>
  <c r="Q230" i="4"/>
  <c r="Q213" i="4"/>
  <c r="Q214" i="4"/>
  <c r="Q155" i="4"/>
  <c r="S75" i="4"/>
  <c r="Q223" i="4"/>
  <c r="Q165" i="4"/>
  <c r="Q192" i="4"/>
  <c r="Q154" i="4"/>
  <c r="Q148" i="4"/>
  <c r="Q142" i="4"/>
  <c r="Q100" i="4"/>
  <c r="S94" i="4"/>
  <c r="P94" i="4" s="1"/>
  <c r="Q217" i="4"/>
  <c r="Q95" i="4"/>
  <c r="Q115" i="4"/>
  <c r="Q149" i="4"/>
  <c r="Q134" i="4"/>
  <c r="Q129" i="4"/>
  <c r="Q220" i="4"/>
  <c r="Q189" i="4"/>
  <c r="Q161" i="4"/>
  <c r="I95" i="4"/>
  <c r="S144" i="4"/>
  <c r="Q191" i="4"/>
  <c r="Q188" i="4"/>
  <c r="Q180" i="4"/>
  <c r="Q215" i="4"/>
  <c r="I108" i="4"/>
  <c r="Q108" i="4"/>
  <c r="I122" i="4"/>
  <c r="Q117" i="4"/>
  <c r="Q114" i="4"/>
  <c r="Q184" i="4"/>
  <c r="Q233" i="4"/>
  <c r="Q116" i="4"/>
  <c r="Q122" i="4"/>
  <c r="S12" i="4"/>
  <c r="Q171" i="4"/>
  <c r="L5" i="4"/>
  <c r="I128" i="4"/>
  <c r="Q128" i="4"/>
  <c r="Q193" i="4"/>
  <c r="Q152" i="4"/>
  <c r="Q130" i="4"/>
  <c r="Q120" i="4"/>
  <c r="Q109" i="4"/>
  <c r="L202" i="4"/>
  <c r="S202" i="4"/>
  <c r="P202" i="4" s="1"/>
  <c r="Q185" i="4"/>
  <c r="Q164" i="4"/>
  <c r="Q196" i="4"/>
  <c r="Q190" i="4"/>
  <c r="Q183" i="4"/>
  <c r="Q176" i="4"/>
  <c r="Q169" i="4"/>
  <c r="Q163" i="4"/>
  <c r="Q157" i="4"/>
  <c r="Q150" i="4"/>
  <c r="Q144" i="4"/>
  <c r="P144" i="4" s="1"/>
  <c r="Q138" i="4"/>
  <c r="Q131" i="4"/>
  <c r="Q119" i="4"/>
  <c r="Q104" i="4"/>
  <c r="Q98" i="4"/>
  <c r="Q204" i="4"/>
  <c r="Q231" i="4"/>
  <c r="O231" i="4" s="1"/>
  <c r="Q225" i="4"/>
  <c r="O225" i="4" s="1"/>
  <c r="Q221" i="4"/>
  <c r="Q205" i="4"/>
  <c r="L203" i="4"/>
  <c r="L215" i="4"/>
  <c r="Q69" i="4"/>
  <c r="Q195" i="4"/>
  <c r="Q173" i="4"/>
  <c r="Q162" i="4"/>
  <c r="Q141" i="4"/>
  <c r="Q132" i="4"/>
  <c r="Q218" i="4"/>
  <c r="S44" i="4"/>
  <c r="S116" i="4"/>
  <c r="S120" i="4"/>
  <c r="S145" i="4"/>
  <c r="Q2" i="4"/>
  <c r="S3" i="4"/>
  <c r="Q170" i="4"/>
  <c r="Q160" i="4"/>
  <c r="Q187" i="4"/>
  <c r="Q166" i="4"/>
  <c r="Q147" i="4"/>
  <c r="Q216" i="4"/>
  <c r="Q209" i="4"/>
  <c r="Q206" i="4"/>
  <c r="L32" i="3"/>
  <c r="L84" i="3"/>
  <c r="L77" i="3"/>
  <c r="L94" i="3"/>
  <c r="L105" i="3"/>
  <c r="L172" i="3"/>
  <c r="S36" i="4"/>
  <c r="P36" i="4" s="1"/>
  <c r="S67" i="4"/>
  <c r="L28" i="3"/>
  <c r="L71" i="3"/>
  <c r="L103" i="3"/>
  <c r="L109" i="3"/>
  <c r="L113" i="3"/>
  <c r="S66" i="4"/>
  <c r="L5" i="3"/>
  <c r="L61" i="3"/>
  <c r="L65" i="3"/>
  <c r="L129" i="3"/>
  <c r="L133" i="3"/>
  <c r="L137" i="3"/>
  <c r="L141" i="3"/>
  <c r="L145" i="3"/>
  <c r="S25" i="4"/>
  <c r="S59" i="4"/>
  <c r="S95" i="4"/>
  <c r="S99" i="4"/>
  <c r="P99" i="4" s="1"/>
  <c r="S163" i="4"/>
  <c r="S180" i="4"/>
  <c r="L60" i="3"/>
  <c r="L64" i="3"/>
  <c r="N72" i="3"/>
  <c r="L76" i="3"/>
  <c r="L80" i="3"/>
  <c r="N86" i="3"/>
  <c r="L86" i="3" s="1"/>
  <c r="L88" i="3"/>
  <c r="L91" i="3"/>
  <c r="L98" i="3"/>
  <c r="L101" i="3"/>
  <c r="L111" i="3"/>
  <c r="M114" i="3"/>
  <c r="L114" i="3" s="1"/>
  <c r="L128" i="3"/>
  <c r="L132" i="3"/>
  <c r="L136" i="3"/>
  <c r="L140" i="3"/>
  <c r="L144" i="3"/>
  <c r="M152" i="3"/>
  <c r="L152" i="3" s="1"/>
  <c r="L161" i="3"/>
  <c r="N184" i="3"/>
  <c r="M16" i="4"/>
  <c r="S16" i="4" s="1"/>
  <c r="S31" i="4"/>
  <c r="N40" i="4"/>
  <c r="M62" i="4"/>
  <c r="L62" i="4" s="1"/>
  <c r="M85" i="4"/>
  <c r="S85" i="4" s="1"/>
  <c r="M109" i="4"/>
  <c r="S109" i="4" s="1"/>
  <c r="S187" i="4"/>
  <c r="M194" i="4"/>
  <c r="L194" i="4" s="1"/>
  <c r="S200" i="4"/>
  <c r="M210" i="4"/>
  <c r="S210" i="4" s="1"/>
  <c r="M213" i="4"/>
  <c r="S213" i="4" s="1"/>
  <c r="S28" i="4"/>
  <c r="S82" i="4"/>
  <c r="S17" i="4"/>
  <c r="S161" i="4"/>
  <c r="L4" i="3"/>
  <c r="L12" i="3"/>
  <c r="M16" i="3"/>
  <c r="L16" i="3" s="1"/>
  <c r="L26" i="3"/>
  <c r="L30" i="3"/>
  <c r="L55" i="3"/>
  <c r="M59" i="3"/>
  <c r="L59" i="3" s="1"/>
  <c r="L63" i="3"/>
  <c r="L67" i="3"/>
  <c r="L87" i="3"/>
  <c r="N122" i="3"/>
  <c r="L126" i="3"/>
  <c r="L131" i="3"/>
  <c r="L135" i="3"/>
  <c r="L139" i="3"/>
  <c r="L143" i="3"/>
  <c r="L160" i="3"/>
  <c r="L171" i="3"/>
  <c r="L175" i="3"/>
  <c r="L179" i="3"/>
  <c r="S4" i="4"/>
  <c r="S8" i="4"/>
  <c r="S48" i="4"/>
  <c r="M61" i="4"/>
  <c r="L61" i="4" s="1"/>
  <c r="S71" i="4"/>
  <c r="S98" i="4"/>
  <c r="M130" i="4"/>
  <c r="L130" i="4" s="1"/>
  <c r="M148" i="4"/>
  <c r="L148" i="4" s="1"/>
  <c r="S166" i="4"/>
  <c r="S92" i="4"/>
  <c r="L51" i="3"/>
  <c r="M58" i="3"/>
  <c r="L58" i="3" s="1"/>
  <c r="L62" i="3"/>
  <c r="L66" i="3"/>
  <c r="M81" i="3"/>
  <c r="L81" i="3" s="1"/>
  <c r="M96" i="3"/>
  <c r="L96" i="3" s="1"/>
  <c r="M102" i="3"/>
  <c r="L102" i="3" s="1"/>
  <c r="L124" i="3"/>
  <c r="L130" i="3"/>
  <c r="L134" i="3"/>
  <c r="L138" i="3"/>
  <c r="L146" i="3"/>
  <c r="M154" i="3"/>
  <c r="L154" i="3" s="1"/>
  <c r="M167" i="3"/>
  <c r="L167" i="3" s="1"/>
  <c r="L170" i="3"/>
  <c r="L174" i="3"/>
  <c r="L178" i="3"/>
  <c r="L181" i="3"/>
  <c r="M10" i="4"/>
  <c r="S10" i="4" s="1"/>
  <c r="M43" i="4"/>
  <c r="S43" i="4" s="1"/>
  <c r="N77" i="4"/>
  <c r="S79" i="4"/>
  <c r="S83" i="4"/>
  <c r="L134" i="4"/>
  <c r="S147" i="4"/>
  <c r="S184" i="4"/>
  <c r="S37" i="4"/>
  <c r="S196" i="4"/>
  <c r="S176" i="4"/>
  <c r="S170" i="4"/>
  <c r="S157" i="4"/>
  <c r="S138" i="4"/>
  <c r="S132" i="4"/>
  <c r="S115" i="4"/>
  <c r="S105" i="4"/>
  <c r="P105" i="4" s="1"/>
  <c r="S215" i="4"/>
  <c r="S211" i="4"/>
  <c r="P211" i="4" s="1"/>
  <c r="S205" i="4"/>
  <c r="N53" i="4"/>
  <c r="N18" i="4"/>
  <c r="N50" i="4"/>
  <c r="S42" i="4"/>
  <c r="S47" i="4"/>
  <c r="S231" i="4"/>
  <c r="S221" i="4"/>
  <c r="L11" i="3"/>
  <c r="L15" i="3"/>
  <c r="L19" i="3"/>
  <c r="L27" i="3"/>
  <c r="L31" i="3"/>
  <c r="L34" i="3"/>
  <c r="M38" i="3"/>
  <c r="L42" i="3"/>
  <c r="L46" i="3"/>
  <c r="L50" i="3"/>
  <c r="M100" i="3"/>
  <c r="M104" i="3"/>
  <c r="L104" i="3" s="1"/>
  <c r="N7" i="4"/>
  <c r="S160" i="4"/>
  <c r="S164" i="4"/>
  <c r="S179" i="4"/>
  <c r="S72" i="4"/>
  <c r="S142" i="4"/>
  <c r="M149" i="4"/>
  <c r="M122" i="4"/>
  <c r="M7" i="4"/>
  <c r="M162" i="3"/>
  <c r="M120" i="3"/>
  <c r="M97" i="3"/>
  <c r="M190" i="4"/>
  <c r="M129" i="4"/>
  <c r="S129" i="4" s="1"/>
  <c r="M114" i="4"/>
  <c r="M53" i="4"/>
  <c r="M153" i="3"/>
  <c r="M147" i="3"/>
  <c r="M106" i="3"/>
  <c r="L106" i="3" s="1"/>
  <c r="M90" i="3"/>
  <c r="L90" i="3" s="1"/>
  <c r="M206" i="4"/>
  <c r="S206" i="4" s="1"/>
  <c r="M101" i="4"/>
  <c r="M78" i="4"/>
  <c r="M74" i="4"/>
  <c r="M18" i="4"/>
  <c r="M7" i="3"/>
  <c r="L7" i="3" s="1"/>
  <c r="M9" i="3"/>
  <c r="L14" i="3"/>
  <c r="M18" i="3"/>
  <c r="N38" i="3"/>
  <c r="L41" i="3"/>
  <c r="L45" i="3"/>
  <c r="L49" i="3"/>
  <c r="L53" i="3"/>
  <c r="L57" i="3"/>
  <c r="M180" i="3"/>
  <c r="S20" i="4"/>
  <c r="S52" i="4"/>
  <c r="S11" i="4"/>
  <c r="L13" i="3"/>
  <c r="L17" i="3"/>
  <c r="N18" i="3"/>
  <c r="L21" i="3"/>
  <c r="L40" i="3"/>
  <c r="L44" i="3"/>
  <c r="M48" i="3"/>
  <c r="L48" i="3" s="1"/>
  <c r="M52" i="3"/>
  <c r="L52" i="3" s="1"/>
  <c r="L56" i="3"/>
  <c r="M83" i="3"/>
  <c r="M91" i="4"/>
  <c r="S91" i="4" s="1"/>
  <c r="S128" i="4"/>
  <c r="L54" i="3"/>
  <c r="L78" i="3"/>
  <c r="L108" i="3"/>
  <c r="L112" i="3"/>
  <c r="S73" i="4"/>
  <c r="S70" i="4"/>
  <c r="S60" i="4"/>
  <c r="S54" i="4"/>
  <c r="P54" i="4" s="1"/>
  <c r="S51" i="4"/>
  <c r="S21" i="4"/>
  <c r="S15" i="4"/>
  <c r="S5" i="4"/>
  <c r="S192" i="4"/>
  <c r="S171" i="4"/>
  <c r="S152" i="4"/>
  <c r="S133" i="4"/>
  <c r="S108" i="4"/>
  <c r="S201" i="4"/>
  <c r="P201" i="4" s="1"/>
  <c r="S232" i="4"/>
  <c r="S228" i="4"/>
  <c r="S222" i="4"/>
  <c r="S219" i="4"/>
  <c r="P219" i="4" s="1"/>
  <c r="L116" i="3"/>
  <c r="L123" i="3"/>
  <c r="L125" i="3"/>
  <c r="L165" i="3"/>
  <c r="L211" i="4"/>
  <c r="S80" i="4"/>
  <c r="S64" i="4"/>
  <c r="S58" i="4"/>
  <c r="S45" i="4"/>
  <c r="S39" i="4"/>
  <c r="S26" i="4"/>
  <c r="S22" i="4"/>
  <c r="S19" i="4"/>
  <c r="S9" i="4"/>
  <c r="S189" i="4"/>
  <c r="S188" i="4"/>
  <c r="S181" i="4"/>
  <c r="S173" i="4"/>
  <c r="S168" i="4"/>
  <c r="S167" i="4"/>
  <c r="S162" i="4"/>
  <c r="S155" i="4"/>
  <c r="S135" i="4"/>
  <c r="P135" i="4" s="1"/>
  <c r="S118" i="4"/>
  <c r="S102" i="4"/>
  <c r="S203" i="4"/>
  <c r="P203" i="4" s="1"/>
  <c r="S230" i="4"/>
  <c r="S224" i="4"/>
  <c r="P224" i="4" s="1"/>
  <c r="S220" i="4"/>
  <c r="S209" i="4"/>
  <c r="L118" i="3"/>
  <c r="L64" i="4"/>
  <c r="S84" i="4"/>
  <c r="S68" i="4"/>
  <c r="S49" i="4"/>
  <c r="S33" i="4"/>
  <c r="S13" i="4"/>
  <c r="S156" i="4"/>
  <c r="S136" i="4"/>
  <c r="P136" i="4" s="1"/>
  <c r="S217" i="4"/>
  <c r="S207" i="4"/>
  <c r="Q210" i="4"/>
  <c r="S208" i="4"/>
  <c r="P208" i="4" s="1"/>
  <c r="S218" i="4"/>
  <c r="S216" i="4"/>
  <c r="S212" i="4"/>
  <c r="P212" i="4" s="1"/>
  <c r="S204" i="4"/>
  <c r="S193" i="4"/>
  <c r="S172" i="4"/>
  <c r="S154" i="4"/>
  <c r="S134" i="4"/>
  <c r="S169" i="4"/>
  <c r="S131" i="4"/>
  <c r="S104" i="4"/>
  <c r="S185" i="4"/>
  <c r="S165" i="4"/>
  <c r="S146" i="4"/>
  <c r="Q200" i="4"/>
  <c r="S81" i="4"/>
  <c r="S65" i="4"/>
  <c r="S46" i="4"/>
  <c r="S27" i="4"/>
  <c r="S69" i="4"/>
  <c r="S14" i="4"/>
  <c r="S2" i="4"/>
  <c r="L207" i="4"/>
  <c r="I207" i="4"/>
  <c r="Q4" i="4"/>
  <c r="L51" i="4"/>
  <c r="Q43" i="4"/>
  <c r="L66" i="4"/>
  <c r="L145" i="4"/>
  <c r="L196" i="4"/>
  <c r="Q28" i="4"/>
  <c r="Q65" i="4"/>
  <c r="L192" i="4"/>
  <c r="I210" i="4"/>
  <c r="I192" i="4"/>
  <c r="L221" i="4"/>
  <c r="L49" i="4"/>
  <c r="L30" i="4"/>
  <c r="L45" i="4"/>
  <c r="Q48" i="4"/>
  <c r="L68" i="4"/>
  <c r="Q68" i="4"/>
  <c r="L133" i="4"/>
  <c r="L201" i="4"/>
  <c r="L220" i="4"/>
  <c r="I221" i="4"/>
  <c r="L44" i="4"/>
  <c r="L4" i="4"/>
  <c r="Q8" i="4"/>
  <c r="L27" i="4"/>
  <c r="Q27" i="4"/>
  <c r="L38" i="4"/>
  <c r="Q44" i="4"/>
  <c r="Q51" i="4"/>
  <c r="Q64" i="4"/>
  <c r="L65" i="4"/>
  <c r="L67" i="4"/>
  <c r="I68" i="4"/>
  <c r="L152" i="4"/>
  <c r="I104" i="4"/>
  <c r="L104" i="4"/>
  <c r="I8" i="4"/>
  <c r="L8" i="4"/>
  <c r="L28" i="4"/>
  <c r="Q52" i="4"/>
  <c r="I60" i="4"/>
  <c r="L60" i="4"/>
  <c r="L171" i="4"/>
  <c r="L212" i="4"/>
  <c r="I212" i="4"/>
  <c r="Q5" i="4"/>
  <c r="Q25" i="4"/>
  <c r="L29" i="4"/>
  <c r="Q45" i="4"/>
  <c r="L52" i="4"/>
  <c r="L69" i="4"/>
  <c r="I132" i="4"/>
  <c r="L132" i="4"/>
  <c r="L170" i="4"/>
  <c r="I198" i="4"/>
  <c r="I130" i="4"/>
  <c r="L70" i="4"/>
  <c r="I120" i="4"/>
  <c r="I131" i="4"/>
  <c r="L131" i="4"/>
  <c r="Q6" i="4"/>
  <c r="Q26" i="4"/>
  <c r="Q49" i="4"/>
  <c r="Q53" i="4"/>
  <c r="I124" i="4"/>
  <c r="I157" i="4"/>
  <c r="L157" i="4"/>
  <c r="L193" i="4"/>
  <c r="I193" i="4"/>
  <c r="Q7" i="4"/>
  <c r="L31" i="4"/>
  <c r="Q33" i="4"/>
  <c r="L36" i="4"/>
  <c r="Q37" i="4"/>
  <c r="L46" i="4"/>
  <c r="Q47" i="4"/>
  <c r="L48" i="4"/>
  <c r="L54" i="4"/>
  <c r="Q70" i="4"/>
  <c r="Q71" i="4"/>
  <c r="L209" i="4"/>
  <c r="L219" i="4"/>
  <c r="I228" i="4"/>
  <c r="I231" i="4"/>
  <c r="Q31" i="4"/>
  <c r="L33" i="4"/>
  <c r="L37" i="4"/>
  <c r="Q46" i="4"/>
  <c r="L47" i="4"/>
  <c r="Q50" i="4"/>
  <c r="L58" i="4"/>
  <c r="Q66" i="4"/>
  <c r="Q67" i="4"/>
  <c r="L95" i="4"/>
  <c r="L105" i="4"/>
  <c r="L128" i="4"/>
  <c r="I222" i="4"/>
  <c r="I232" i="4"/>
  <c r="Q3" i="4"/>
  <c r="Q42" i="4"/>
  <c r="Q72" i="4"/>
  <c r="Q24" i="4"/>
  <c r="Q40" i="4"/>
  <c r="L163" i="3"/>
  <c r="L166" i="3"/>
  <c r="Q9" i="4"/>
  <c r="L9" i="4"/>
  <c r="I11" i="4"/>
  <c r="Q11" i="4"/>
  <c r="L11" i="4"/>
  <c r="I13" i="4"/>
  <c r="Q13" i="4"/>
  <c r="L13" i="4"/>
  <c r="I15" i="4"/>
  <c r="Q15" i="4"/>
  <c r="L15" i="4"/>
  <c r="I17" i="4"/>
  <c r="Q17" i="4"/>
  <c r="L17" i="4"/>
  <c r="I19" i="4"/>
  <c r="Q19" i="4"/>
  <c r="L19" i="4"/>
  <c r="Q41" i="4"/>
  <c r="L127" i="3"/>
  <c r="I10" i="4"/>
  <c r="Q10" i="4"/>
  <c r="I12" i="4"/>
  <c r="Q12" i="4"/>
  <c r="L12" i="4"/>
  <c r="I14" i="4"/>
  <c r="Q14" i="4"/>
  <c r="L14" i="4"/>
  <c r="I16" i="4"/>
  <c r="Q16" i="4"/>
  <c r="I18" i="4"/>
  <c r="Q18" i="4"/>
  <c r="L24" i="4"/>
  <c r="Q22" i="4"/>
  <c r="I24" i="4"/>
  <c r="Q39" i="4"/>
  <c r="L20" i="4"/>
  <c r="Q20" i="4"/>
  <c r="L23" i="4"/>
  <c r="Q21" i="4"/>
  <c r="Q61" i="4"/>
  <c r="I61" i="4"/>
  <c r="L99" i="4"/>
  <c r="I99" i="4"/>
  <c r="L102" i="4"/>
  <c r="I102" i="4"/>
  <c r="L147" i="4"/>
  <c r="L155" i="4"/>
  <c r="I155" i="4"/>
  <c r="L208" i="4"/>
  <c r="I208" i="4"/>
  <c r="I39" i="4"/>
  <c r="I40" i="4"/>
  <c r="I41" i="4"/>
  <c r="I42" i="4"/>
  <c r="Q58" i="4"/>
  <c r="Q63" i="4"/>
  <c r="Q73" i="4"/>
  <c r="L73" i="4"/>
  <c r="Q74" i="4"/>
  <c r="Q75" i="4"/>
  <c r="L75" i="4"/>
  <c r="Q76" i="4"/>
  <c r="Q77" i="4"/>
  <c r="Q78" i="4"/>
  <c r="Q79" i="4"/>
  <c r="Q80" i="4"/>
  <c r="Q81" i="4"/>
  <c r="Q82" i="4"/>
  <c r="Q83" i="4"/>
  <c r="Q84" i="4"/>
  <c r="Q85" i="4"/>
  <c r="Q88" i="4"/>
  <c r="Q91" i="4"/>
  <c r="Q92" i="4"/>
  <c r="I100" i="4"/>
  <c r="I143" i="4"/>
  <c r="L39" i="4"/>
  <c r="Q59" i="4"/>
  <c r="I97" i="4"/>
  <c r="I101" i="4"/>
  <c r="L146" i="4"/>
  <c r="I26" i="4"/>
  <c r="L59" i="4"/>
  <c r="Q60" i="4"/>
  <c r="Q62" i="4"/>
  <c r="I62" i="4"/>
  <c r="L98" i="4"/>
  <c r="I98" i="4"/>
  <c r="L79" i="4"/>
  <c r="L80" i="4"/>
  <c r="L81" i="4"/>
  <c r="L82" i="4"/>
  <c r="L83" i="4"/>
  <c r="L84" i="4"/>
  <c r="L92" i="4"/>
  <c r="L108" i="4"/>
  <c r="L120" i="4"/>
  <c r="L121" i="4"/>
  <c r="L123" i="4"/>
  <c r="L125" i="4"/>
  <c r="L138" i="4"/>
  <c r="L156" i="4"/>
  <c r="I156" i="4"/>
  <c r="I174" i="4"/>
  <c r="L136" i="4"/>
  <c r="I138" i="4"/>
  <c r="L181" i="4"/>
  <c r="I181" i="4"/>
  <c r="L187" i="4"/>
  <c r="I187" i="4"/>
  <c r="L142" i="4"/>
  <c r="L154" i="4"/>
  <c r="L160" i="4"/>
  <c r="L161" i="4"/>
  <c r="L162" i="4"/>
  <c r="L163" i="4"/>
  <c r="L164" i="4"/>
  <c r="L165" i="4"/>
  <c r="L166" i="4"/>
  <c r="L167" i="4"/>
  <c r="L168" i="4"/>
  <c r="L169" i="4"/>
  <c r="L176" i="4"/>
  <c r="L188" i="4"/>
  <c r="O219" i="4"/>
  <c r="L172" i="4"/>
  <c r="I176" i="4"/>
  <c r="I183" i="4"/>
  <c r="L184" i="4"/>
  <c r="I188" i="4"/>
  <c r="I172" i="4"/>
  <c r="L173" i="4"/>
  <c r="I179" i="4"/>
  <c r="L180" i="4"/>
  <c r="I184" i="4"/>
  <c r="L185" i="4"/>
  <c r="I204" i="4"/>
  <c r="I205" i="4"/>
  <c r="I206" i="4"/>
  <c r="L216" i="4"/>
  <c r="L217" i="4"/>
  <c r="L218" i="4"/>
  <c r="L230" i="4"/>
  <c r="L204" i="4"/>
  <c r="L205" i="4"/>
  <c r="L222" i="4"/>
  <c r="I223" i="4"/>
  <c r="L228" i="4"/>
  <c r="L232" i="4"/>
  <c r="I233" i="4"/>
  <c r="L189" i="4"/>
  <c r="S195" i="4" l="1"/>
  <c r="L120" i="3"/>
  <c r="L149" i="4"/>
  <c r="L34" i="4"/>
  <c r="S35" i="4"/>
  <c r="P35" i="4" s="1"/>
  <c r="S150" i="4"/>
  <c r="L227" i="4"/>
  <c r="S229" i="4"/>
  <c r="P229" i="4" s="1"/>
  <c r="L8" i="3"/>
  <c r="L53" i="10"/>
  <c r="L181" i="10"/>
  <c r="S181" i="10"/>
  <c r="P181" i="10" s="1"/>
  <c r="S209" i="10"/>
  <c r="P209" i="10" s="1"/>
  <c r="L209" i="10"/>
  <c r="L77" i="10"/>
  <c r="S77" i="10"/>
  <c r="P77" i="10" s="1"/>
  <c r="L195" i="10"/>
  <c r="S195" i="10"/>
  <c r="P195" i="10" s="1"/>
  <c r="S193" i="10"/>
  <c r="P193" i="10" s="1"/>
  <c r="L193" i="10"/>
  <c r="L190" i="10"/>
  <c r="S190" i="10"/>
  <c r="P190" i="10" s="1"/>
  <c r="S75" i="10"/>
  <c r="P75" i="10" s="1"/>
  <c r="L75" i="10"/>
  <c r="L141" i="10"/>
  <c r="S141" i="10"/>
  <c r="P141" i="10" s="1"/>
  <c r="L186" i="10"/>
  <c r="S186" i="10"/>
  <c r="P186" i="10" s="1"/>
  <c r="S16" i="10"/>
  <c r="P16" i="10" s="1"/>
  <c r="L16" i="10"/>
  <c r="S112" i="10"/>
  <c r="P112" i="10" s="1"/>
  <c r="L112" i="10"/>
  <c r="S210" i="10"/>
  <c r="P210" i="10" s="1"/>
  <c r="L210" i="10"/>
  <c r="S33" i="10"/>
  <c r="P33" i="10" s="1"/>
  <c r="L33" i="10"/>
  <c r="L20" i="10"/>
  <c r="S20" i="10"/>
  <c r="P20" i="10" s="1"/>
  <c r="L187" i="10"/>
  <c r="S187" i="10"/>
  <c r="P187" i="10" s="1"/>
  <c r="S37" i="10"/>
  <c r="P37" i="10" s="1"/>
  <c r="L37" i="10"/>
  <c r="S67" i="10"/>
  <c r="P67" i="10" s="1"/>
  <c r="L67" i="10"/>
  <c r="L45" i="10"/>
  <c r="S45" i="10"/>
  <c r="P45" i="10" s="1"/>
  <c r="L180" i="10"/>
  <c r="S180" i="10"/>
  <c r="P180" i="10" s="1"/>
  <c r="S79" i="10"/>
  <c r="P79" i="10" s="1"/>
  <c r="L79" i="10"/>
  <c r="L146" i="10"/>
  <c r="S146" i="10"/>
  <c r="P146" i="10" s="1"/>
  <c r="S202" i="10"/>
  <c r="P202" i="10" s="1"/>
  <c r="L202" i="10"/>
  <c r="L17" i="10"/>
  <c r="S17" i="10"/>
  <c r="P17" i="10" s="1"/>
  <c r="S153" i="10"/>
  <c r="P153" i="10" s="1"/>
  <c r="L153" i="10"/>
  <c r="S100" i="10"/>
  <c r="P100" i="10" s="1"/>
  <c r="L100" i="10"/>
  <c r="L149" i="10"/>
  <c r="S149" i="10"/>
  <c r="P149" i="10" s="1"/>
  <c r="L213" i="10"/>
  <c r="S213" i="10"/>
  <c r="P213" i="10" s="1"/>
  <c r="S43" i="10"/>
  <c r="P43" i="10" s="1"/>
  <c r="L43" i="10"/>
  <c r="S44" i="10"/>
  <c r="P44" i="10" s="1"/>
  <c r="L44" i="10"/>
  <c r="L113" i="10"/>
  <c r="S113" i="10"/>
  <c r="P113" i="10" s="1"/>
  <c r="L203" i="10"/>
  <c r="S203" i="10"/>
  <c r="P203" i="10" s="1"/>
  <c r="S116" i="10"/>
  <c r="P116" i="10" s="1"/>
  <c r="L116" i="10"/>
  <c r="L172" i="10"/>
  <c r="S172" i="10"/>
  <c r="P172" i="10" s="1"/>
  <c r="L24" i="10"/>
  <c r="S24" i="10"/>
  <c r="P24" i="10" s="1"/>
  <c r="L199" i="4"/>
  <c r="S199" i="4"/>
  <c r="P199" i="4" s="1"/>
  <c r="L88" i="10"/>
  <c r="S88" i="10"/>
  <c r="P88" i="10" s="1"/>
  <c r="S97" i="10"/>
  <c r="P97" i="10" s="1"/>
  <c r="L97" i="10"/>
  <c r="L46" i="10"/>
  <c r="S46" i="10"/>
  <c r="P46" i="10" s="1"/>
  <c r="L207" i="10"/>
  <c r="S207" i="10"/>
  <c r="P207" i="10" s="1"/>
  <c r="L155" i="10"/>
  <c r="S155" i="10"/>
  <c r="P155" i="10" s="1"/>
  <c r="S148" i="10"/>
  <c r="P148" i="10" s="1"/>
  <c r="L148" i="10"/>
  <c r="S105" i="10"/>
  <c r="P105" i="10" s="1"/>
  <c r="L105" i="10"/>
  <c r="L93" i="10"/>
  <c r="S93" i="10"/>
  <c r="P93" i="10" s="1"/>
  <c r="S42" i="10"/>
  <c r="P42" i="10" s="1"/>
  <c r="L42" i="10"/>
  <c r="L205" i="10"/>
  <c r="S205" i="10"/>
  <c r="P205" i="10" s="1"/>
  <c r="L113" i="4"/>
  <c r="S113" i="4"/>
  <c r="P113" i="4" s="1"/>
  <c r="L56" i="10"/>
  <c r="S56" i="10"/>
  <c r="P56" i="10" s="1"/>
  <c r="S140" i="10"/>
  <c r="P140" i="10" s="1"/>
  <c r="L140" i="10"/>
  <c r="S133" i="10"/>
  <c r="P133" i="10" s="1"/>
  <c r="L133" i="10"/>
  <c r="S11" i="10"/>
  <c r="P11" i="10" s="1"/>
  <c r="L11" i="10"/>
  <c r="L86" i="10"/>
  <c r="S86" i="10"/>
  <c r="P86" i="10" s="1"/>
  <c r="S41" i="10"/>
  <c r="P41" i="10" s="1"/>
  <c r="L41" i="10"/>
  <c r="S103" i="10"/>
  <c r="P103" i="10" s="1"/>
  <c r="L103" i="10"/>
  <c r="S211" i="10"/>
  <c r="P211" i="10" s="1"/>
  <c r="L211" i="10"/>
  <c r="S36" i="10"/>
  <c r="P36" i="10" s="1"/>
  <c r="L36" i="10"/>
  <c r="L189" i="10"/>
  <c r="S189" i="10"/>
  <c r="P189" i="10" s="1"/>
  <c r="L78" i="10"/>
  <c r="S78" i="10"/>
  <c r="P78" i="10" s="1"/>
  <c r="S7" i="10"/>
  <c r="P7" i="10" s="1"/>
  <c r="L7" i="10"/>
  <c r="L94" i="10"/>
  <c r="S94" i="10"/>
  <c r="P94" i="10" s="1"/>
  <c r="L174" i="4"/>
  <c r="S114" i="4"/>
  <c r="S97" i="4"/>
  <c r="P167" i="4"/>
  <c r="S40" i="4"/>
  <c r="P40" i="4" s="1"/>
  <c r="L97" i="4"/>
  <c r="L147" i="3"/>
  <c r="L182" i="3"/>
  <c r="S174" i="4"/>
  <c r="P174" i="4" s="1"/>
  <c r="S214" i="4"/>
  <c r="P214" i="4" s="1"/>
  <c r="S77" i="4"/>
  <c r="P77" i="4" s="1"/>
  <c r="S90" i="4"/>
  <c r="P90" i="4" s="1"/>
  <c r="L9" i="3"/>
  <c r="L78" i="4"/>
  <c r="L100" i="3"/>
  <c r="L70" i="3"/>
  <c r="L162" i="3"/>
  <c r="L73" i="3"/>
  <c r="L72" i="3"/>
  <c r="L153" i="3"/>
  <c r="L83" i="3"/>
  <c r="L180" i="3"/>
  <c r="L97" i="3"/>
  <c r="L122" i="3"/>
  <c r="L184" i="3"/>
  <c r="L6" i="3"/>
  <c r="S6" i="4"/>
  <c r="P6" i="4" s="1"/>
  <c r="L142" i="3"/>
  <c r="L37" i="3"/>
  <c r="L41" i="4"/>
  <c r="S233" i="4"/>
  <c r="P233" i="4" s="1"/>
  <c r="L89" i="4"/>
  <c r="L121" i="3"/>
  <c r="S151" i="4"/>
  <c r="P151" i="4" s="1"/>
  <c r="L190" i="4"/>
  <c r="S74" i="4"/>
  <c r="P74" i="4" s="1"/>
  <c r="L90" i="4"/>
  <c r="S89" i="4"/>
  <c r="P89" i="4" s="1"/>
  <c r="L150" i="4"/>
  <c r="P98" i="4"/>
  <c r="P163" i="4"/>
  <c r="S96" i="4"/>
  <c r="P96" i="4" s="1"/>
  <c r="L233" i="4"/>
  <c r="L96" i="4"/>
  <c r="L63" i="4"/>
  <c r="S117" i="4"/>
  <c r="P117" i="4" s="1"/>
  <c r="P157" i="4"/>
  <c r="S223" i="4"/>
  <c r="P223" i="4" s="1"/>
  <c r="L127" i="4"/>
  <c r="L140" i="4"/>
  <c r="S140" i="4"/>
  <c r="P140" i="4" s="1"/>
  <c r="L6" i="4"/>
  <c r="S41" i="4"/>
  <c r="P41" i="4" s="1"/>
  <c r="S101" i="4"/>
  <c r="P101" i="4" s="1"/>
  <c r="L137" i="4"/>
  <c r="S137" i="4"/>
  <c r="P137" i="4" s="1"/>
  <c r="S183" i="4"/>
  <c r="P183" i="4" s="1"/>
  <c r="L86" i="4"/>
  <c r="S86" i="4"/>
  <c r="P86" i="4" s="1"/>
  <c r="S100" i="4"/>
  <c r="P100" i="4" s="1"/>
  <c r="S61" i="4"/>
  <c r="P61" i="4" s="1"/>
  <c r="P228" i="4"/>
  <c r="S76" i="4"/>
  <c r="P76" i="4" s="1"/>
  <c r="S198" i="4"/>
  <c r="P198" i="4" s="1"/>
  <c r="P143" i="4"/>
  <c r="L191" i="4"/>
  <c r="S88" i="4"/>
  <c r="P88" i="4" s="1"/>
  <c r="P95" i="4"/>
  <c r="S119" i="4"/>
  <c r="P119" i="4" s="1"/>
  <c r="S122" i="4"/>
  <c r="P122" i="4" s="1"/>
  <c r="P215" i="4"/>
  <c r="L143" i="4"/>
  <c r="S50" i="4"/>
  <c r="P50" i="4" s="1"/>
  <c r="P204" i="4"/>
  <c r="S141" i="4"/>
  <c r="P141" i="4" s="1"/>
  <c r="S32" i="4"/>
  <c r="P32" i="4" s="1"/>
  <c r="L225" i="4"/>
  <c r="S190" i="4"/>
  <c r="P190" i="4" s="1"/>
  <c r="L110" i="4"/>
  <c r="P145" i="4"/>
  <c r="P156" i="4"/>
  <c r="P146" i="4"/>
  <c r="P179" i="4"/>
  <c r="P220" i="4"/>
  <c r="P139" i="4"/>
  <c r="P169" i="4"/>
  <c r="P232" i="4"/>
  <c r="P133" i="4"/>
  <c r="P207" i="4"/>
  <c r="P97" i="4"/>
  <c r="P195" i="4"/>
  <c r="P185" i="4"/>
  <c r="S62" i="4"/>
  <c r="P62" i="4" s="1"/>
  <c r="P102" i="4"/>
  <c r="P188" i="4"/>
  <c r="P132" i="4"/>
  <c r="P166" i="4"/>
  <c r="L210" i="4"/>
  <c r="P103" i="4"/>
  <c r="P168" i="4"/>
  <c r="P128" i="4"/>
  <c r="P206" i="4"/>
  <c r="P184" i="4"/>
  <c r="S78" i="4"/>
  <c r="P78" i="4" s="1"/>
  <c r="P205" i="4"/>
  <c r="P213" i="4"/>
  <c r="P120" i="4"/>
  <c r="L200" i="4"/>
  <c r="P110" i="4"/>
  <c r="P170" i="4"/>
  <c r="P193" i="4"/>
  <c r="P197" i="4"/>
  <c r="P104" i="4"/>
  <c r="P171" i="4"/>
  <c r="P222" i="4"/>
  <c r="P129" i="4"/>
  <c r="P142" i="4"/>
  <c r="P187" i="4"/>
  <c r="P2" i="4"/>
  <c r="P191" i="4"/>
  <c r="P152" i="4"/>
  <c r="P116" i="4"/>
  <c r="L10" i="4"/>
  <c r="P154" i="4"/>
  <c r="P230" i="4"/>
  <c r="P189" i="4"/>
  <c r="P138" i="4"/>
  <c r="P172" i="4"/>
  <c r="P155" i="4"/>
  <c r="P71" i="4"/>
  <c r="P165" i="4"/>
  <c r="P118" i="4"/>
  <c r="P181" i="4"/>
  <c r="P192" i="4"/>
  <c r="P115" i="4"/>
  <c r="P180" i="4"/>
  <c r="P108" i="4"/>
  <c r="P131" i="4"/>
  <c r="P221" i="4"/>
  <c r="L77" i="4"/>
  <c r="P69" i="4"/>
  <c r="P217" i="4"/>
  <c r="P209" i="4"/>
  <c r="S194" i="4"/>
  <c r="P194" i="4" s="1"/>
  <c r="P114" i="4"/>
  <c r="P225" i="4"/>
  <c r="P196" i="4"/>
  <c r="P161" i="4"/>
  <c r="P173" i="4"/>
  <c r="P231" i="4"/>
  <c r="L40" i="4"/>
  <c r="S53" i="4"/>
  <c r="P53" i="4" s="1"/>
  <c r="L206" i="4"/>
  <c r="L109" i="4"/>
  <c r="L85" i="4"/>
  <c r="P134" i="4"/>
  <c r="P216" i="4"/>
  <c r="P162" i="4"/>
  <c r="P160" i="4"/>
  <c r="P210" i="4"/>
  <c r="S18" i="4"/>
  <c r="P18" i="4" s="1"/>
  <c r="P150" i="4"/>
  <c r="P218" i="4"/>
  <c r="P176" i="4"/>
  <c r="P109" i="4"/>
  <c r="L43" i="4"/>
  <c r="L7" i="4"/>
  <c r="P164" i="4"/>
  <c r="P147" i="4"/>
  <c r="L129" i="4"/>
  <c r="S7" i="4"/>
  <c r="P7" i="4" s="1"/>
  <c r="S148" i="4"/>
  <c r="P148" i="4" s="1"/>
  <c r="P200" i="4"/>
  <c r="L91" i="4"/>
  <c r="L101" i="4"/>
  <c r="L18" i="4"/>
  <c r="L38" i="3"/>
  <c r="L114" i="4"/>
  <c r="L16" i="4"/>
  <c r="S130" i="4"/>
  <c r="P130" i="4" s="1"/>
  <c r="S149" i="4"/>
  <c r="P149" i="4" s="1"/>
  <c r="L213" i="4"/>
  <c r="L122" i="4"/>
  <c r="L42" i="4"/>
  <c r="L74" i="4"/>
  <c r="L50" i="4"/>
  <c r="L183" i="4"/>
  <c r="L53" i="4"/>
  <c r="L18" i="3"/>
  <c r="P27" i="4"/>
  <c r="P64" i="4"/>
  <c r="P44" i="4"/>
  <c r="P28" i="4"/>
  <c r="P68" i="4"/>
  <c r="P43" i="4"/>
  <c r="P51" i="4"/>
  <c r="P4" i="4"/>
  <c r="P65" i="4"/>
  <c r="P52" i="4"/>
  <c r="P48" i="4"/>
  <c r="P8" i="4"/>
  <c r="P45" i="4"/>
  <c r="P82" i="4"/>
  <c r="P49" i="4"/>
  <c r="P37" i="4"/>
  <c r="P66" i="4"/>
  <c r="P31" i="4"/>
  <c r="P70" i="4"/>
  <c r="P46" i="4"/>
  <c r="P25" i="4"/>
  <c r="P9" i="4"/>
  <c r="P26" i="4"/>
  <c r="P5" i="4"/>
  <c r="P33" i="4"/>
  <c r="P81" i="4"/>
  <c r="P73" i="4"/>
  <c r="P67" i="4"/>
  <c r="P22" i="4"/>
  <c r="P47" i="4"/>
  <c r="P92" i="4"/>
  <c r="P80" i="4"/>
  <c r="O221" i="4"/>
  <c r="P72" i="4"/>
  <c r="P3" i="4"/>
  <c r="P24" i="4"/>
  <c r="P85" i="4"/>
  <c r="P59" i="4"/>
  <c r="P75" i="4"/>
  <c r="P84" i="4"/>
  <c r="P63" i="4"/>
  <c r="P60" i="4"/>
  <c r="P91" i="4"/>
  <c r="P83" i="4"/>
  <c r="P79" i="4"/>
  <c r="P20" i="4"/>
  <c r="P42" i="4"/>
  <c r="O233" i="4"/>
  <c r="O229" i="4"/>
  <c r="P58" i="4"/>
  <c r="P21" i="4"/>
  <c r="O220" i="4"/>
  <c r="P39" i="4"/>
  <c r="O230" i="4"/>
  <c r="O223" i="4"/>
  <c r="P16" i="4"/>
  <c r="P14" i="4"/>
  <c r="P12" i="4"/>
  <c r="P10" i="4"/>
  <c r="P19" i="4"/>
  <c r="P17" i="4"/>
  <c r="P15" i="4"/>
  <c r="P13" i="4"/>
  <c r="P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tc={7679B2A4-256F-45DC-864E-402B5AD2C872}</author>
  </authors>
  <commentList>
    <comment ref="L25" authorId="0" shapeId="0" xr:uid="{7679B2A4-256F-45DC-864E-402B5AD2C8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13,5 R$/kg, 9m/kg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<sst xmlns="http://schemas.openxmlformats.org/spreadsheetml/2006/main" count="3037" uniqueCount="530">
  <si>
    <t>TABELA DE PREÇO</t>
  </si>
  <si>
    <t>CLIENTES</t>
  </si>
  <si>
    <t>PELETIZAR</t>
  </si>
  <si>
    <t>FLANELAR</t>
  </si>
  <si>
    <t>CALANDRAR</t>
  </si>
  <si>
    <t>MALHA P/ FARDO</t>
  </si>
  <si>
    <t>AIR SLAID</t>
  </si>
  <si>
    <t>10,50 O KILO</t>
  </si>
  <si>
    <t>AMBERT TEXTIL</t>
  </si>
  <si>
    <t>ord 12221,12170 2xR$0,35 p/mts</t>
  </si>
  <si>
    <t>BERGON COMERCIO</t>
  </si>
  <si>
    <t>demais ordens R$0,37 p/mts 16/03</t>
  </si>
  <si>
    <t>2x 0,40 p/mts</t>
  </si>
  <si>
    <t>CHUMBRECAS/MX72</t>
  </si>
  <si>
    <t>2x 0,60 p/mts</t>
  </si>
  <si>
    <t>COLEÇÃO TEXTIL</t>
  </si>
  <si>
    <t>1x 0,30 p/mts</t>
  </si>
  <si>
    <t>COMPOMAX</t>
  </si>
  <si>
    <t>0,27 P/mts</t>
  </si>
  <si>
    <t>COVOLAN BENEFIC.</t>
  </si>
  <si>
    <t>CIPATEX</t>
  </si>
  <si>
    <t xml:space="preserve"> DUBLAR C/ SPUNLACE 1,20</t>
  </si>
  <si>
    <t>ECOSIMPLE IND.</t>
  </si>
  <si>
    <t>1,8 P/mts</t>
  </si>
  <si>
    <t>DUBLAGEM TUPY 4,10   / TERMOFIXAR 1,20</t>
  </si>
  <si>
    <t>IBIRAPUERA TEXTIL</t>
  </si>
  <si>
    <t>0,95p/mts</t>
  </si>
  <si>
    <t>IRMAOS JURGENSEN</t>
  </si>
  <si>
    <t>INNOVATIV IND.</t>
  </si>
  <si>
    <t>1x 0,45 p/mts</t>
  </si>
  <si>
    <t>2x -0,65 p/mts   / Lona 0,75 p/mts /  TELA DUBLARE 1X = 0,50 p/mts    / Felpar 0,75</t>
  </si>
  <si>
    <t>IRINEU MENEGHEL</t>
  </si>
  <si>
    <t>1X 0,40 p/mts</t>
  </si>
  <si>
    <t>ITALYTEX TEXTIL</t>
  </si>
  <si>
    <t>MAC ROSE</t>
  </si>
  <si>
    <t>3x 0,75 p/mts</t>
  </si>
  <si>
    <t>J.BESAN COMERCIAL</t>
  </si>
  <si>
    <t>1X 0,30 p/mts 2x 0,50 p/mts</t>
  </si>
  <si>
    <t>NOSSA SRA DO BELEM</t>
  </si>
  <si>
    <t>SELENE IND.</t>
  </si>
  <si>
    <t>1x 0,28 p/mts</t>
  </si>
  <si>
    <t>0,77 p/mts</t>
  </si>
  <si>
    <t>TEXION TEXTIL</t>
  </si>
  <si>
    <t>Calandrar e Felpar 0,80 p/ mts /Calandrar e Felpar Million 1,10  p/mts</t>
  </si>
  <si>
    <t>0,50 p/mts</t>
  </si>
  <si>
    <t>DUBLAR C/ CRETONE 0,70 DUBLAR C/ SPUNLACE 0,70</t>
  </si>
  <si>
    <t>LONA CUSTOM 0,80</t>
  </si>
  <si>
    <t>TEXPOY TEXTIL</t>
  </si>
  <si>
    <t>2x 0,50 p/mts 3x 0,70 p/mts</t>
  </si>
  <si>
    <t>MX72</t>
  </si>
  <si>
    <t>2x 0,65 p/mts</t>
  </si>
  <si>
    <t>TEXTIL FAVERO</t>
  </si>
  <si>
    <t>TRAMAS DO BRASIL</t>
  </si>
  <si>
    <t>TEC. PANAMERICANA</t>
  </si>
  <si>
    <t>0,45 p/mts</t>
  </si>
  <si>
    <t xml:space="preserve">ZAVATEX </t>
  </si>
  <si>
    <t>0,50 P/MTS</t>
  </si>
  <si>
    <t>Cliente</t>
  </si>
  <si>
    <t>Processo</t>
  </si>
  <si>
    <t>Artigo</t>
  </si>
  <si>
    <t>Passagem</t>
  </si>
  <si>
    <t>Valor</t>
  </si>
  <si>
    <t>Coluna1</t>
  </si>
  <si>
    <t>Obsevação</t>
  </si>
  <si>
    <t xml:space="preserve"> Wameltex (Eliseu/Grilo)</t>
  </si>
  <si>
    <t>Dublagem/Espelhamento</t>
  </si>
  <si>
    <t>p/m</t>
  </si>
  <si>
    <t>Air Slaid</t>
  </si>
  <si>
    <t>Malha</t>
  </si>
  <si>
    <t>p/ kg</t>
  </si>
  <si>
    <t>Ambert Textil</t>
  </si>
  <si>
    <t>Flanelar</t>
  </si>
  <si>
    <t>Ordem 12221,12170</t>
  </si>
  <si>
    <t>p/ m</t>
  </si>
  <si>
    <t xml:space="preserve">Aparatos </t>
  </si>
  <si>
    <t>C/NOSSO FORRO</t>
  </si>
  <si>
    <t>ESPELHAMENTO</t>
  </si>
  <si>
    <t>C/TNT</t>
  </si>
  <si>
    <t>Bergon Comércio</t>
  </si>
  <si>
    <r>
      <rPr>
        <sz val="11"/>
        <color rgb="FFFF0000"/>
        <rFont val="Calibri"/>
        <family val="2"/>
      </rPr>
      <t xml:space="preserve">0,50  </t>
    </r>
    <r>
      <rPr>
        <sz val="11"/>
        <color rgb="FF000000"/>
        <rFont val="Calibri"/>
        <family val="2"/>
      </rPr>
      <t>E LEVA E RETIRA</t>
    </r>
  </si>
  <si>
    <t>Demais ordens</t>
  </si>
  <si>
    <t xml:space="preserve">Calmart </t>
  </si>
  <si>
    <t>Lixar</t>
  </si>
  <si>
    <t>Dublagem</t>
  </si>
  <si>
    <t>Chumbrecas/MX72</t>
  </si>
  <si>
    <t>Cipatex</t>
  </si>
  <si>
    <t>Dublar com Spunlace</t>
  </si>
  <si>
    <t>Coleção Textil</t>
  </si>
  <si>
    <t>Peletizar</t>
  </si>
  <si>
    <t>Compomax</t>
  </si>
  <si>
    <t>Covolan Benefic.</t>
  </si>
  <si>
    <t>DB RAINBOW</t>
  </si>
  <si>
    <t>Ecosimple Ind.</t>
  </si>
  <si>
    <t>Flanelar/Peletizar</t>
  </si>
  <si>
    <t>LISO/LISTRA</t>
  </si>
  <si>
    <t>Dublagem/Cretone</t>
  </si>
  <si>
    <t>Dublagem Tupy/New Tweed</t>
  </si>
  <si>
    <t>Calandrar/Termofixar</t>
  </si>
  <si>
    <t>Dublagem TNT</t>
  </si>
  <si>
    <t>TNT= R$ 1,42</t>
  </si>
  <si>
    <t xml:space="preserve">p/m </t>
  </si>
  <si>
    <t>Calandrar</t>
  </si>
  <si>
    <t>Rubus flanelado/Vision/lana Color</t>
  </si>
  <si>
    <t>Lona Duty Stone/Lona Cargo</t>
  </si>
  <si>
    <t>Felpar/Flanelar</t>
  </si>
  <si>
    <t>Lana Vert/Grain/Max/Milao/Alana /alba</t>
  </si>
  <si>
    <t>Espelhamento</t>
  </si>
  <si>
    <t>C/ Filme Single</t>
  </si>
  <si>
    <t>Dublag. Cretone lote de tecido comprado</t>
  </si>
  <si>
    <t>Calandrar/Felpar</t>
  </si>
  <si>
    <t xml:space="preserve">Flanelar </t>
  </si>
  <si>
    <t>Casaco /1002-1916090170</t>
  </si>
  <si>
    <t xml:space="preserve">Tela </t>
  </si>
  <si>
    <t xml:space="preserve">Termofixar </t>
  </si>
  <si>
    <t>Sami/Maquinetado/Sublime</t>
  </si>
  <si>
    <t>Espelhamento / At 150 ou 100</t>
  </si>
  <si>
    <t xml:space="preserve">Filme + Mão de obra </t>
  </si>
  <si>
    <t xml:space="preserve">Termofixar +  flanelar </t>
  </si>
  <si>
    <t>1002090010-0000</t>
  </si>
  <si>
    <t>Flanelar/Peletizado</t>
  </si>
  <si>
    <t xml:space="preserve">Engebank </t>
  </si>
  <si>
    <t>Estopas Americana</t>
  </si>
  <si>
    <t>Flanela</t>
  </si>
  <si>
    <t>2 X LADOS</t>
  </si>
  <si>
    <t>Iberfios</t>
  </si>
  <si>
    <t>Peletizado</t>
  </si>
  <si>
    <t>Ibirapuera Textil</t>
  </si>
  <si>
    <t>Flanelado</t>
  </si>
  <si>
    <t>Innovativ Ind.</t>
  </si>
  <si>
    <t>Flanelamento /Espelhamento</t>
  </si>
  <si>
    <t>Peletizar/lixa</t>
  </si>
  <si>
    <t>Lona</t>
  </si>
  <si>
    <t>Tela Dublare</t>
  </si>
  <si>
    <t>Felpar</t>
  </si>
  <si>
    <t>Lolla</t>
  </si>
  <si>
    <t>Irineu Meneghel</t>
  </si>
  <si>
    <t>Irmãos Jurgensen</t>
  </si>
  <si>
    <t>Italytex Textil</t>
  </si>
  <si>
    <t>J. Besan Comercial</t>
  </si>
  <si>
    <t>J. Besan Comercial                          Dublagem c/ Cobrança de Filme  e TNT</t>
  </si>
  <si>
    <t>1 + 1,20 + 1,20 = 3,40</t>
  </si>
  <si>
    <t>P/m</t>
  </si>
  <si>
    <t>Calandra</t>
  </si>
  <si>
    <t>JRJ</t>
  </si>
  <si>
    <t>Peletização</t>
  </si>
  <si>
    <t>Peletizado/Calandrado</t>
  </si>
  <si>
    <t xml:space="preserve">Jumirim Malhas </t>
  </si>
  <si>
    <t>felpar</t>
  </si>
  <si>
    <t>LAMATEX</t>
  </si>
  <si>
    <t>FLANELA</t>
  </si>
  <si>
    <t>P/M</t>
  </si>
  <si>
    <t>Lartex/Sunfabrics</t>
  </si>
  <si>
    <t>Insumo + mão de obra</t>
  </si>
  <si>
    <t>Dublagem C/ SPUNTEC</t>
  </si>
  <si>
    <t>Limpanos</t>
  </si>
  <si>
    <t xml:space="preserve"> </t>
  </si>
  <si>
    <t>Mac Rose</t>
  </si>
  <si>
    <t>NM</t>
  </si>
  <si>
    <t>insumo = 1,19 + Mão de obra= 1,10</t>
  </si>
  <si>
    <t>Dublagem/Spuntec</t>
  </si>
  <si>
    <t>TAPETE DE 2MTS</t>
  </si>
  <si>
    <t>M.O 1,10 + TNT 0,82 + Filme 1,19</t>
  </si>
  <si>
    <t>Nossa Sra. Do Belém</t>
  </si>
  <si>
    <t>Porcher do Brasil</t>
  </si>
  <si>
    <t>FELPA/PELETIZAR</t>
  </si>
  <si>
    <t>PROTEXTIL</t>
  </si>
  <si>
    <t>Espelhamento É só O Filme</t>
  </si>
  <si>
    <t>HM 20 = 1,07 + M.O = 1,10</t>
  </si>
  <si>
    <t>Dublagem É QDO VAI tnt</t>
  </si>
  <si>
    <t>TPU PX= 1,12 + M.O = 1,10</t>
  </si>
  <si>
    <t>TPU 25= 3,25 = M.O= 1,21</t>
  </si>
  <si>
    <t>DUBLAGEM</t>
  </si>
  <si>
    <t>TNT 1,95 / HM 20 1,07 / M.O  1,10</t>
  </si>
  <si>
    <t>RENATO</t>
  </si>
  <si>
    <t>FILME + M.O</t>
  </si>
  <si>
    <t>Renovatex</t>
  </si>
  <si>
    <t xml:space="preserve">Renovatex </t>
  </si>
  <si>
    <t>Dublar c/Adesivo e TNT</t>
  </si>
  <si>
    <t>RRN</t>
  </si>
  <si>
    <t>Dublar c/ Adesivo e TNT</t>
  </si>
  <si>
    <t>Marisol/Penha</t>
  </si>
  <si>
    <t>Selene Ind.</t>
  </si>
  <si>
    <t>Sextou</t>
  </si>
  <si>
    <t>Tavares e Filhos (Mucio)</t>
  </si>
  <si>
    <t>flanela</t>
  </si>
  <si>
    <t>Tec Niker</t>
  </si>
  <si>
    <t>Dulagem/Single</t>
  </si>
  <si>
    <t>Tec. Americana</t>
  </si>
  <si>
    <t>Barreira</t>
  </si>
  <si>
    <t>Tec. Chuahy</t>
  </si>
  <si>
    <t>Tec. Panamericana</t>
  </si>
  <si>
    <t>Peletizar=Lixa</t>
  </si>
  <si>
    <t>Calandra/ Peletização</t>
  </si>
  <si>
    <t>Sarja</t>
  </si>
  <si>
    <t>Espelhamento c/ Smelltex 150</t>
  </si>
  <si>
    <t>Tec. Lona Estonada</t>
  </si>
  <si>
    <t>Dublar c/Filme +TNT</t>
  </si>
  <si>
    <t>HM 35 = 1,39</t>
  </si>
  <si>
    <t>Tec. panamericana</t>
  </si>
  <si>
    <t>Espelhamento c/Filme TPU</t>
  </si>
  <si>
    <t>Tecidos Tapeçaria</t>
  </si>
  <si>
    <t>Tec.Panamericana</t>
  </si>
  <si>
    <t>p/kg</t>
  </si>
  <si>
    <t>Dublado</t>
  </si>
  <si>
    <t>Acabamento  c/ AD SMEL AT 150</t>
  </si>
  <si>
    <t>Mão de obra + MP</t>
  </si>
  <si>
    <t>Teceart</t>
  </si>
  <si>
    <t>mão de obra</t>
  </si>
  <si>
    <t>Cretone</t>
  </si>
  <si>
    <t>Filme</t>
  </si>
  <si>
    <t>Tek-Sana Tecidos</t>
  </si>
  <si>
    <t>Tessuti</t>
  </si>
  <si>
    <t xml:space="preserve">Tessuti </t>
  </si>
  <si>
    <t>Mão de obra c/ adesivo</t>
  </si>
  <si>
    <t>Texion</t>
  </si>
  <si>
    <t>Amostra</t>
  </si>
  <si>
    <t>TPU + Barreira</t>
  </si>
  <si>
    <t>Texion Textil</t>
  </si>
  <si>
    <t>Peletizar=Lixar</t>
  </si>
  <si>
    <t>Calandrar e Felpar</t>
  </si>
  <si>
    <t xml:space="preserve"> Million / Filipo Uno</t>
  </si>
  <si>
    <t>Dublar</t>
  </si>
  <si>
    <t>Dublar com Cretone</t>
  </si>
  <si>
    <t>Lona Custom</t>
  </si>
  <si>
    <t>APLICAR SINGLE/FELPAR/PELETIZAR</t>
  </si>
  <si>
    <t>LONA GREZZO</t>
  </si>
  <si>
    <t>Texpoint</t>
  </si>
  <si>
    <t>Texpoy Textil</t>
  </si>
  <si>
    <t>Textil Daris</t>
  </si>
  <si>
    <t>Textil Favero</t>
  </si>
  <si>
    <t>Tramas do Brasil</t>
  </si>
  <si>
    <t>Zavatex</t>
  </si>
  <si>
    <t>Passadas</t>
  </si>
  <si>
    <t>Valor anterior</t>
  </si>
  <si>
    <t>Valor atual</t>
  </si>
  <si>
    <t>Unid</t>
  </si>
  <si>
    <t>Preço/metro</t>
  </si>
  <si>
    <t>Data de atualização</t>
  </si>
  <si>
    <t>Obs</t>
  </si>
  <si>
    <t>MO</t>
  </si>
  <si>
    <t>Colas</t>
  </si>
  <si>
    <t>Forro</t>
  </si>
  <si>
    <t>Ademir Maceti</t>
  </si>
  <si>
    <t>metro linear</t>
  </si>
  <si>
    <t>Emborrachamento</t>
  </si>
  <si>
    <t>AG Textil Eireli</t>
  </si>
  <si>
    <t>kg</t>
  </si>
  <si>
    <t>Dublagem Cretone PES</t>
  </si>
  <si>
    <t>Insumos fornecidos por Tapajos</t>
  </si>
  <si>
    <t>Dublagem Spun</t>
  </si>
  <si>
    <t>Novo</t>
  </si>
  <si>
    <t>Dublagem Cretone</t>
  </si>
  <si>
    <t>Insumos fornecidos por Tapajos; TNT= R$ 1,42 + Filme HM20/35 = R$ 1,1</t>
  </si>
  <si>
    <t>Bergon</t>
  </si>
  <si>
    <t>Felpagem</t>
  </si>
  <si>
    <t>12221 e 12179</t>
  </si>
  <si>
    <t>ok</t>
  </si>
  <si>
    <t>Espelhamento - MO</t>
  </si>
  <si>
    <t>Mão de obra</t>
  </si>
  <si>
    <t>Mão de obra e insumos</t>
  </si>
  <si>
    <t>Dublagem Spun - MO</t>
  </si>
  <si>
    <t>Dublagem Cretone - MO</t>
  </si>
  <si>
    <t>By For man</t>
  </si>
  <si>
    <t>Mão de obra e filme</t>
  </si>
  <si>
    <t>Chumbrecas/MX72/Tavares e Filhos</t>
  </si>
  <si>
    <t>Duas passadas</t>
  </si>
  <si>
    <t>-</t>
  </si>
  <si>
    <t>Fel. + Cal.</t>
  </si>
  <si>
    <t>Diversos</t>
  </si>
  <si>
    <t>Felpar e termofixar</t>
  </si>
  <si>
    <t>Dublagem Juta</t>
  </si>
  <si>
    <t>Juta</t>
  </si>
  <si>
    <t>Dublagem Cretone - MO (Juta)</t>
  </si>
  <si>
    <t>Apenas cola (HM35; L:1,55m) e MO</t>
  </si>
  <si>
    <t>Dublagem Cretone PES - 1,6</t>
  </si>
  <si>
    <t>1,60m</t>
  </si>
  <si>
    <t>Espelhamento - TBU BC - Insumos fornecidos por Tapajos</t>
  </si>
  <si>
    <t>Espelhamento anti-chama</t>
  </si>
  <si>
    <t>Espelhamento - Anti chama 150 ou 100 - Insumos fornecidos por Tapajos</t>
  </si>
  <si>
    <t>Rubus flanelado/Vision/lana Color/ Casaco/ Andino/ Sarape/ Xadrez/jacquard</t>
  </si>
  <si>
    <t>Lana Vert/Grain/Max/Milao/Alana /alba/ Tela / LANA SHOT/Kihei/Panama</t>
  </si>
  <si>
    <t>Panama</t>
  </si>
  <si>
    <t>Fel. + Pel.</t>
  </si>
  <si>
    <t>Alterado de 3,15 para 0,7 de acordo com o contato com a Marisa em 04'24</t>
  </si>
  <si>
    <t>Calandra + Peletização</t>
  </si>
  <si>
    <t>Alterado de 1,60 para 0,7 de acordo com o contato com a Marisa em 04'24</t>
  </si>
  <si>
    <t>Dublagem Tapete</t>
  </si>
  <si>
    <t>Dublagem Tapete - MO</t>
  </si>
  <si>
    <t>Fitecom</t>
  </si>
  <si>
    <t>Esp. + Pel.</t>
  </si>
  <si>
    <t>Espelhamento 2x</t>
  </si>
  <si>
    <t>Dublagem Cretone - Cola 50</t>
  </si>
  <si>
    <t>Pel. + Cal.</t>
  </si>
  <si>
    <t>LAJU</t>
  </si>
  <si>
    <t>Lamatex</t>
  </si>
  <si>
    <t>Insumo + MO</t>
  </si>
  <si>
    <t>Insumos + MO</t>
  </si>
  <si>
    <t>Mesa Belém</t>
  </si>
  <si>
    <t>Microtex</t>
  </si>
  <si>
    <t>MN</t>
  </si>
  <si>
    <t>PBS</t>
  </si>
  <si>
    <t>Protextil</t>
  </si>
  <si>
    <t>RC</t>
  </si>
  <si>
    <t>Tres passadas devido desgaste das guarnições</t>
  </si>
  <si>
    <t>Reia textil</t>
  </si>
  <si>
    <t>Sandra Textil</t>
  </si>
  <si>
    <t>Dublagem - MO + Filme</t>
  </si>
  <si>
    <t>Apenas MO</t>
  </si>
  <si>
    <t>Dublagem Anti-Derrapante</t>
  </si>
  <si>
    <t>Teclagem Macias</t>
  </si>
  <si>
    <t>Aplicação de filme</t>
  </si>
  <si>
    <t>Forro TNT</t>
  </si>
  <si>
    <t>Forro 100% PES</t>
  </si>
  <si>
    <t>Forro PA</t>
  </si>
  <si>
    <t>Fel. + Pel. + Cal.</t>
  </si>
  <si>
    <t>Calandrar, Lixar e Felpar</t>
  </si>
  <si>
    <t>Pel. + Spun</t>
  </si>
  <si>
    <t>Lona Custom Klaus Mix</t>
  </si>
  <si>
    <t>Palazzo, Charger, Gambit</t>
  </si>
  <si>
    <t>Barreira + Pel.</t>
  </si>
  <si>
    <t>Fel. + Pel. + Esp.</t>
  </si>
  <si>
    <t>Textil Americana</t>
  </si>
  <si>
    <t>Dublagem Barreira</t>
  </si>
  <si>
    <t>Textil Chuahy</t>
  </si>
  <si>
    <t>MO + insumos</t>
  </si>
  <si>
    <t>C/ Spun 1,15</t>
  </si>
  <si>
    <t>Textil Panamericana</t>
  </si>
  <si>
    <t>Calandra e Peletização</t>
  </si>
  <si>
    <t>Três Elos</t>
  </si>
  <si>
    <t>Dublagem Cretone HM70</t>
  </si>
  <si>
    <t>Mão de obra e cola</t>
  </si>
  <si>
    <t>MO + cola hm70</t>
  </si>
  <si>
    <t>Dublagem Cretone HM50</t>
  </si>
  <si>
    <t>MO + cola hm50</t>
  </si>
  <si>
    <t>MO + cola hm35</t>
  </si>
  <si>
    <t>S</t>
  </si>
  <si>
    <t>Wameltex</t>
  </si>
  <si>
    <t>Dublagem Spun - MO + spun</t>
  </si>
  <si>
    <t>Dublagem tapete - MO</t>
  </si>
  <si>
    <t>MO + cola</t>
  </si>
  <si>
    <t>Dublagem tapete - Cola</t>
  </si>
  <si>
    <t>Dublagem tapete - Cola e forro</t>
  </si>
  <si>
    <t>MO + cola + 100% pes</t>
  </si>
  <si>
    <t>Water (guarda sol)</t>
  </si>
  <si>
    <t>Dublagem HM35</t>
  </si>
  <si>
    <t>Dublagem HM50</t>
  </si>
  <si>
    <t>Dublagem HM70</t>
  </si>
  <si>
    <t>Zurich</t>
  </si>
  <si>
    <t>Dublagem Cretone PES - MO</t>
  </si>
  <si>
    <t>Margem</t>
  </si>
  <si>
    <t>Valor de venda por hora</t>
  </si>
  <si>
    <t>Produtividade m/por hora</t>
  </si>
  <si>
    <t>Custo de produção por hora</t>
  </si>
  <si>
    <t>CHH</t>
  </si>
  <si>
    <t>CMH</t>
  </si>
  <si>
    <t>CA</t>
  </si>
  <si>
    <t>Diprohl</t>
  </si>
  <si>
    <t>Espelhamento - L: 1,45m</t>
  </si>
  <si>
    <t>Espelhamento - L: 1,65m</t>
  </si>
  <si>
    <t>Estampagem</t>
  </si>
  <si>
    <t>Apenas cola (HM35; L:1,50m) e MO</t>
  </si>
  <si>
    <t>Cola 50</t>
  </si>
  <si>
    <t>Cola 35</t>
  </si>
  <si>
    <t>LE tecidos para decoração</t>
  </si>
  <si>
    <t>Maison</t>
  </si>
  <si>
    <t>Dublagem Spacer</t>
  </si>
  <si>
    <t>MO + Filme</t>
  </si>
  <si>
    <t>Tavares e Filhos</t>
  </si>
  <si>
    <t>Mão de obra e cola HM70</t>
  </si>
  <si>
    <t>Mão de obra e cola HM50</t>
  </si>
  <si>
    <t>Valdeci</t>
  </si>
  <si>
    <t>MO + cola hm36</t>
  </si>
  <si>
    <t>MO + Antiderrapante</t>
  </si>
  <si>
    <t>MO + Cola HM35</t>
  </si>
  <si>
    <t>Emborrachamento - MO e Material</t>
  </si>
  <si>
    <t>Dublagem TNT - MO</t>
  </si>
  <si>
    <t>m²</t>
  </si>
  <si>
    <t>Insumo</t>
  </si>
  <si>
    <t>Custo 20.11.23</t>
  </si>
  <si>
    <t>Custo 07.03.24</t>
  </si>
  <si>
    <t>Custo 13.05.24 (+20%)</t>
  </si>
  <si>
    <t>Custo 7.11.24 (+20%)</t>
  </si>
  <si>
    <t>Custo 11.12.24 (+20%)</t>
  </si>
  <si>
    <t>Csto 20.02.25</t>
  </si>
  <si>
    <t>HM 20 - 1,45m</t>
  </si>
  <si>
    <t>HM 20 - 1,5m</t>
  </si>
  <si>
    <t>HM 20 - 1,6m</t>
  </si>
  <si>
    <t>HM 35 - 1,45m</t>
  </si>
  <si>
    <t>HM 35 - 1,5m</t>
  </si>
  <si>
    <t>HM 35 - 1,55m</t>
  </si>
  <si>
    <t>HM 70</t>
  </si>
  <si>
    <t>TPU BC/BAH 15 micra - 1,45m</t>
  </si>
  <si>
    <t>TPU BC/BAH15 micra - 1,5m</t>
  </si>
  <si>
    <t>TPU BC/BAH15 micra - 1,65m</t>
  </si>
  <si>
    <t>Cretone PES</t>
  </si>
  <si>
    <t>Anti slip 110 branco ou Cinza (tapete)</t>
  </si>
  <si>
    <t>Filme BX 100m (PES) - tapete</t>
  </si>
  <si>
    <t>Filme BX 70m (PES) - tapete</t>
  </si>
  <si>
    <t>Filme 55 100m (PA)- tapete</t>
  </si>
  <si>
    <t>Metros/hora</t>
  </si>
  <si>
    <t>Clientes</t>
  </si>
  <si>
    <t>Valor p/ m</t>
  </si>
  <si>
    <t>Tipo</t>
  </si>
  <si>
    <t>Dublagem Tupy</t>
  </si>
  <si>
    <t>Termofixar</t>
  </si>
  <si>
    <t>Calandrar e Felpar Million</t>
  </si>
  <si>
    <t>Malha p/ Fardo</t>
  </si>
  <si>
    <t>Valor p/ Kg</t>
  </si>
  <si>
    <t>Emborrachamento - MO</t>
  </si>
  <si>
    <t>Filme 55 100m (PA)- tapete 1,4</t>
  </si>
  <si>
    <t>Filme 55 70m (PA)- tapete 1,4</t>
  </si>
  <si>
    <t>MO + Antiderrapante 70 micras</t>
  </si>
  <si>
    <t>New Tweed</t>
  </si>
  <si>
    <t>Dublagem Tupi</t>
  </si>
  <si>
    <t>Calango - Marcos</t>
  </si>
  <si>
    <t>Blackout</t>
  </si>
  <si>
    <t>MO + Cola HM20 e TNT30</t>
  </si>
  <si>
    <t>MO + TNT30</t>
  </si>
  <si>
    <t>Calueto</t>
  </si>
  <si>
    <t>Seda</t>
  </si>
  <si>
    <t>Mão de obra e cola HM35</t>
  </si>
  <si>
    <t>Brasilidades</t>
  </si>
  <si>
    <t>Mão de obra e cola  - produção normal hm50</t>
  </si>
  <si>
    <t>Custo 06.06.25 (+20%)</t>
  </si>
  <si>
    <t>Dublagem Spun - desconto &gt;2000m/mês</t>
  </si>
  <si>
    <t>HM 50 - 1,45m</t>
  </si>
  <si>
    <t>Dublagem Cretone (PES HM20)</t>
  </si>
  <si>
    <t>Dublagem Cretone PES (rampasso</t>
  </si>
  <si>
    <t>(Tecido leve)</t>
  </si>
  <si>
    <t>Dublagem Cretone 100%PES</t>
  </si>
  <si>
    <t>(Tecido leve) -  (PES HM20)</t>
  </si>
  <si>
    <t>Dublagem - MO + HM20</t>
  </si>
  <si>
    <t>Dublagem Spun - Antigo</t>
  </si>
  <si>
    <t>TNT 20g - 1,45m</t>
  </si>
  <si>
    <t>20g - 1,45</t>
  </si>
  <si>
    <t>30g - 1,45</t>
  </si>
  <si>
    <t>MO + Filme + calandra</t>
  </si>
  <si>
    <t>Dublagem Spun - 20g</t>
  </si>
  <si>
    <t>Dublagem TNT - 30g</t>
  </si>
  <si>
    <t>Dublagem TNT 30g</t>
  </si>
  <si>
    <t>Custo 20.08.25 (+20%)</t>
  </si>
  <si>
    <t>TNT 25g - 1,45m</t>
  </si>
  <si>
    <t>TNT 25g - 1,5m</t>
  </si>
  <si>
    <t>TNT 30g - 1,45m</t>
  </si>
  <si>
    <t>TNT 30g - 1,5m</t>
  </si>
  <si>
    <t>Textil Nicoleti</t>
  </si>
  <si>
    <t>Dublagem TNT 15g</t>
  </si>
  <si>
    <t>TNT 15g - 1,45m</t>
  </si>
  <si>
    <t>Dublagem Spun/TNT - desconto</t>
  </si>
  <si>
    <t>Felpagem  - FRETE-  R$70,00</t>
  </si>
  <si>
    <t xml:space="preserve">Felpagem  </t>
  </si>
  <si>
    <t>Dublagem - MO + HM35</t>
  </si>
  <si>
    <t>TNT 60g - 1,45</t>
  </si>
  <si>
    <t>TNT 100g - 1,45</t>
  </si>
  <si>
    <t>Rafael Tapetes</t>
  </si>
  <si>
    <t>Dublagem TNT 60g</t>
  </si>
  <si>
    <t>Dublagem TNT 100g</t>
  </si>
  <si>
    <t>Dublagem - MO + cola 35</t>
  </si>
  <si>
    <t>HM35 + MO (L:1,45m)</t>
  </si>
  <si>
    <t>HM20 + TNT60g + MO (L:1,45m)</t>
  </si>
  <si>
    <t>HM20 + TNT100g + MO (L:1,45m)</t>
  </si>
  <si>
    <t>Emborrachamento 70micras</t>
  </si>
  <si>
    <t>Emborrachamento 100micras</t>
  </si>
  <si>
    <t>L:1,40m</t>
  </si>
  <si>
    <t>Dublagem TNT + calandra</t>
  </si>
  <si>
    <t>Felpagem 2x</t>
  </si>
  <si>
    <t>MO + Filme + Forro</t>
  </si>
  <si>
    <t>Tecelagem Crystal</t>
  </si>
  <si>
    <t>Dublagem Tapete - MO + Insumos</t>
  </si>
  <si>
    <t>Dublagem Tapete - MO + Cola</t>
  </si>
  <si>
    <t>Emborrachamento - MO + Cola 70micras</t>
  </si>
  <si>
    <t>Dublagem + Emborrachamento</t>
  </si>
  <si>
    <t>JRJ / Rotergan</t>
  </si>
  <si>
    <t>Dublagem - TNT 30g + HM20 + MO</t>
  </si>
  <si>
    <t>Dublagem - TNT 15g + MO</t>
  </si>
  <si>
    <t>Emborrachamento - MO + Material</t>
  </si>
  <si>
    <t>Valor anterior 2025</t>
  </si>
  <si>
    <t>MO + HM35</t>
  </si>
  <si>
    <t>DB RAINBOW - Falcade</t>
  </si>
  <si>
    <t>MO + HM35 (L:1,50m)</t>
  </si>
  <si>
    <t>New Tweed (MO + HM35 + Cretone)</t>
  </si>
  <si>
    <t>Tupi (MO + HM35 + Cretone Pes)</t>
  </si>
  <si>
    <t>MO + HM20 + TNT 30g</t>
  </si>
  <si>
    <t>MO + TPU (L:1,45 m)</t>
  </si>
  <si>
    <t>MO + HM20</t>
  </si>
  <si>
    <t>MO + HM20 + calandra</t>
  </si>
  <si>
    <t>MO + HM20 (L:1,50 m)</t>
  </si>
  <si>
    <t>JRJ/Rotergan</t>
  </si>
  <si>
    <t>MO + HM50 + Cretone</t>
  </si>
  <si>
    <t>MO + HM35 + Cretone</t>
  </si>
  <si>
    <t>Sunfabrics</t>
  </si>
  <si>
    <t>Dublagem Cretone PES (Rampasso)</t>
  </si>
  <si>
    <t>MO + HM35 + Cretone PES</t>
  </si>
  <si>
    <t>MO + Filme 70 micras</t>
  </si>
  <si>
    <t>MO + HM20 + TNT 15g</t>
  </si>
  <si>
    <t>MO + HM35 (L:1,45m)</t>
  </si>
  <si>
    <t>MO + HM20 + TNT60g (L:1,45m)</t>
  </si>
  <si>
    <t>MO + HM20 + TNT100g (L:1,45m)</t>
  </si>
  <si>
    <t>MO + Filme 70 micras (L: 1,45 m)</t>
  </si>
  <si>
    <t>Dublagem EVA</t>
  </si>
  <si>
    <t>MO + HM20 + TNT 20g</t>
  </si>
  <si>
    <t>MO + HM20 + Cretone PES</t>
  </si>
  <si>
    <t>Lona Custom + Million / Filipo Uno</t>
  </si>
  <si>
    <t>MO + HM70</t>
  </si>
  <si>
    <t>MO + HM50</t>
  </si>
  <si>
    <t>MO + HM20 + TNT 30g + Filme 70 micras</t>
  </si>
  <si>
    <t>MO + Cola HM20 + TNT 30g</t>
  </si>
  <si>
    <t>MO + TPU + Barreira</t>
  </si>
  <si>
    <t>Felpagem  - FRETE R$70,00</t>
  </si>
  <si>
    <t>MO + TPU (L:1,65 m)</t>
  </si>
  <si>
    <t>Peletização + Spun</t>
  </si>
  <si>
    <t>Felelpagem + Calandra</t>
  </si>
  <si>
    <t>Felpagem + Peletização + Espelhamento</t>
  </si>
  <si>
    <t>Calandra 2x - V: 3</t>
  </si>
  <si>
    <t>MO + Filme 70 micras (L: 1,50 m)</t>
  </si>
  <si>
    <t>MO + HM20 + TNT 60g</t>
  </si>
  <si>
    <t>Filme 55 70m (PA)- tapete 1,5</t>
  </si>
  <si>
    <t>Filme 55 70m (PA)- tapete 1,45</t>
  </si>
  <si>
    <t>Dublagem TNT + Emborrachamento</t>
  </si>
  <si>
    <t>MO + HM20 + TNT 60g + Filme 70 micras (L: 1,50 m)</t>
  </si>
  <si>
    <t>MO + HM20 + TNT 60g + Filme 70 micras (L: 1,45 m)</t>
  </si>
  <si>
    <t>Poseidon 02</t>
  </si>
  <si>
    <t>MO + TPU</t>
  </si>
  <si>
    <t>Hyperjet - Marcos</t>
  </si>
  <si>
    <t>MO + HM35 (L:1,55m) - 10.02 contato com a marisa</t>
  </si>
  <si>
    <t>Dublagem Forro Eco</t>
  </si>
  <si>
    <t>MO + HM20 (L:1,50m)</t>
  </si>
  <si>
    <t>R$</t>
  </si>
  <si>
    <t>r$</t>
  </si>
  <si>
    <t>Clautex Tecidos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</si>
</sst>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;[Red]&quot;-R$ &quot;#,##0.00"/>
    <numFmt numFmtId="165" formatCode="_-&quot;R$ &quot;* #,##0.00_-;&quot;-R$ &quot;* #,##0.00_-;_-&quot;R$ &quot;* \-??_-;_-@"/>
    <numFmt numFmtId="166" formatCode="_-* #,##0.00_-;\-* #,##0.00_-;_-* &quot;-&quot;??_-;_-@"/>
  </numFmts>
  <fonts count="13" x14ac:knownFonts="1">
    <font>
      <sz val="11"/>
      <color rgb="FF000000"/>
      <name val="Calibri"/>
      <scheme val="minor"/>
    </font>
    <font>
      <b/>
      <sz val="26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D99694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22"/>
      <color rgb="FFFFFFFF"/>
      <name val="Cambria"/>
      <family val="1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B7DEE8"/>
        <bgColor rgb="FFB7DEE8"/>
      </patternFill>
    </fill>
    <fill>
      <patternFill patternType="solid">
        <fgColor rgb="FFFAC090"/>
        <bgColor rgb="FFFAC090"/>
      </patternFill>
    </fill>
    <fill>
      <patternFill patternType="solid">
        <fgColor rgb="FFC3D69B"/>
        <bgColor rgb="FFC3D69B"/>
      </patternFill>
    </fill>
    <fill>
      <patternFill patternType="solid">
        <fgColor rgb="FFD99694"/>
        <bgColor rgb="FFD99694"/>
      </patternFill>
    </fill>
    <fill>
      <patternFill patternType="solid">
        <fgColor rgb="FF404040"/>
        <bgColor rgb="FF404040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215968"/>
        <bgColor rgb="FF215968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2" borderId="2" xfId="0" applyFont="1" applyFill="1" applyBorder="1"/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/>
    <xf numFmtId="0" fontId="3" fillId="6" borderId="2" xfId="0" applyFont="1" applyFill="1" applyBorder="1"/>
    <xf numFmtId="0" fontId="3" fillId="0" borderId="2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8" fillId="0" borderId="0" xfId="0" applyFont="1"/>
    <xf numFmtId="0" fontId="6" fillId="8" borderId="3" xfId="0" applyFont="1" applyFill="1" applyBorder="1" applyAlignment="1">
      <alignment horizontal="center"/>
    </xf>
    <xf numFmtId="0" fontId="3" fillId="8" borderId="3" xfId="0" applyFont="1" applyFill="1" applyBorder="1"/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left"/>
    </xf>
    <xf numFmtId="0" fontId="3" fillId="8" borderId="8" xfId="0" applyFont="1" applyFill="1" applyBorder="1" applyAlignment="1">
      <alignment horizontal="center"/>
    </xf>
    <xf numFmtId="165" fontId="3" fillId="8" borderId="8" xfId="0" applyNumberFormat="1" applyFont="1" applyFill="1" applyBorder="1"/>
    <xf numFmtId="0" fontId="7" fillId="8" borderId="8" xfId="0" applyFont="1" applyFill="1" applyBorder="1" applyAlignment="1">
      <alignment horizontal="center"/>
    </xf>
    <xf numFmtId="165" fontId="3" fillId="0" borderId="8" xfId="0" applyNumberFormat="1" applyFont="1" applyBorder="1"/>
    <xf numFmtId="14" fontId="3" fillId="8" borderId="8" xfId="0" applyNumberFormat="1" applyFont="1" applyFill="1" applyBorder="1" applyAlignment="1">
      <alignment horizontal="center"/>
    </xf>
    <xf numFmtId="0" fontId="3" fillId="8" borderId="9" xfId="0" applyFont="1" applyFill="1" applyBorder="1" applyAlignment="1">
      <alignment horizontal="left"/>
    </xf>
    <xf numFmtId="165" fontId="3" fillId="0" borderId="0" xfId="0" applyNumberFormat="1" applyFont="1"/>
    <xf numFmtId="165" fontId="3" fillId="0" borderId="8" xfId="0" applyNumberFormat="1" applyFont="1" applyBorder="1" applyAlignment="1">
      <alignment horizontal="right"/>
    </xf>
    <xf numFmtId="0" fontId="3" fillId="8" borderId="10" xfId="0" applyFont="1" applyFill="1" applyBorder="1" applyAlignment="1">
      <alignment horizontal="left"/>
    </xf>
    <xf numFmtId="0" fontId="3" fillId="8" borderId="10" xfId="0" applyFont="1" applyFill="1" applyBorder="1" applyAlignment="1">
      <alignment horizontal="center"/>
    </xf>
    <xf numFmtId="165" fontId="3" fillId="8" borderId="10" xfId="0" applyNumberFormat="1" applyFont="1" applyFill="1" applyBorder="1"/>
    <xf numFmtId="165" fontId="3" fillId="0" borderId="11" xfId="0" applyNumberFormat="1" applyFont="1" applyBorder="1"/>
    <xf numFmtId="0" fontId="3" fillId="8" borderId="12" xfId="0" applyFont="1" applyFill="1" applyBorder="1" applyAlignment="1">
      <alignment horizontal="left"/>
    </xf>
    <xf numFmtId="165" fontId="3" fillId="10" borderId="3" xfId="0" applyNumberFormat="1" applyFont="1" applyFill="1" applyBorder="1"/>
    <xf numFmtId="0" fontId="7" fillId="8" borderId="7" xfId="0" applyFont="1" applyFill="1" applyBorder="1" applyAlignment="1">
      <alignment horizontal="center"/>
    </xf>
    <xf numFmtId="0" fontId="7" fillId="8" borderId="8" xfId="0" applyFont="1" applyFill="1" applyBorder="1" applyAlignment="1">
      <alignment horizontal="left"/>
    </xf>
    <xf numFmtId="0" fontId="6" fillId="8" borderId="8" xfId="0" applyFont="1" applyFill="1" applyBorder="1" applyAlignment="1">
      <alignment horizontal="left"/>
    </xf>
    <xf numFmtId="165" fontId="3" fillId="8" borderId="13" xfId="0" applyNumberFormat="1" applyFont="1" applyFill="1" applyBorder="1"/>
    <xf numFmtId="0" fontId="7" fillId="8" borderId="8" xfId="0" applyFont="1" applyFill="1" applyBorder="1"/>
    <xf numFmtId="0" fontId="3" fillId="8" borderId="14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left"/>
    </xf>
    <xf numFmtId="0" fontId="3" fillId="8" borderId="13" xfId="0" applyFont="1" applyFill="1" applyBorder="1" applyAlignment="1">
      <alignment horizontal="center"/>
    </xf>
    <xf numFmtId="165" fontId="3" fillId="0" borderId="13" xfId="0" applyNumberFormat="1" applyFont="1" applyBorder="1"/>
    <xf numFmtId="0" fontId="7" fillId="8" borderId="13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left"/>
    </xf>
    <xf numFmtId="166" fontId="3" fillId="8" borderId="3" xfId="0" applyNumberFormat="1" applyFont="1" applyFill="1" applyBorder="1"/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 wrapText="1"/>
    </xf>
    <xf numFmtId="9" fontId="3" fillId="8" borderId="3" xfId="0" applyNumberFormat="1" applyFont="1" applyFill="1" applyBorder="1"/>
    <xf numFmtId="14" fontId="3" fillId="8" borderId="13" xfId="0" applyNumberFormat="1" applyFont="1" applyFill="1" applyBorder="1" applyAlignment="1">
      <alignment horizontal="center"/>
    </xf>
    <xf numFmtId="2" fontId="3" fillId="0" borderId="0" xfId="0" applyNumberFormat="1" applyFont="1"/>
    <xf numFmtId="0" fontId="3" fillId="11" borderId="3" xfId="0" applyFont="1" applyFill="1" applyBorder="1"/>
    <xf numFmtId="0" fontId="9" fillId="11" borderId="3" xfId="0" applyFont="1" applyFill="1" applyBorder="1"/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3" fillId="12" borderId="8" xfId="0" applyFont="1" applyFill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165" fontId="3" fillId="13" borderId="8" xfId="0" applyNumberFormat="1" applyFont="1" applyFill="1" applyBorder="1"/>
    <xf numFmtId="2" fontId="0" fillId="0" borderId="0" xfId="0" applyNumberFormat="1"/>
    <xf numFmtId="165" fontId="3" fillId="8" borderId="11" xfId="0" applyNumberFormat="1" applyFont="1" applyFill="1" applyBorder="1"/>
    <xf numFmtId="0" fontId="3" fillId="8" borderId="11" xfId="0" applyFont="1" applyFill="1" applyBorder="1" applyAlignment="1">
      <alignment horizontal="left"/>
    </xf>
    <xf numFmtId="0" fontId="3" fillId="8" borderId="11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14" borderId="7" xfId="0" applyFont="1" applyFill="1" applyBorder="1" applyAlignment="1">
      <alignment horizontal="center"/>
    </xf>
    <xf numFmtId="0" fontId="3" fillId="15" borderId="7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165" fontId="12" fillId="8" borderId="8" xfId="0" applyNumberFormat="1" applyFont="1" applyFill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ique Leite" id="{01831676-D1B8-45E5-8D1B-D6AF4AAA12D3}" userId="02a3a461f3ad8dbd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5" dT="2025-06-18T11:46:34.72" personId="{01831676-D1B8-45E5-8D1B-D6AF4AAA12D3}" id="{7679B2A4-256F-45DC-864E-402B5AD2C872}">
    <text>13,5 R$/kg, 9m/kg</text>
  </threadedComment>
</ThreadedComment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A6" sqref="A6"/>
    </sheetView>
  </sheetViews>
  <sheetFormatPr defaultColWidth="14.453125" defaultRowHeight="15" customHeight="1" x14ac:dyDescent="0.35"/>
  <cols>
    <col min="1" max="1" width="19.6328125" customWidth="1"/>
    <col min="2" max="2" width="12.453125" customWidth="1"/>
    <col min="3" max="3" width="73" customWidth="1"/>
    <col min="4" max="4" width="12.08984375" customWidth="1"/>
    <col min="5" max="5" width="15.6328125" customWidth="1"/>
    <col min="6" max="6" width="8.984375E-2" hidden="1" customWidth="1"/>
    <col min="7" max="26" width="8.6328125" customWidth="1"/>
  </cols>
  <sheetData>
    <row r="1" spans="1:5" ht="42" customHeight="1" x14ac:dyDescent="0.75">
      <c r="A1" s="79" t="s">
        <v>0</v>
      </c>
      <c r="B1" s="80"/>
      <c r="C1" s="80"/>
      <c r="D1" s="80"/>
      <c r="E1" s="80"/>
    </row>
    <row r="2" spans="1:5" ht="21.75" customHeight="1" x14ac:dyDescent="0.35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</row>
    <row r="3" spans="1:5" ht="21.75" customHeight="1" x14ac:dyDescent="0.35">
      <c r="A3" s="6" t="s">
        <v>6</v>
      </c>
      <c r="B3" s="6"/>
      <c r="C3" s="6"/>
      <c r="D3" s="6"/>
      <c r="E3" s="6" t="s">
        <v>7</v>
      </c>
    </row>
    <row r="4" spans="1:5" ht="21.75" customHeight="1" x14ac:dyDescent="0.35">
      <c r="A4" s="6" t="s">
        <v>8</v>
      </c>
      <c r="B4" s="6"/>
      <c r="C4" s="6" t="s">
        <v>9</v>
      </c>
      <c r="D4" s="6"/>
      <c r="E4" s="6"/>
    </row>
    <row r="5" spans="1:5" ht="21.75" customHeight="1" x14ac:dyDescent="0.35">
      <c r="A5" s="6" t="s">
        <v>10</v>
      </c>
      <c r="B5" s="6"/>
      <c r="C5" s="6" t="s">
        <v>11</v>
      </c>
      <c r="D5" s="6"/>
      <c r="E5" s="6"/>
    </row>
    <row r="6" spans="1:5" ht="21.75" customHeight="1" x14ac:dyDescent="0.35">
      <c r="A6" s="6" t="s">
        <v>10</v>
      </c>
      <c r="B6" s="6"/>
      <c r="C6" s="6" t="s">
        <v>12</v>
      </c>
      <c r="D6" s="6"/>
      <c r="E6" s="6"/>
    </row>
    <row r="7" spans="1:5" ht="21.75" customHeight="1" x14ac:dyDescent="0.35">
      <c r="A7" s="6" t="s">
        <v>13</v>
      </c>
      <c r="B7" s="6"/>
      <c r="C7" s="6" t="s">
        <v>14</v>
      </c>
      <c r="D7" s="6"/>
      <c r="E7" s="6"/>
    </row>
    <row r="8" spans="1:5" ht="21.75" customHeight="1" x14ac:dyDescent="0.35">
      <c r="A8" s="6" t="s">
        <v>15</v>
      </c>
      <c r="B8" s="6" t="s">
        <v>16</v>
      </c>
      <c r="C8" s="6"/>
      <c r="D8" s="6"/>
      <c r="E8" s="6"/>
    </row>
    <row r="9" spans="1:5" ht="21.75" customHeight="1" x14ac:dyDescent="0.35">
      <c r="A9" s="6" t="s">
        <v>17</v>
      </c>
      <c r="B9" s="6"/>
      <c r="C9" s="6" t="s">
        <v>18</v>
      </c>
      <c r="D9" s="6"/>
      <c r="E9" s="6"/>
    </row>
    <row r="10" spans="1:5" ht="21.75" customHeight="1" x14ac:dyDescent="0.35">
      <c r="A10" s="6" t="s">
        <v>19</v>
      </c>
      <c r="B10" s="6" t="s">
        <v>16</v>
      </c>
      <c r="C10" s="6"/>
      <c r="D10" s="6"/>
      <c r="E10" s="6" t="s">
        <v>7</v>
      </c>
    </row>
    <row r="11" spans="1:5" ht="21.75" customHeight="1" x14ac:dyDescent="0.35">
      <c r="A11" s="6" t="s">
        <v>20</v>
      </c>
      <c r="B11" s="6"/>
      <c r="C11" s="6" t="s">
        <v>21</v>
      </c>
      <c r="D11" s="6"/>
      <c r="E11" s="6"/>
    </row>
    <row r="12" spans="1:5" ht="21.75" customHeight="1" x14ac:dyDescent="0.35">
      <c r="A12" s="6" t="s">
        <v>22</v>
      </c>
      <c r="B12" s="6" t="s">
        <v>23</v>
      </c>
      <c r="C12" s="6" t="s">
        <v>24</v>
      </c>
      <c r="D12" s="6"/>
      <c r="E12" s="6"/>
    </row>
    <row r="13" spans="1:5" ht="21.75" customHeight="1" x14ac:dyDescent="0.35">
      <c r="A13" s="6" t="s">
        <v>25</v>
      </c>
      <c r="B13" s="6" t="s">
        <v>26</v>
      </c>
      <c r="C13" s="6"/>
      <c r="D13" s="6"/>
      <c r="E13" s="6"/>
    </row>
    <row r="14" spans="1:5" ht="21" customHeight="1" x14ac:dyDescent="0.35">
      <c r="A14" s="6" t="s">
        <v>27</v>
      </c>
      <c r="B14" s="6" t="s">
        <v>16</v>
      </c>
      <c r="C14" s="6"/>
      <c r="D14" s="6"/>
      <c r="E14" s="6"/>
    </row>
    <row r="15" spans="1:5" ht="21.75" customHeight="1" x14ac:dyDescent="0.35">
      <c r="A15" s="6" t="s">
        <v>28</v>
      </c>
      <c r="B15" s="6" t="s">
        <v>29</v>
      </c>
      <c r="C15" s="6" t="s">
        <v>30</v>
      </c>
      <c r="D15" s="6"/>
      <c r="E15" s="6" t="s">
        <v>7</v>
      </c>
    </row>
    <row r="16" spans="1:5" ht="21.75" customHeight="1" x14ac:dyDescent="0.35">
      <c r="A16" s="6" t="s">
        <v>31</v>
      </c>
      <c r="B16" s="6"/>
      <c r="C16" s="6" t="s">
        <v>32</v>
      </c>
      <c r="D16" s="6"/>
      <c r="E16" s="6"/>
    </row>
    <row r="17" spans="1:5" ht="21.75" customHeight="1" x14ac:dyDescent="0.35">
      <c r="A17" s="6" t="s">
        <v>33</v>
      </c>
      <c r="B17" s="6"/>
      <c r="C17" s="6"/>
      <c r="D17" s="6" t="s">
        <v>16</v>
      </c>
      <c r="E17" s="6"/>
    </row>
    <row r="18" spans="1:5" ht="21.75" customHeight="1" x14ac:dyDescent="0.35">
      <c r="A18" s="6" t="s">
        <v>34</v>
      </c>
      <c r="B18" s="6"/>
      <c r="C18" s="6" t="s">
        <v>35</v>
      </c>
      <c r="D18" s="6"/>
      <c r="E18" s="6"/>
    </row>
    <row r="19" spans="1:5" ht="21.75" customHeight="1" x14ac:dyDescent="0.35">
      <c r="A19" s="6" t="s">
        <v>36</v>
      </c>
      <c r="B19" s="6"/>
      <c r="C19" s="6" t="s">
        <v>37</v>
      </c>
      <c r="D19" s="6"/>
      <c r="E19" s="6"/>
    </row>
    <row r="20" spans="1:5" ht="21.75" customHeight="1" x14ac:dyDescent="0.35">
      <c r="A20" s="6" t="s">
        <v>38</v>
      </c>
      <c r="B20" s="6" t="s">
        <v>16</v>
      </c>
      <c r="C20" s="6"/>
      <c r="D20" s="6"/>
      <c r="E20" s="6"/>
    </row>
    <row r="21" spans="1:5" ht="21.75" customHeight="1" x14ac:dyDescent="0.35">
      <c r="A21" s="6" t="s">
        <v>39</v>
      </c>
      <c r="B21" s="6" t="s">
        <v>40</v>
      </c>
      <c r="C21" s="6" t="s">
        <v>37</v>
      </c>
      <c r="D21" s="6" t="s">
        <v>41</v>
      </c>
      <c r="E21" s="6"/>
    </row>
    <row r="22" spans="1:5" ht="21.75" customHeight="1" x14ac:dyDescent="0.35">
      <c r="A22" s="6" t="s">
        <v>42</v>
      </c>
      <c r="B22" s="6" t="s">
        <v>16</v>
      </c>
      <c r="C22" s="6" t="s">
        <v>43</v>
      </c>
      <c r="D22" s="6" t="s">
        <v>44</v>
      </c>
      <c r="E22" s="6"/>
    </row>
    <row r="23" spans="1:5" ht="21.75" customHeight="1" x14ac:dyDescent="0.35">
      <c r="A23" s="6" t="s">
        <v>42</v>
      </c>
      <c r="B23" s="6"/>
      <c r="C23" s="6" t="s">
        <v>45</v>
      </c>
      <c r="D23" s="6" t="s">
        <v>46</v>
      </c>
      <c r="E23" s="6"/>
    </row>
    <row r="24" spans="1:5" ht="21.75" customHeight="1" x14ac:dyDescent="0.35">
      <c r="A24" s="6" t="s">
        <v>47</v>
      </c>
      <c r="B24" s="6"/>
      <c r="C24" s="6" t="s">
        <v>48</v>
      </c>
      <c r="D24" s="6"/>
      <c r="E24" s="6"/>
    </row>
    <row r="25" spans="1:5" ht="21.75" customHeight="1" x14ac:dyDescent="0.35">
      <c r="A25" s="6" t="s">
        <v>49</v>
      </c>
      <c r="B25" s="6"/>
      <c r="C25" s="6" t="s">
        <v>50</v>
      </c>
      <c r="D25" s="6"/>
      <c r="E25" s="6"/>
    </row>
    <row r="26" spans="1:5" ht="21.75" customHeight="1" x14ac:dyDescent="0.35">
      <c r="A26" s="6" t="s">
        <v>51</v>
      </c>
      <c r="B26" s="6" t="s">
        <v>16</v>
      </c>
      <c r="C26" s="6" t="s">
        <v>35</v>
      </c>
      <c r="D26" s="6"/>
      <c r="E26" s="6"/>
    </row>
    <row r="27" spans="1:5" ht="21.75" customHeight="1" x14ac:dyDescent="0.35">
      <c r="A27" s="6" t="s">
        <v>52</v>
      </c>
      <c r="B27" s="6"/>
      <c r="C27" s="6"/>
      <c r="D27" s="6"/>
      <c r="E27" s="6" t="s">
        <v>7</v>
      </c>
    </row>
    <row r="28" spans="1:5" ht="21.75" customHeight="1" x14ac:dyDescent="0.35">
      <c r="A28" s="6" t="s">
        <v>53</v>
      </c>
      <c r="B28" s="6" t="s">
        <v>54</v>
      </c>
      <c r="C28" s="6"/>
      <c r="D28" s="6"/>
      <c r="E28" s="6"/>
    </row>
    <row r="29" spans="1:5" ht="21.75" customHeight="1" x14ac:dyDescent="0.35">
      <c r="A29" s="6" t="s">
        <v>55</v>
      </c>
      <c r="B29" s="6"/>
      <c r="C29" s="6"/>
      <c r="D29" s="6" t="s">
        <v>56</v>
      </c>
      <c r="E29" s="6"/>
    </row>
    <row r="30" spans="1:5" ht="21.75" customHeight="1" x14ac:dyDescent="0.35"/>
    <row r="31" spans="1:5" ht="14.25" customHeight="1" x14ac:dyDescent="0.35"/>
    <row r="32" spans="1:5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E1"/>
  </mergeCells>
  <pageMargins left="0.51180555555555596" right="0.51180555555555596" top="0.78749999999999998" bottom="0.78749999999999998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20" workbookViewId="0">
      <selection activeCell="B38" sqref="B38:H38"/>
    </sheetView>
  </sheetViews>
  <sheetFormatPr defaultColWidth="14.453125" defaultRowHeight="15" customHeight="1" x14ac:dyDescent="0.35"/>
  <cols>
    <col min="1" max="1" width="4.6328125" customWidth="1"/>
    <col min="2" max="2" width="23.36328125" customWidth="1"/>
    <col min="3" max="3" width="39" customWidth="1"/>
    <col min="4" max="4" width="35" customWidth="1"/>
    <col min="5" max="5" width="11.90625" customWidth="1"/>
    <col min="6" max="6" width="20.54296875" customWidth="1"/>
    <col min="7" max="7" width="10.6328125" customWidth="1"/>
    <col min="8" max="8" width="31.36328125" customWidth="1"/>
    <col min="9" max="26" width="8.6328125" customWidth="1"/>
  </cols>
  <sheetData>
    <row r="1" spans="1:26" ht="6" customHeight="1" x14ac:dyDescent="0.35">
      <c r="B1" s="7"/>
      <c r="C1" s="7"/>
      <c r="D1" s="7"/>
      <c r="E1" s="7"/>
    </row>
    <row r="2" spans="1:26" ht="21" customHeight="1" x14ac:dyDescent="0.35">
      <c r="A2" s="8"/>
      <c r="B2" s="9" t="s">
        <v>57</v>
      </c>
      <c r="C2" s="9" t="s">
        <v>58</v>
      </c>
      <c r="D2" s="9" t="s">
        <v>59</v>
      </c>
      <c r="E2" s="9" t="s">
        <v>60</v>
      </c>
      <c r="F2" s="9" t="s">
        <v>61</v>
      </c>
      <c r="G2" s="9" t="s">
        <v>62</v>
      </c>
      <c r="H2" s="9" t="s">
        <v>63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25" customHeight="1" x14ac:dyDescent="0.35">
      <c r="B3" s="7" t="s">
        <v>64</v>
      </c>
      <c r="C3" s="7" t="s">
        <v>65</v>
      </c>
      <c r="D3" s="7"/>
      <c r="E3" s="7">
        <v>1</v>
      </c>
      <c r="F3" s="10">
        <v>1.05</v>
      </c>
      <c r="G3" s="7" t="s">
        <v>66</v>
      </c>
      <c r="H3" s="11">
        <v>1.1499999999999999</v>
      </c>
    </row>
    <row r="4" spans="1:26" ht="14.25" customHeight="1" x14ac:dyDescent="0.35">
      <c r="B4" s="7" t="s">
        <v>67</v>
      </c>
      <c r="C4" s="7" t="s">
        <v>68</v>
      </c>
      <c r="D4" s="7"/>
      <c r="E4" s="7"/>
      <c r="F4" s="12">
        <v>15.6</v>
      </c>
      <c r="G4" s="7" t="s">
        <v>69</v>
      </c>
      <c r="H4" s="7"/>
    </row>
    <row r="5" spans="1:26" ht="14.25" customHeight="1" x14ac:dyDescent="0.35">
      <c r="B5" s="7" t="s">
        <v>70</v>
      </c>
      <c r="C5" s="7" t="s">
        <v>71</v>
      </c>
      <c r="D5" s="7" t="s">
        <v>72</v>
      </c>
      <c r="E5" s="7">
        <v>2</v>
      </c>
      <c r="F5" s="12">
        <v>0.55000000000000004</v>
      </c>
      <c r="G5" s="7" t="s">
        <v>73</v>
      </c>
      <c r="H5" s="11">
        <v>0.63</v>
      </c>
    </row>
    <row r="6" spans="1:26" ht="12" customHeight="1" x14ac:dyDescent="0.35">
      <c r="B6" s="7" t="s">
        <v>74</v>
      </c>
      <c r="C6" s="7"/>
      <c r="D6" s="7"/>
      <c r="E6" s="7"/>
      <c r="F6" s="12"/>
      <c r="G6" s="7">
        <v>5.12</v>
      </c>
      <c r="H6" s="11">
        <v>10.7</v>
      </c>
    </row>
    <row r="7" spans="1:26" ht="14.25" customHeight="1" x14ac:dyDescent="0.35">
      <c r="B7" s="7" t="s">
        <v>74</v>
      </c>
      <c r="C7" s="7"/>
      <c r="D7" s="7" t="s">
        <v>75</v>
      </c>
      <c r="E7" s="7"/>
      <c r="F7" s="12"/>
      <c r="G7" s="7"/>
      <c r="H7" s="13">
        <v>6.9</v>
      </c>
    </row>
    <row r="8" spans="1:26" ht="14.25" customHeight="1" x14ac:dyDescent="0.35">
      <c r="B8" s="7" t="s">
        <v>74</v>
      </c>
      <c r="C8" s="7"/>
      <c r="D8" s="7" t="s">
        <v>76</v>
      </c>
      <c r="E8" s="7"/>
      <c r="F8" s="12"/>
      <c r="G8" s="7"/>
      <c r="H8" s="13">
        <v>6.7</v>
      </c>
    </row>
    <row r="9" spans="1:26" ht="14.25" customHeight="1" x14ac:dyDescent="0.35">
      <c r="B9" s="7" t="s">
        <v>74</v>
      </c>
      <c r="C9" s="7"/>
      <c r="D9" s="7" t="s">
        <v>77</v>
      </c>
      <c r="E9" s="7"/>
      <c r="F9" s="12"/>
      <c r="G9" s="7"/>
      <c r="H9" s="13">
        <v>6.1</v>
      </c>
    </row>
    <row r="10" spans="1:26" ht="14.25" customHeight="1" x14ac:dyDescent="0.35">
      <c r="B10" s="7" t="s">
        <v>78</v>
      </c>
      <c r="C10" s="7" t="s">
        <v>71</v>
      </c>
      <c r="D10" s="7" t="s">
        <v>79</v>
      </c>
      <c r="E10" s="7">
        <v>2</v>
      </c>
      <c r="F10" s="12">
        <v>0.55000000000000004</v>
      </c>
      <c r="G10" s="7" t="s">
        <v>73</v>
      </c>
      <c r="H10" s="13">
        <v>0.6</v>
      </c>
    </row>
    <row r="11" spans="1:26" ht="14.25" customHeight="1" x14ac:dyDescent="0.35">
      <c r="B11" s="7" t="s">
        <v>78</v>
      </c>
      <c r="C11" s="7" t="s">
        <v>71</v>
      </c>
      <c r="D11" s="7" t="s">
        <v>80</v>
      </c>
      <c r="E11" s="7"/>
      <c r="F11" s="12">
        <v>0.37</v>
      </c>
      <c r="G11" s="7" t="s">
        <v>73</v>
      </c>
      <c r="H11" s="11"/>
    </row>
    <row r="12" spans="1:26" ht="14.25" customHeight="1" x14ac:dyDescent="0.35">
      <c r="B12" s="7" t="s">
        <v>81</v>
      </c>
      <c r="C12" s="7" t="s">
        <v>82</v>
      </c>
      <c r="D12" s="7"/>
      <c r="E12" s="7">
        <v>1</v>
      </c>
      <c r="F12" s="12"/>
      <c r="G12" s="7" t="s">
        <v>66</v>
      </c>
      <c r="H12" s="13">
        <v>0.6</v>
      </c>
    </row>
    <row r="13" spans="1:26" ht="14.25" customHeight="1" x14ac:dyDescent="0.35">
      <c r="B13" s="7" t="s">
        <v>81</v>
      </c>
      <c r="C13" s="7" t="s">
        <v>83</v>
      </c>
      <c r="D13" s="7"/>
      <c r="E13" s="7">
        <v>1</v>
      </c>
      <c r="F13" s="12"/>
      <c r="G13" s="7" t="s">
        <v>66</v>
      </c>
      <c r="H13" s="11">
        <v>2.14</v>
      </c>
    </row>
    <row r="14" spans="1:26" ht="14.25" customHeight="1" x14ac:dyDescent="0.35">
      <c r="B14" s="7" t="s">
        <v>84</v>
      </c>
      <c r="C14" s="7" t="s">
        <v>71</v>
      </c>
      <c r="D14" s="7"/>
      <c r="E14" s="7">
        <v>2</v>
      </c>
      <c r="F14" s="12">
        <v>0.6</v>
      </c>
      <c r="G14" s="7" t="s">
        <v>73</v>
      </c>
      <c r="H14" s="13">
        <v>1</v>
      </c>
    </row>
    <row r="15" spans="1:26" ht="14.25" customHeight="1" x14ac:dyDescent="0.35">
      <c r="B15" s="7" t="s">
        <v>85</v>
      </c>
      <c r="C15" s="7" t="s">
        <v>71</v>
      </c>
      <c r="D15" s="7" t="s">
        <v>86</v>
      </c>
      <c r="E15" s="7"/>
      <c r="F15" s="12">
        <v>1.4</v>
      </c>
      <c r="G15" s="7" t="s">
        <v>73</v>
      </c>
      <c r="H15" s="11">
        <v>1.61</v>
      </c>
    </row>
    <row r="16" spans="1:26" ht="14.25" customHeight="1" x14ac:dyDescent="0.35">
      <c r="B16" s="7" t="s">
        <v>87</v>
      </c>
      <c r="C16" s="7" t="s">
        <v>88</v>
      </c>
      <c r="D16" s="7"/>
      <c r="E16" s="7">
        <v>1</v>
      </c>
      <c r="F16" s="12">
        <v>0.3</v>
      </c>
      <c r="G16" s="7" t="s">
        <v>73</v>
      </c>
      <c r="H16" s="11">
        <v>0.34</v>
      </c>
    </row>
    <row r="17" spans="2:8" ht="14.25" customHeight="1" x14ac:dyDescent="0.35">
      <c r="B17" s="7" t="s">
        <v>89</v>
      </c>
      <c r="C17" s="7" t="s">
        <v>71</v>
      </c>
      <c r="D17" s="7"/>
      <c r="E17" s="7"/>
      <c r="F17" s="12">
        <v>0.27</v>
      </c>
      <c r="G17" s="7" t="s">
        <v>73</v>
      </c>
      <c r="H17" s="11">
        <v>0.3</v>
      </c>
    </row>
    <row r="18" spans="2:8" ht="14.25" customHeight="1" x14ac:dyDescent="0.35">
      <c r="B18" s="7" t="s">
        <v>90</v>
      </c>
      <c r="C18" s="7" t="s">
        <v>88</v>
      </c>
      <c r="D18" s="7"/>
      <c r="E18" s="7">
        <v>1</v>
      </c>
      <c r="F18" s="12">
        <v>0.3</v>
      </c>
      <c r="G18" s="7" t="s">
        <v>73</v>
      </c>
      <c r="H18" s="11">
        <v>0.34</v>
      </c>
    </row>
    <row r="19" spans="2:8" ht="14.25" customHeight="1" x14ac:dyDescent="0.35">
      <c r="B19" s="7" t="s">
        <v>90</v>
      </c>
      <c r="C19" s="7" t="s">
        <v>68</v>
      </c>
      <c r="D19" s="7"/>
      <c r="E19" s="7"/>
      <c r="F19" s="12">
        <v>15.6</v>
      </c>
      <c r="G19" s="7" t="s">
        <v>69</v>
      </c>
      <c r="H19" s="11"/>
    </row>
    <row r="20" spans="2:8" ht="14.25" customHeight="1" x14ac:dyDescent="0.35">
      <c r="B20" s="7" t="s">
        <v>91</v>
      </c>
      <c r="C20" s="7" t="s">
        <v>83</v>
      </c>
      <c r="D20" s="7"/>
      <c r="E20" s="7">
        <v>1</v>
      </c>
      <c r="F20" s="12">
        <v>2.2000000000000002</v>
      </c>
      <c r="G20" s="7" t="s">
        <v>66</v>
      </c>
      <c r="H20" s="11">
        <v>2.5499999999999998</v>
      </c>
    </row>
    <row r="21" spans="2:8" ht="14.25" customHeight="1" x14ac:dyDescent="0.35">
      <c r="B21" s="7" t="s">
        <v>92</v>
      </c>
      <c r="C21" s="7" t="s">
        <v>93</v>
      </c>
      <c r="D21" s="7" t="s">
        <v>94</v>
      </c>
      <c r="E21" s="7"/>
      <c r="F21" s="12">
        <v>1.8</v>
      </c>
      <c r="G21" s="7" t="s">
        <v>73</v>
      </c>
      <c r="H21" s="11">
        <v>2.57</v>
      </c>
    </row>
    <row r="22" spans="2:8" ht="14.25" customHeight="1" x14ac:dyDescent="0.35">
      <c r="B22" s="7" t="s">
        <v>92</v>
      </c>
      <c r="C22" s="7" t="s">
        <v>95</v>
      </c>
      <c r="D22" s="7" t="s">
        <v>96</v>
      </c>
      <c r="E22" s="7"/>
      <c r="F22" s="12">
        <v>5.63</v>
      </c>
      <c r="G22" s="7" t="s">
        <v>73</v>
      </c>
      <c r="H22" s="11">
        <v>6.19</v>
      </c>
    </row>
    <row r="23" spans="2:8" ht="14.25" customHeight="1" x14ac:dyDescent="0.35">
      <c r="B23" s="7" t="s">
        <v>92</v>
      </c>
      <c r="C23" s="7" t="s">
        <v>97</v>
      </c>
      <c r="D23" s="7"/>
      <c r="E23" s="7">
        <v>1</v>
      </c>
      <c r="F23" s="12">
        <v>1.4</v>
      </c>
      <c r="G23" s="7" t="s">
        <v>66</v>
      </c>
      <c r="H23" s="11">
        <v>1.61</v>
      </c>
    </row>
    <row r="24" spans="2:8" ht="14.25" customHeight="1" x14ac:dyDescent="0.35">
      <c r="B24" s="7" t="s">
        <v>92</v>
      </c>
      <c r="C24" s="7" t="s">
        <v>98</v>
      </c>
      <c r="D24" s="7" t="s">
        <v>99</v>
      </c>
      <c r="E24" s="7"/>
      <c r="F24" s="12"/>
      <c r="G24" s="7" t="s">
        <v>100</v>
      </c>
      <c r="H24" s="11">
        <v>4.63</v>
      </c>
    </row>
    <row r="25" spans="2:8" ht="14.25" customHeight="1" x14ac:dyDescent="0.35">
      <c r="B25" s="7" t="s">
        <v>92</v>
      </c>
      <c r="C25" s="7" t="s">
        <v>101</v>
      </c>
      <c r="D25" s="7"/>
      <c r="E25" s="7"/>
      <c r="F25" s="12"/>
      <c r="G25" s="7" t="s">
        <v>66</v>
      </c>
      <c r="H25" s="11"/>
    </row>
    <row r="26" spans="2:8" ht="14.25" customHeight="1" x14ac:dyDescent="0.35">
      <c r="B26" s="7" t="s">
        <v>92</v>
      </c>
      <c r="C26" s="7" t="s">
        <v>71</v>
      </c>
      <c r="D26" s="7" t="s">
        <v>102</v>
      </c>
      <c r="E26" s="7">
        <v>4</v>
      </c>
      <c r="F26" s="12">
        <v>4.2</v>
      </c>
      <c r="G26" s="7" t="s">
        <v>66</v>
      </c>
      <c r="H26" s="11">
        <v>4.83</v>
      </c>
    </row>
    <row r="27" spans="2:8" ht="14.25" customHeight="1" x14ac:dyDescent="0.35">
      <c r="B27" s="7" t="s">
        <v>92</v>
      </c>
      <c r="C27" s="7" t="s">
        <v>88</v>
      </c>
      <c r="D27" s="7" t="s">
        <v>103</v>
      </c>
      <c r="E27" s="7">
        <v>1</v>
      </c>
      <c r="F27" s="12">
        <v>2.8</v>
      </c>
      <c r="G27" s="7" t="s">
        <v>66</v>
      </c>
      <c r="H27" s="11">
        <v>3.22</v>
      </c>
    </row>
    <row r="28" spans="2:8" ht="14.25" customHeight="1" x14ac:dyDescent="0.35">
      <c r="B28" s="7" t="s">
        <v>92</v>
      </c>
      <c r="C28" s="7" t="s">
        <v>104</v>
      </c>
      <c r="D28" s="7" t="s">
        <v>105</v>
      </c>
      <c r="E28" s="7">
        <v>1</v>
      </c>
      <c r="F28" s="12">
        <v>2.2999999999999998</v>
      </c>
      <c r="G28" s="7" t="s">
        <v>66</v>
      </c>
      <c r="H28" s="11">
        <v>2.64</v>
      </c>
    </row>
    <row r="29" spans="2:8" ht="14.25" customHeight="1" x14ac:dyDescent="0.35">
      <c r="B29" s="7" t="s">
        <v>92</v>
      </c>
      <c r="C29" s="7" t="s">
        <v>106</v>
      </c>
      <c r="D29" s="7" t="s">
        <v>107</v>
      </c>
      <c r="E29" s="7">
        <v>1</v>
      </c>
      <c r="F29" s="10">
        <v>2.4</v>
      </c>
      <c r="G29" s="7" t="s">
        <v>66</v>
      </c>
      <c r="H29" s="11">
        <v>2.76</v>
      </c>
    </row>
    <row r="30" spans="2:8" ht="14.25" customHeight="1" x14ac:dyDescent="0.35">
      <c r="B30" s="7" t="s">
        <v>92</v>
      </c>
      <c r="C30" s="7" t="s">
        <v>108</v>
      </c>
      <c r="D30" s="7"/>
      <c r="E30" s="7"/>
      <c r="F30" s="10"/>
      <c r="G30" s="7" t="s">
        <v>66</v>
      </c>
      <c r="H30" s="13">
        <v>2.4</v>
      </c>
    </row>
    <row r="31" spans="2:8" ht="14.25" customHeight="1" x14ac:dyDescent="0.35">
      <c r="B31" s="7" t="s">
        <v>92</v>
      </c>
      <c r="C31" s="7" t="s">
        <v>109</v>
      </c>
      <c r="D31" s="7"/>
      <c r="E31" s="7"/>
      <c r="F31" s="10"/>
      <c r="G31" s="7" t="s">
        <v>66</v>
      </c>
      <c r="H31" s="13">
        <v>4.25</v>
      </c>
    </row>
    <row r="32" spans="2:8" ht="14.25" customHeight="1" x14ac:dyDescent="0.35">
      <c r="B32" s="7" t="s">
        <v>92</v>
      </c>
      <c r="C32" s="7" t="s">
        <v>71</v>
      </c>
      <c r="D32" s="7"/>
      <c r="E32" s="7"/>
      <c r="F32" s="12"/>
      <c r="G32" s="7" t="s">
        <v>73</v>
      </c>
      <c r="H32" s="11">
        <v>1.61</v>
      </c>
    </row>
    <row r="33" spans="2:8" ht="14.25" customHeight="1" x14ac:dyDescent="0.35">
      <c r="B33" s="7" t="s">
        <v>92</v>
      </c>
      <c r="C33" s="7" t="s">
        <v>110</v>
      </c>
      <c r="D33" s="7" t="s">
        <v>111</v>
      </c>
      <c r="E33" s="7"/>
      <c r="F33" s="12"/>
      <c r="G33" s="7" t="s">
        <v>66</v>
      </c>
      <c r="H33" s="11">
        <v>4.83</v>
      </c>
    </row>
    <row r="34" spans="2:8" ht="14.25" customHeight="1" x14ac:dyDescent="0.35">
      <c r="B34" s="7" t="s">
        <v>92</v>
      </c>
      <c r="C34" s="7" t="s">
        <v>71</v>
      </c>
      <c r="D34" s="7" t="s">
        <v>112</v>
      </c>
      <c r="E34" s="7">
        <v>2</v>
      </c>
      <c r="F34" s="12"/>
      <c r="G34" s="7" t="s">
        <v>66</v>
      </c>
      <c r="H34" s="11">
        <v>2.64</v>
      </c>
    </row>
    <row r="35" spans="2:8" ht="14.25" customHeight="1" x14ac:dyDescent="0.35">
      <c r="B35" s="7" t="s">
        <v>92</v>
      </c>
      <c r="C35" s="7" t="s">
        <v>113</v>
      </c>
      <c r="D35" s="7" t="s">
        <v>114</v>
      </c>
      <c r="E35" s="7"/>
      <c r="F35" s="12"/>
      <c r="G35" s="7" t="s">
        <v>66</v>
      </c>
      <c r="H35" s="11">
        <v>3.65</v>
      </c>
    </row>
    <row r="36" spans="2:8" ht="14.25" customHeight="1" x14ac:dyDescent="0.35">
      <c r="B36" s="7" t="s">
        <v>92</v>
      </c>
      <c r="C36" s="7" t="s">
        <v>115</v>
      </c>
      <c r="D36" s="7" t="s">
        <v>116</v>
      </c>
      <c r="E36" s="7"/>
      <c r="F36" s="12"/>
      <c r="G36" s="7" t="s">
        <v>66</v>
      </c>
      <c r="H36" s="13">
        <v>4.5999999999999996</v>
      </c>
    </row>
    <row r="37" spans="2:8" ht="14.25" customHeight="1" x14ac:dyDescent="0.35">
      <c r="B37" s="7" t="s">
        <v>92</v>
      </c>
      <c r="C37" s="7" t="s">
        <v>117</v>
      </c>
      <c r="D37" s="7" t="s">
        <v>118</v>
      </c>
      <c r="E37" s="7">
        <v>2</v>
      </c>
      <c r="F37" s="12"/>
      <c r="G37" s="7" t="s">
        <v>66</v>
      </c>
      <c r="H37" s="11">
        <v>3.65</v>
      </c>
    </row>
    <row r="38" spans="2:8" ht="14.25" customHeight="1" x14ac:dyDescent="0.35">
      <c r="B38" s="7" t="s">
        <v>91</v>
      </c>
      <c r="C38" s="7" t="s">
        <v>119</v>
      </c>
      <c r="D38" s="7"/>
      <c r="E38" s="7">
        <v>1</v>
      </c>
      <c r="F38" s="12">
        <v>0.3</v>
      </c>
      <c r="G38" s="7" t="s">
        <v>66</v>
      </c>
      <c r="H38" s="11">
        <v>0.55000000000000004</v>
      </c>
    </row>
    <row r="39" spans="2:8" ht="14.25" customHeight="1" x14ac:dyDescent="0.35">
      <c r="B39" s="7" t="s">
        <v>120</v>
      </c>
      <c r="C39" s="7" t="s">
        <v>83</v>
      </c>
      <c r="D39" s="7"/>
      <c r="E39" s="7">
        <v>1</v>
      </c>
      <c r="F39" s="12"/>
      <c r="G39" s="7" t="s">
        <v>66</v>
      </c>
      <c r="H39" s="13">
        <v>8.6</v>
      </c>
    </row>
    <row r="40" spans="2:8" ht="14.25" customHeight="1" x14ac:dyDescent="0.35">
      <c r="B40" s="7" t="s">
        <v>121</v>
      </c>
      <c r="C40" s="7" t="s">
        <v>83</v>
      </c>
      <c r="D40" s="7"/>
      <c r="E40" s="7">
        <v>1</v>
      </c>
      <c r="F40" s="10">
        <v>5.2</v>
      </c>
      <c r="G40" s="7" t="s">
        <v>66</v>
      </c>
      <c r="H40" s="11">
        <v>5.98</v>
      </c>
    </row>
    <row r="41" spans="2:8" ht="14.25" customHeight="1" x14ac:dyDescent="0.35">
      <c r="B41" s="7" t="s">
        <v>121</v>
      </c>
      <c r="C41" s="7" t="s">
        <v>122</v>
      </c>
      <c r="D41" s="7"/>
      <c r="E41" s="7">
        <v>1</v>
      </c>
      <c r="F41" s="10">
        <v>0.85</v>
      </c>
      <c r="G41" s="7" t="s">
        <v>66</v>
      </c>
      <c r="H41" s="11">
        <v>0.98</v>
      </c>
    </row>
    <row r="42" spans="2:8" ht="14.25" customHeight="1" x14ac:dyDescent="0.35">
      <c r="B42" s="7" t="s">
        <v>121</v>
      </c>
      <c r="C42" s="7" t="s">
        <v>123</v>
      </c>
      <c r="D42" s="7"/>
      <c r="E42" s="7">
        <v>1</v>
      </c>
      <c r="F42" s="12">
        <v>0.95</v>
      </c>
      <c r="G42" s="7" t="s">
        <v>66</v>
      </c>
      <c r="H42" s="11">
        <v>1.0900000000000001</v>
      </c>
    </row>
    <row r="43" spans="2:8" ht="14.25" customHeight="1" x14ac:dyDescent="0.35">
      <c r="B43" s="7" t="s">
        <v>124</v>
      </c>
      <c r="C43" s="7" t="s">
        <v>125</v>
      </c>
      <c r="D43" s="7"/>
      <c r="E43" s="7">
        <v>1</v>
      </c>
      <c r="F43" s="12"/>
      <c r="G43" s="7" t="s">
        <v>66</v>
      </c>
      <c r="H43" s="13">
        <v>0.5</v>
      </c>
    </row>
    <row r="44" spans="2:8" ht="14.25" customHeight="1" x14ac:dyDescent="0.35">
      <c r="B44" s="7" t="s">
        <v>126</v>
      </c>
      <c r="C44" s="7" t="s">
        <v>88</v>
      </c>
      <c r="D44" s="7"/>
      <c r="E44" s="7">
        <v>1</v>
      </c>
      <c r="F44" s="12">
        <v>0.95</v>
      </c>
      <c r="G44" s="7" t="s">
        <v>73</v>
      </c>
      <c r="H44" s="11">
        <v>1.0900000000000001</v>
      </c>
    </row>
    <row r="45" spans="2:8" ht="14.25" customHeight="1" x14ac:dyDescent="0.35">
      <c r="B45" s="7" t="s">
        <v>126</v>
      </c>
      <c r="C45" s="7" t="s">
        <v>127</v>
      </c>
      <c r="D45" s="7"/>
      <c r="E45" s="7">
        <v>2</v>
      </c>
      <c r="F45" s="12"/>
      <c r="G45" s="7" t="s">
        <v>66</v>
      </c>
      <c r="H45" s="11">
        <v>0.6</v>
      </c>
    </row>
    <row r="46" spans="2:8" ht="14.25" customHeight="1" x14ac:dyDescent="0.35">
      <c r="B46" s="7" t="s">
        <v>128</v>
      </c>
      <c r="C46" s="7" t="s">
        <v>129</v>
      </c>
      <c r="D46" s="7"/>
      <c r="E46" s="7">
        <v>1</v>
      </c>
      <c r="F46" s="12"/>
      <c r="G46" s="7"/>
      <c r="H46" s="11">
        <v>3.2</v>
      </c>
    </row>
    <row r="47" spans="2:8" ht="14.25" customHeight="1" x14ac:dyDescent="0.35">
      <c r="B47" s="7" t="s">
        <v>128</v>
      </c>
      <c r="C47" s="7" t="s">
        <v>130</v>
      </c>
      <c r="D47" s="7"/>
      <c r="E47" s="7">
        <v>1</v>
      </c>
      <c r="F47" s="12">
        <v>0.52</v>
      </c>
      <c r="G47" s="7" t="s">
        <v>73</v>
      </c>
      <c r="H47" s="11">
        <v>0.56999999999999995</v>
      </c>
    </row>
    <row r="48" spans="2:8" ht="14.25" customHeight="1" x14ac:dyDescent="0.35">
      <c r="B48" s="7" t="s">
        <v>128</v>
      </c>
      <c r="C48" s="7" t="s">
        <v>71</v>
      </c>
      <c r="D48" s="7"/>
      <c r="E48" s="7">
        <v>2</v>
      </c>
      <c r="F48" s="12">
        <v>0.65</v>
      </c>
      <c r="G48" s="7" t="s">
        <v>73</v>
      </c>
      <c r="H48" s="11">
        <v>0.75</v>
      </c>
    </row>
    <row r="49" spans="2:8" ht="14.25" customHeight="1" x14ac:dyDescent="0.35">
      <c r="B49" s="7" t="s">
        <v>128</v>
      </c>
      <c r="C49" s="7" t="s">
        <v>71</v>
      </c>
      <c r="D49" s="7" t="s">
        <v>131</v>
      </c>
      <c r="E49" s="7"/>
      <c r="F49" s="12">
        <v>0.86</v>
      </c>
      <c r="G49" s="7" t="s">
        <v>73</v>
      </c>
      <c r="H49" s="11">
        <v>0.95</v>
      </c>
    </row>
    <row r="50" spans="2:8" ht="14.25" customHeight="1" x14ac:dyDescent="0.35">
      <c r="B50" s="7" t="s">
        <v>128</v>
      </c>
      <c r="C50" s="7" t="s">
        <v>71</v>
      </c>
      <c r="D50" s="7" t="s">
        <v>132</v>
      </c>
      <c r="E50" s="7">
        <v>1</v>
      </c>
      <c r="F50" s="12">
        <v>0.5</v>
      </c>
      <c r="G50" s="7" t="s">
        <v>73</v>
      </c>
      <c r="H50" s="11">
        <v>0.56999999999999995</v>
      </c>
    </row>
    <row r="51" spans="2:8" ht="14.25" customHeight="1" x14ac:dyDescent="0.35">
      <c r="B51" s="7" t="s">
        <v>128</v>
      </c>
      <c r="C51" s="7" t="s">
        <v>133</v>
      </c>
      <c r="D51" s="7" t="s">
        <v>133</v>
      </c>
      <c r="E51" s="7"/>
      <c r="F51" s="12">
        <v>0.86</v>
      </c>
      <c r="G51" s="7" t="s">
        <v>73</v>
      </c>
      <c r="H51" s="11">
        <v>0.95</v>
      </c>
    </row>
    <row r="52" spans="2:8" ht="14.25" customHeight="1" x14ac:dyDescent="0.35">
      <c r="B52" s="7" t="s">
        <v>128</v>
      </c>
      <c r="C52" s="7" t="s">
        <v>133</v>
      </c>
      <c r="D52" s="7" t="s">
        <v>134</v>
      </c>
      <c r="E52" s="7">
        <v>3</v>
      </c>
      <c r="F52" s="12"/>
      <c r="G52" s="7" t="s">
        <v>66</v>
      </c>
      <c r="H52" s="11">
        <v>1.29</v>
      </c>
    </row>
    <row r="53" spans="2:8" ht="14.25" customHeight="1" x14ac:dyDescent="0.35">
      <c r="B53" s="7" t="s">
        <v>128</v>
      </c>
      <c r="C53" s="7" t="s">
        <v>68</v>
      </c>
      <c r="D53" s="7"/>
      <c r="E53" s="7"/>
      <c r="F53" s="12">
        <v>15.6</v>
      </c>
      <c r="G53" s="7" t="s">
        <v>69</v>
      </c>
      <c r="H53" s="11"/>
    </row>
    <row r="54" spans="2:8" ht="14.25" customHeight="1" x14ac:dyDescent="0.35">
      <c r="B54" s="7" t="s">
        <v>135</v>
      </c>
      <c r="C54" s="7" t="s">
        <v>71</v>
      </c>
      <c r="D54" s="7"/>
      <c r="E54" s="7">
        <v>1</v>
      </c>
      <c r="F54" s="12">
        <v>0.4</v>
      </c>
      <c r="G54" s="7" t="s">
        <v>73</v>
      </c>
      <c r="H54" s="11">
        <v>0.46</v>
      </c>
    </row>
    <row r="55" spans="2:8" ht="14.25" customHeight="1" x14ac:dyDescent="0.35">
      <c r="B55" s="7" t="s">
        <v>136</v>
      </c>
      <c r="C55" s="7" t="s">
        <v>88</v>
      </c>
      <c r="D55" s="7"/>
      <c r="E55" s="7">
        <v>1</v>
      </c>
      <c r="F55" s="12">
        <v>0.3</v>
      </c>
      <c r="G55" s="7" t="s">
        <v>73</v>
      </c>
      <c r="H55" s="11">
        <v>0.34</v>
      </c>
    </row>
    <row r="56" spans="2:8" ht="14.25" customHeight="1" x14ac:dyDescent="0.35">
      <c r="B56" s="7" t="s">
        <v>137</v>
      </c>
      <c r="C56" s="7" t="s">
        <v>101</v>
      </c>
      <c r="D56" s="7"/>
      <c r="E56" s="7">
        <v>1</v>
      </c>
      <c r="F56" s="12">
        <v>0.3</v>
      </c>
      <c r="G56" s="7" t="s">
        <v>73</v>
      </c>
      <c r="H56" s="11">
        <v>0.34</v>
      </c>
    </row>
    <row r="57" spans="2:8" ht="14.25" customHeight="1" x14ac:dyDescent="0.35">
      <c r="B57" s="7" t="s">
        <v>138</v>
      </c>
      <c r="C57" s="7" t="s">
        <v>71</v>
      </c>
      <c r="D57" s="7"/>
      <c r="E57" s="7">
        <v>1</v>
      </c>
      <c r="F57" s="12">
        <v>0.3</v>
      </c>
      <c r="G57" s="7" t="s">
        <v>73</v>
      </c>
      <c r="H57" s="11">
        <v>0.34</v>
      </c>
    </row>
    <row r="58" spans="2:8" ht="14.25" customHeight="1" x14ac:dyDescent="0.35">
      <c r="B58" s="7" t="s">
        <v>138</v>
      </c>
      <c r="C58" s="7" t="s">
        <v>139</v>
      </c>
      <c r="D58" s="7"/>
      <c r="E58" s="7">
        <v>1</v>
      </c>
      <c r="F58" s="10" t="s">
        <v>140</v>
      </c>
      <c r="G58" s="7" t="s">
        <v>141</v>
      </c>
      <c r="H58" s="11"/>
    </row>
    <row r="59" spans="2:8" ht="14.25" customHeight="1" x14ac:dyDescent="0.35">
      <c r="B59" s="7" t="s">
        <v>138</v>
      </c>
      <c r="C59" s="7" t="s">
        <v>142</v>
      </c>
      <c r="D59" s="7"/>
      <c r="E59" s="7">
        <v>2</v>
      </c>
      <c r="F59" s="12">
        <v>0.56999999999999995</v>
      </c>
      <c r="G59" s="7" t="s">
        <v>73</v>
      </c>
      <c r="H59" s="11">
        <v>0.6</v>
      </c>
    </row>
    <row r="60" spans="2:8" ht="14.25" customHeight="1" x14ac:dyDescent="0.35">
      <c r="B60" s="7" t="s">
        <v>143</v>
      </c>
      <c r="C60" s="7" t="s">
        <v>83</v>
      </c>
      <c r="D60" s="7"/>
      <c r="E60" s="7">
        <v>1</v>
      </c>
      <c r="F60" s="12"/>
      <c r="G60" s="7" t="s">
        <v>66</v>
      </c>
      <c r="H60" s="13">
        <v>6.1</v>
      </c>
    </row>
    <row r="61" spans="2:8" ht="14.25" customHeight="1" x14ac:dyDescent="0.35">
      <c r="B61" s="7" t="s">
        <v>143</v>
      </c>
      <c r="C61" s="7" t="s">
        <v>144</v>
      </c>
      <c r="D61" s="7"/>
      <c r="E61" s="7">
        <v>1</v>
      </c>
      <c r="F61" s="12"/>
      <c r="G61" s="7" t="s">
        <v>66</v>
      </c>
      <c r="H61" s="13">
        <v>0.6</v>
      </c>
    </row>
    <row r="62" spans="2:8" ht="14.25" customHeight="1" x14ac:dyDescent="0.35">
      <c r="B62" s="7" t="s">
        <v>143</v>
      </c>
      <c r="C62" s="7" t="s">
        <v>145</v>
      </c>
      <c r="D62" s="7"/>
      <c r="E62" s="7">
        <v>1</v>
      </c>
      <c r="F62" s="12"/>
      <c r="G62" s="7" t="s">
        <v>66</v>
      </c>
      <c r="H62" s="13">
        <v>1.2</v>
      </c>
    </row>
    <row r="63" spans="2:8" ht="14.25" customHeight="1" x14ac:dyDescent="0.35">
      <c r="B63" s="7" t="s">
        <v>146</v>
      </c>
      <c r="C63" s="7" t="s">
        <v>147</v>
      </c>
      <c r="D63" s="7"/>
      <c r="E63" s="7">
        <v>1</v>
      </c>
      <c r="F63" s="12"/>
      <c r="G63" s="7" t="s">
        <v>66</v>
      </c>
      <c r="H63" s="11">
        <v>1.34</v>
      </c>
    </row>
    <row r="64" spans="2:8" ht="14.25" customHeight="1" x14ac:dyDescent="0.35">
      <c r="B64" s="7" t="s">
        <v>148</v>
      </c>
      <c r="C64" s="7" t="s">
        <v>149</v>
      </c>
      <c r="D64" s="7"/>
      <c r="E64" s="7">
        <v>1</v>
      </c>
      <c r="F64" s="12">
        <v>1</v>
      </c>
      <c r="G64" s="7" t="s">
        <v>150</v>
      </c>
      <c r="H64" s="13">
        <v>1.1000000000000001</v>
      </c>
    </row>
    <row r="65" spans="2:8" ht="14.25" customHeight="1" x14ac:dyDescent="0.35">
      <c r="B65" s="7" t="s">
        <v>151</v>
      </c>
      <c r="C65" s="7" t="s">
        <v>106</v>
      </c>
      <c r="D65" s="7" t="s">
        <v>152</v>
      </c>
      <c r="E65" s="7">
        <v>1</v>
      </c>
      <c r="F65" s="12"/>
      <c r="G65" s="7" t="s">
        <v>66</v>
      </c>
      <c r="H65" s="11">
        <v>2.15</v>
      </c>
    </row>
    <row r="66" spans="2:8" ht="14.25" customHeight="1" x14ac:dyDescent="0.35">
      <c r="B66" s="7" t="s">
        <v>151</v>
      </c>
      <c r="C66" s="7" t="s">
        <v>153</v>
      </c>
      <c r="D66" s="7"/>
      <c r="E66" s="7">
        <v>1</v>
      </c>
      <c r="F66" s="12">
        <v>4.5</v>
      </c>
      <c r="G66" s="7" t="s">
        <v>66</v>
      </c>
      <c r="H66" s="13">
        <v>4.5</v>
      </c>
    </row>
    <row r="67" spans="2:8" ht="14.25" customHeight="1" x14ac:dyDescent="0.35">
      <c r="B67" s="7" t="s">
        <v>154</v>
      </c>
      <c r="C67" s="7" t="s">
        <v>149</v>
      </c>
      <c r="D67" s="7"/>
      <c r="E67" s="7">
        <v>1</v>
      </c>
      <c r="F67" s="12"/>
      <c r="G67" s="7" t="s">
        <v>66</v>
      </c>
      <c r="H67" s="13">
        <v>1.04</v>
      </c>
    </row>
    <row r="68" spans="2:8" ht="14.25" customHeight="1" x14ac:dyDescent="0.35">
      <c r="B68" s="7" t="s">
        <v>154</v>
      </c>
      <c r="C68" s="7"/>
      <c r="D68" s="7"/>
      <c r="E68" s="7" t="s">
        <v>155</v>
      </c>
      <c r="F68" s="12">
        <v>0.85</v>
      </c>
      <c r="G68" s="7" t="s">
        <v>66</v>
      </c>
      <c r="H68" s="11">
        <v>0.98</v>
      </c>
    </row>
    <row r="69" spans="2:8" ht="14.25" customHeight="1" x14ac:dyDescent="0.35">
      <c r="B69" s="7" t="s">
        <v>156</v>
      </c>
      <c r="C69" s="7" t="s">
        <v>71</v>
      </c>
      <c r="D69" s="7"/>
      <c r="E69" s="7">
        <v>3</v>
      </c>
      <c r="F69" s="12">
        <v>0.75</v>
      </c>
      <c r="G69" s="7" t="s">
        <v>73</v>
      </c>
      <c r="H69" s="11">
        <v>0.86</v>
      </c>
    </row>
    <row r="70" spans="2:8" ht="14.25" customHeight="1" x14ac:dyDescent="0.35">
      <c r="B70" s="7" t="s">
        <v>49</v>
      </c>
      <c r="C70" s="7" t="s">
        <v>71</v>
      </c>
      <c r="D70" s="7"/>
      <c r="E70" s="7">
        <v>2</v>
      </c>
      <c r="F70" s="12">
        <v>0.85</v>
      </c>
      <c r="G70" s="7" t="s">
        <v>73</v>
      </c>
      <c r="H70" s="11">
        <v>0.98</v>
      </c>
    </row>
    <row r="71" spans="2:8" ht="14.25" customHeight="1" x14ac:dyDescent="0.35">
      <c r="B71" s="7" t="s">
        <v>157</v>
      </c>
      <c r="C71" s="7" t="s">
        <v>76</v>
      </c>
      <c r="D71" s="7" t="s">
        <v>158</v>
      </c>
      <c r="E71" s="7"/>
      <c r="F71" s="12"/>
      <c r="G71" s="7" t="s">
        <v>66</v>
      </c>
      <c r="H71" s="11">
        <v>2.29</v>
      </c>
    </row>
    <row r="72" spans="2:8" ht="14.25" customHeight="1" x14ac:dyDescent="0.35">
      <c r="B72" s="7" t="s">
        <v>157</v>
      </c>
      <c r="C72" s="7" t="s">
        <v>159</v>
      </c>
      <c r="D72" s="7"/>
      <c r="E72" s="7"/>
      <c r="F72" s="12">
        <v>4.0599999999999996</v>
      </c>
      <c r="G72" s="7" t="s">
        <v>66</v>
      </c>
      <c r="H72" s="11">
        <v>4.47</v>
      </c>
    </row>
    <row r="73" spans="2:8" ht="14.25" customHeight="1" x14ac:dyDescent="0.35">
      <c r="B73" s="7" t="s">
        <v>157</v>
      </c>
      <c r="C73" s="7" t="s">
        <v>160</v>
      </c>
      <c r="D73" s="7"/>
      <c r="E73" s="7"/>
      <c r="F73" s="12"/>
      <c r="G73" s="7" t="s">
        <v>66</v>
      </c>
      <c r="H73" s="13">
        <v>10.5</v>
      </c>
    </row>
    <row r="74" spans="2:8" ht="14.25" customHeight="1" x14ac:dyDescent="0.35">
      <c r="B74" s="7" t="s">
        <v>157</v>
      </c>
      <c r="C74" s="7" t="s">
        <v>83</v>
      </c>
      <c r="D74" s="7" t="s">
        <v>161</v>
      </c>
      <c r="E74" s="7"/>
      <c r="F74" s="12"/>
      <c r="G74" s="7"/>
      <c r="H74" s="13">
        <v>3.11</v>
      </c>
    </row>
    <row r="75" spans="2:8" ht="14.25" customHeight="1" x14ac:dyDescent="0.35">
      <c r="B75" s="7" t="s">
        <v>162</v>
      </c>
      <c r="C75" s="7" t="s">
        <v>88</v>
      </c>
      <c r="D75" s="7"/>
      <c r="E75" s="7">
        <v>1</v>
      </c>
      <c r="F75" s="12">
        <v>0.5</v>
      </c>
      <c r="G75" s="7" t="s">
        <v>73</v>
      </c>
      <c r="H75" s="11">
        <v>0.56999999999999995</v>
      </c>
    </row>
    <row r="76" spans="2:8" ht="14.25" customHeight="1" x14ac:dyDescent="0.35">
      <c r="B76" s="7" t="s">
        <v>163</v>
      </c>
      <c r="C76" s="7" t="s">
        <v>164</v>
      </c>
      <c r="D76" s="7"/>
      <c r="E76" s="7"/>
      <c r="F76" s="12"/>
      <c r="G76" s="7" t="s">
        <v>66</v>
      </c>
      <c r="H76" s="13">
        <v>1.7</v>
      </c>
    </row>
    <row r="77" spans="2:8" ht="14.25" customHeight="1" x14ac:dyDescent="0.35">
      <c r="B77" s="7" t="s">
        <v>165</v>
      </c>
      <c r="C77" s="7" t="s">
        <v>166</v>
      </c>
      <c r="D77" s="7" t="s">
        <v>167</v>
      </c>
      <c r="E77" s="7"/>
      <c r="F77" s="12">
        <v>2.17</v>
      </c>
      <c r="G77" s="7"/>
      <c r="H77" s="11">
        <v>2.39</v>
      </c>
    </row>
    <row r="78" spans="2:8" ht="14.25" customHeight="1" x14ac:dyDescent="0.35">
      <c r="B78" s="7" t="s">
        <v>165</v>
      </c>
      <c r="C78" s="7" t="s">
        <v>168</v>
      </c>
      <c r="D78" s="7" t="s">
        <v>169</v>
      </c>
      <c r="E78" s="7"/>
      <c r="F78" s="12">
        <v>2.2200000000000002</v>
      </c>
      <c r="G78" s="7"/>
      <c r="H78" s="11">
        <v>2.44</v>
      </c>
    </row>
    <row r="79" spans="2:8" ht="14.25" customHeight="1" x14ac:dyDescent="0.35">
      <c r="B79" s="7" t="s">
        <v>165</v>
      </c>
      <c r="C79" s="7" t="s">
        <v>168</v>
      </c>
      <c r="D79" s="7" t="s">
        <v>170</v>
      </c>
      <c r="E79" s="7"/>
      <c r="F79" s="12"/>
      <c r="G79" s="7"/>
      <c r="H79" s="11">
        <v>3.35</v>
      </c>
    </row>
    <row r="80" spans="2:8" ht="14.25" customHeight="1" x14ac:dyDescent="0.35">
      <c r="B80" s="7" t="s">
        <v>165</v>
      </c>
      <c r="C80" s="7" t="s">
        <v>171</v>
      </c>
      <c r="D80" s="7" t="s">
        <v>172</v>
      </c>
      <c r="E80" s="7"/>
      <c r="F80" s="12">
        <v>4.12</v>
      </c>
      <c r="G80" s="7"/>
      <c r="H80" s="11">
        <v>4.53</v>
      </c>
    </row>
    <row r="81" spans="2:8" ht="14.25" customHeight="1" x14ac:dyDescent="0.35">
      <c r="B81" s="14" t="s">
        <v>173</v>
      </c>
      <c r="C81" s="14" t="s">
        <v>174</v>
      </c>
      <c r="D81" s="11"/>
      <c r="E81" s="14">
        <v>1</v>
      </c>
      <c r="F81" s="15">
        <v>3.6</v>
      </c>
      <c r="G81" s="14" t="s">
        <v>150</v>
      </c>
      <c r="H81" s="13">
        <v>3.96</v>
      </c>
    </row>
    <row r="82" spans="2:8" ht="14.25" customHeight="1" x14ac:dyDescent="0.35">
      <c r="B82" s="14" t="s">
        <v>175</v>
      </c>
      <c r="C82" s="14" t="s">
        <v>106</v>
      </c>
      <c r="D82" s="11"/>
      <c r="E82" s="14">
        <v>1</v>
      </c>
      <c r="F82" s="15">
        <v>1.92</v>
      </c>
      <c r="G82" s="14" t="s">
        <v>150</v>
      </c>
      <c r="H82" s="11">
        <v>2.11</v>
      </c>
    </row>
    <row r="83" spans="2:8" ht="14.25" customHeight="1" x14ac:dyDescent="0.35">
      <c r="B83" s="14" t="s">
        <v>175</v>
      </c>
      <c r="C83" s="14" t="s">
        <v>101</v>
      </c>
      <c r="D83" s="11"/>
      <c r="E83" s="14">
        <v>1</v>
      </c>
      <c r="F83" s="15">
        <v>0.5</v>
      </c>
      <c r="G83" s="14" t="s">
        <v>66</v>
      </c>
      <c r="H83" s="13">
        <v>0.55000000000000004</v>
      </c>
    </row>
    <row r="84" spans="2:8" ht="14.25" customHeight="1" x14ac:dyDescent="0.35">
      <c r="B84" s="7" t="s">
        <v>176</v>
      </c>
      <c r="C84" s="7" t="s">
        <v>177</v>
      </c>
      <c r="D84" s="7"/>
      <c r="E84" s="7">
        <v>1</v>
      </c>
      <c r="F84" s="12">
        <v>3.8</v>
      </c>
      <c r="G84" s="7" t="s">
        <v>66</v>
      </c>
      <c r="H84" s="11">
        <v>4.18</v>
      </c>
    </row>
    <row r="85" spans="2:8" ht="14.25" customHeight="1" x14ac:dyDescent="0.35">
      <c r="B85" s="7" t="s">
        <v>178</v>
      </c>
      <c r="C85" s="7" t="s">
        <v>106</v>
      </c>
      <c r="D85" s="7"/>
      <c r="E85" s="7">
        <v>1</v>
      </c>
      <c r="F85" s="12">
        <v>0.7</v>
      </c>
      <c r="G85" s="7" t="s">
        <v>66</v>
      </c>
      <c r="H85" s="13">
        <v>1.1499999999999999</v>
      </c>
    </row>
    <row r="86" spans="2:8" ht="14.25" customHeight="1" x14ac:dyDescent="0.35">
      <c r="B86" s="7" t="s">
        <v>178</v>
      </c>
      <c r="C86" s="7" t="s">
        <v>179</v>
      </c>
      <c r="D86" s="7" t="s">
        <v>180</v>
      </c>
      <c r="E86" s="7">
        <v>1</v>
      </c>
      <c r="F86" s="12">
        <v>1.4</v>
      </c>
      <c r="G86" s="7" t="s">
        <v>66</v>
      </c>
      <c r="H86" s="11">
        <v>1.71</v>
      </c>
    </row>
    <row r="87" spans="2:8" ht="14.25" customHeight="1" x14ac:dyDescent="0.35">
      <c r="B87" s="7" t="s">
        <v>181</v>
      </c>
      <c r="C87" s="7" t="s">
        <v>88</v>
      </c>
      <c r="D87" s="7"/>
      <c r="E87" s="7">
        <v>1</v>
      </c>
      <c r="F87" s="12">
        <v>0.28000000000000003</v>
      </c>
      <c r="G87" s="7" t="s">
        <v>73</v>
      </c>
      <c r="H87" s="11">
        <v>0.32</v>
      </c>
    </row>
    <row r="88" spans="2:8" ht="14.25" customHeight="1" x14ac:dyDescent="0.35">
      <c r="B88" s="7" t="s">
        <v>181</v>
      </c>
      <c r="C88" s="7" t="s">
        <v>71</v>
      </c>
      <c r="D88" s="7"/>
      <c r="E88" s="7">
        <v>1</v>
      </c>
      <c r="F88" s="12">
        <v>0.3</v>
      </c>
      <c r="G88" s="7" t="s">
        <v>73</v>
      </c>
      <c r="H88" s="11">
        <v>0.34</v>
      </c>
    </row>
    <row r="89" spans="2:8" ht="14.25" customHeight="1" x14ac:dyDescent="0.35">
      <c r="B89" s="7" t="s">
        <v>181</v>
      </c>
      <c r="C89" s="7" t="s">
        <v>71</v>
      </c>
      <c r="D89" s="7"/>
      <c r="E89" s="7">
        <v>2</v>
      </c>
      <c r="F89" s="12">
        <v>0.5</v>
      </c>
      <c r="G89" s="7" t="s">
        <v>73</v>
      </c>
      <c r="H89" s="11">
        <v>0.56999999999999995</v>
      </c>
    </row>
    <row r="90" spans="2:8" ht="14.25" customHeight="1" x14ac:dyDescent="0.35">
      <c r="B90" s="7" t="s">
        <v>181</v>
      </c>
      <c r="C90" s="7" t="s">
        <v>101</v>
      </c>
      <c r="D90" s="7"/>
      <c r="E90" s="7"/>
      <c r="F90" s="12">
        <v>0.77</v>
      </c>
      <c r="G90" s="7" t="s">
        <v>73</v>
      </c>
      <c r="H90" s="11">
        <v>0.88</v>
      </c>
    </row>
    <row r="91" spans="2:8" ht="14.25" customHeight="1" x14ac:dyDescent="0.35">
      <c r="B91" s="7" t="s">
        <v>182</v>
      </c>
      <c r="C91" s="7"/>
      <c r="D91" s="7"/>
      <c r="E91" s="7">
        <v>1</v>
      </c>
      <c r="G91" s="16" t="s">
        <v>66</v>
      </c>
      <c r="H91" s="17">
        <v>3.95</v>
      </c>
    </row>
    <row r="92" spans="2:8" ht="14.25" customHeight="1" x14ac:dyDescent="0.35">
      <c r="B92" s="7" t="s">
        <v>183</v>
      </c>
      <c r="C92" s="7" t="s">
        <v>184</v>
      </c>
      <c r="D92" s="7"/>
      <c r="E92" s="7">
        <v>1</v>
      </c>
      <c r="F92" s="12"/>
      <c r="G92" s="7" t="s">
        <v>66</v>
      </c>
      <c r="H92" s="11">
        <v>0.95</v>
      </c>
    </row>
    <row r="93" spans="2:8" ht="14.25" customHeight="1" x14ac:dyDescent="0.35">
      <c r="B93" s="7" t="s">
        <v>185</v>
      </c>
      <c r="C93" s="7" t="s">
        <v>186</v>
      </c>
      <c r="D93" s="7"/>
      <c r="E93" s="7">
        <v>1</v>
      </c>
      <c r="F93" s="12"/>
      <c r="G93" s="7" t="s">
        <v>66</v>
      </c>
      <c r="H93" s="11">
        <v>1.75</v>
      </c>
    </row>
    <row r="94" spans="2:8" ht="14.25" customHeight="1" x14ac:dyDescent="0.35">
      <c r="B94" s="7" t="s">
        <v>187</v>
      </c>
      <c r="C94" s="7" t="s">
        <v>188</v>
      </c>
      <c r="D94" s="7"/>
      <c r="E94" s="7">
        <v>1</v>
      </c>
      <c r="G94" s="16" t="s">
        <v>66</v>
      </c>
      <c r="H94" s="13">
        <v>9.6999999999999993</v>
      </c>
    </row>
    <row r="95" spans="2:8" ht="14.25" customHeight="1" x14ac:dyDescent="0.35">
      <c r="B95" s="7" t="s">
        <v>189</v>
      </c>
      <c r="C95" s="7" t="s">
        <v>142</v>
      </c>
      <c r="D95" s="7"/>
      <c r="E95" s="7">
        <v>1</v>
      </c>
      <c r="F95" s="10"/>
      <c r="G95" s="7" t="s">
        <v>66</v>
      </c>
      <c r="H95" s="13">
        <v>0.55000000000000004</v>
      </c>
    </row>
    <row r="96" spans="2:8" ht="14.25" customHeight="1" x14ac:dyDescent="0.35">
      <c r="B96" s="7" t="s">
        <v>190</v>
      </c>
      <c r="C96" s="7" t="s">
        <v>191</v>
      </c>
      <c r="D96" s="7"/>
      <c r="E96" s="7"/>
      <c r="F96" s="12">
        <v>0.52</v>
      </c>
      <c r="G96" s="7" t="s">
        <v>73</v>
      </c>
      <c r="H96" s="11">
        <v>0.56999999999999995</v>
      </c>
    </row>
    <row r="97" spans="2:8" ht="14.25" customHeight="1" x14ac:dyDescent="0.35">
      <c r="B97" s="7" t="s">
        <v>190</v>
      </c>
      <c r="C97" s="7" t="s">
        <v>192</v>
      </c>
      <c r="D97" s="7" t="s">
        <v>193</v>
      </c>
      <c r="E97" s="7">
        <v>1</v>
      </c>
      <c r="F97" s="10">
        <v>1.4</v>
      </c>
      <c r="G97" s="7" t="s">
        <v>66</v>
      </c>
      <c r="H97" s="11">
        <v>1.61</v>
      </c>
    </row>
    <row r="98" spans="2:8" ht="14.25" customHeight="1" x14ac:dyDescent="0.35">
      <c r="B98" s="7" t="s">
        <v>190</v>
      </c>
      <c r="C98" s="7" t="s">
        <v>194</v>
      </c>
      <c r="D98" s="7"/>
      <c r="E98" s="7"/>
      <c r="F98" s="10">
        <v>3.35</v>
      </c>
      <c r="G98" s="7" t="s">
        <v>66</v>
      </c>
      <c r="H98" s="11">
        <v>3.68</v>
      </c>
    </row>
    <row r="99" spans="2:8" ht="14.25" customHeight="1" x14ac:dyDescent="0.35">
      <c r="B99" s="7" t="s">
        <v>190</v>
      </c>
      <c r="C99" s="7"/>
      <c r="D99" s="7" t="s">
        <v>195</v>
      </c>
      <c r="E99" s="7"/>
      <c r="F99" s="10">
        <v>0.55000000000000004</v>
      </c>
      <c r="G99" s="7" t="s">
        <v>66</v>
      </c>
      <c r="H99" s="11">
        <v>1.1000000000000001</v>
      </c>
    </row>
    <row r="100" spans="2:8" ht="14.25" customHeight="1" x14ac:dyDescent="0.35">
      <c r="B100" s="7" t="s">
        <v>190</v>
      </c>
      <c r="C100" s="7" t="s">
        <v>196</v>
      </c>
      <c r="D100" s="7" t="s">
        <v>197</v>
      </c>
      <c r="E100" s="7"/>
      <c r="F100" s="10">
        <v>3</v>
      </c>
      <c r="G100" s="7" t="s">
        <v>66</v>
      </c>
      <c r="H100" s="11">
        <v>5.6</v>
      </c>
    </row>
    <row r="101" spans="2:8" ht="14.25" customHeight="1" x14ac:dyDescent="0.35">
      <c r="B101" s="7" t="s">
        <v>198</v>
      </c>
      <c r="C101" s="7" t="s">
        <v>199</v>
      </c>
      <c r="D101" s="7" t="s">
        <v>200</v>
      </c>
      <c r="E101" s="7"/>
      <c r="F101" s="10"/>
      <c r="G101" s="7" t="s">
        <v>66</v>
      </c>
      <c r="H101" s="11">
        <v>2.1</v>
      </c>
    </row>
    <row r="102" spans="2:8" ht="14.25" customHeight="1" x14ac:dyDescent="0.35">
      <c r="B102" s="7" t="s">
        <v>201</v>
      </c>
      <c r="C102" s="7" t="s">
        <v>142</v>
      </c>
      <c r="D102" s="7"/>
      <c r="E102" s="7">
        <v>1</v>
      </c>
      <c r="F102" s="12">
        <v>1.1000000000000001</v>
      </c>
      <c r="G102" s="7" t="s">
        <v>202</v>
      </c>
      <c r="H102" s="11">
        <v>1.21</v>
      </c>
    </row>
    <row r="103" spans="2:8" ht="14.25" customHeight="1" x14ac:dyDescent="0.35">
      <c r="B103" s="7" t="s">
        <v>201</v>
      </c>
      <c r="C103" s="7" t="s">
        <v>203</v>
      </c>
      <c r="D103" s="7"/>
      <c r="E103" s="7">
        <v>1</v>
      </c>
      <c r="F103" s="10"/>
      <c r="G103" s="7" t="s">
        <v>66</v>
      </c>
      <c r="H103" s="11"/>
    </row>
    <row r="104" spans="2:8" ht="14.25" customHeight="1" x14ac:dyDescent="0.35">
      <c r="B104" s="7" t="s">
        <v>201</v>
      </c>
      <c r="C104" s="7" t="s">
        <v>204</v>
      </c>
      <c r="D104" s="7" t="s">
        <v>205</v>
      </c>
      <c r="E104" s="7">
        <v>1</v>
      </c>
      <c r="F104" s="10"/>
      <c r="G104" s="7" t="s">
        <v>66</v>
      </c>
      <c r="H104" s="11">
        <v>3.8</v>
      </c>
    </row>
    <row r="105" spans="2:8" ht="14.25" customHeight="1" x14ac:dyDescent="0.35">
      <c r="B105" s="7" t="s">
        <v>206</v>
      </c>
      <c r="C105" s="7" t="s">
        <v>83</v>
      </c>
      <c r="D105" s="7" t="s">
        <v>207</v>
      </c>
      <c r="E105" s="7">
        <v>1</v>
      </c>
      <c r="F105" s="10">
        <v>0.9</v>
      </c>
      <c r="G105" s="7" t="s">
        <v>66</v>
      </c>
      <c r="H105" s="11">
        <v>1.03</v>
      </c>
    </row>
    <row r="106" spans="2:8" ht="14.25" customHeight="1" x14ac:dyDescent="0.35">
      <c r="B106" s="7" t="s">
        <v>206</v>
      </c>
      <c r="C106" s="7" t="s">
        <v>208</v>
      </c>
      <c r="D106" s="7"/>
      <c r="E106" s="7">
        <v>1</v>
      </c>
      <c r="F106" s="10">
        <v>2.9</v>
      </c>
      <c r="G106" s="7" t="s">
        <v>66</v>
      </c>
      <c r="H106" s="11">
        <v>0.02</v>
      </c>
    </row>
    <row r="107" spans="2:8" ht="14.25" customHeight="1" x14ac:dyDescent="0.35">
      <c r="B107" s="7" t="s">
        <v>206</v>
      </c>
      <c r="C107" s="7" t="s">
        <v>209</v>
      </c>
      <c r="D107" s="7"/>
      <c r="E107" s="7">
        <v>1</v>
      </c>
      <c r="F107" s="10">
        <v>0.95</v>
      </c>
      <c r="G107" s="7" t="s">
        <v>66</v>
      </c>
      <c r="H107" s="11">
        <v>1.0900000000000001</v>
      </c>
    </row>
    <row r="108" spans="2:8" ht="14.25" customHeight="1" x14ac:dyDescent="0.35">
      <c r="B108" s="7" t="s">
        <v>210</v>
      </c>
      <c r="C108" s="7"/>
      <c r="D108" s="7"/>
      <c r="E108" s="7">
        <v>1</v>
      </c>
      <c r="F108" s="10"/>
      <c r="G108" s="7" t="s">
        <v>66</v>
      </c>
      <c r="H108" s="13">
        <v>0.5</v>
      </c>
    </row>
    <row r="109" spans="2:8" ht="14.25" customHeight="1" x14ac:dyDescent="0.35">
      <c r="B109" s="7" t="s">
        <v>211</v>
      </c>
      <c r="C109" s="7"/>
      <c r="D109" s="7"/>
      <c r="E109" s="7">
        <v>1</v>
      </c>
      <c r="F109" s="12"/>
      <c r="G109" s="7" t="s">
        <v>66</v>
      </c>
      <c r="H109" s="11"/>
    </row>
    <row r="110" spans="2:8" ht="14.25" customHeight="1" x14ac:dyDescent="0.35">
      <c r="B110" s="7" t="s">
        <v>211</v>
      </c>
      <c r="C110" s="7" t="s">
        <v>71</v>
      </c>
      <c r="D110" s="7"/>
      <c r="E110" s="7">
        <v>1</v>
      </c>
      <c r="F110" s="12">
        <v>0.7</v>
      </c>
      <c r="G110" s="7" t="s">
        <v>66</v>
      </c>
      <c r="H110" s="11">
        <v>0.88</v>
      </c>
    </row>
    <row r="111" spans="2:8" ht="14.25" customHeight="1" x14ac:dyDescent="0.35">
      <c r="B111" s="7" t="s">
        <v>211</v>
      </c>
      <c r="C111" s="7" t="s">
        <v>209</v>
      </c>
      <c r="D111" s="7"/>
      <c r="E111" s="7">
        <v>1</v>
      </c>
      <c r="F111" s="10">
        <v>1.1000000000000001</v>
      </c>
      <c r="G111" s="7" t="s">
        <v>66</v>
      </c>
      <c r="H111" s="11">
        <v>1.21</v>
      </c>
    </row>
    <row r="112" spans="2:8" ht="14.25" customHeight="1" x14ac:dyDescent="0.35">
      <c r="B112" s="7" t="s">
        <v>211</v>
      </c>
      <c r="C112" s="7" t="s">
        <v>101</v>
      </c>
      <c r="D112" s="7"/>
      <c r="E112" s="7">
        <v>1</v>
      </c>
      <c r="F112" s="10">
        <v>0.6</v>
      </c>
      <c r="G112" s="7" t="s">
        <v>66</v>
      </c>
      <c r="H112" s="13">
        <v>0.69</v>
      </c>
    </row>
    <row r="113" spans="2:8" ht="14.25" customHeight="1" x14ac:dyDescent="0.35">
      <c r="B113" s="7" t="s">
        <v>212</v>
      </c>
      <c r="C113" s="7" t="s">
        <v>213</v>
      </c>
      <c r="D113" s="7" t="s">
        <v>83</v>
      </c>
      <c r="E113" s="7">
        <v>1</v>
      </c>
      <c r="F113" s="10">
        <v>1</v>
      </c>
      <c r="G113" s="7" t="s">
        <v>66</v>
      </c>
      <c r="H113" s="11">
        <v>1.1499999999999999</v>
      </c>
    </row>
    <row r="114" spans="2:8" ht="14.25" customHeight="1" x14ac:dyDescent="0.35">
      <c r="B114" s="7" t="s">
        <v>214</v>
      </c>
      <c r="C114" s="7" t="s">
        <v>215</v>
      </c>
      <c r="D114" s="7"/>
      <c r="E114" s="7"/>
      <c r="F114" s="12"/>
      <c r="G114" s="7"/>
      <c r="H114" s="11">
        <v>0.85</v>
      </c>
    </row>
    <row r="115" spans="2:8" ht="14.25" customHeight="1" x14ac:dyDescent="0.35">
      <c r="B115" s="7" t="s">
        <v>214</v>
      </c>
      <c r="C115" s="7" t="s">
        <v>216</v>
      </c>
      <c r="D115" s="7"/>
      <c r="E115" s="7">
        <v>1</v>
      </c>
      <c r="F115" s="12"/>
      <c r="G115" s="7" t="s">
        <v>66</v>
      </c>
      <c r="H115" s="11">
        <v>3.2</v>
      </c>
    </row>
    <row r="116" spans="2:8" ht="14.25" customHeight="1" x14ac:dyDescent="0.35">
      <c r="B116" s="7" t="s">
        <v>217</v>
      </c>
      <c r="C116" s="7" t="s">
        <v>218</v>
      </c>
      <c r="D116" s="7"/>
      <c r="E116" s="7">
        <v>1</v>
      </c>
      <c r="F116" s="12">
        <v>0.33</v>
      </c>
      <c r="G116" s="7" t="s">
        <v>73</v>
      </c>
      <c r="H116" s="11">
        <v>0.36</v>
      </c>
    </row>
    <row r="117" spans="2:8" ht="14.25" customHeight="1" x14ac:dyDescent="0.35">
      <c r="B117" s="7" t="s">
        <v>217</v>
      </c>
      <c r="C117" s="7" t="s">
        <v>219</v>
      </c>
      <c r="D117" s="7"/>
      <c r="E117" s="7"/>
      <c r="F117" s="12">
        <v>0.88</v>
      </c>
      <c r="G117" s="7" t="s">
        <v>73</v>
      </c>
      <c r="H117" s="11">
        <v>0.97</v>
      </c>
    </row>
    <row r="118" spans="2:8" ht="14.25" customHeight="1" x14ac:dyDescent="0.35">
      <c r="B118" s="7" t="s">
        <v>217</v>
      </c>
      <c r="C118" s="7" t="s">
        <v>219</v>
      </c>
      <c r="D118" s="7" t="s">
        <v>220</v>
      </c>
      <c r="E118" s="7">
        <v>1</v>
      </c>
      <c r="F118" s="12"/>
      <c r="G118" s="7" t="s">
        <v>73</v>
      </c>
      <c r="H118" s="11">
        <v>1.33</v>
      </c>
    </row>
    <row r="119" spans="2:8" ht="14.25" customHeight="1" x14ac:dyDescent="0.35">
      <c r="B119" s="7" t="s">
        <v>217</v>
      </c>
      <c r="C119" s="7" t="s">
        <v>101</v>
      </c>
      <c r="D119" s="7"/>
      <c r="E119" s="7"/>
      <c r="F119" s="12">
        <v>0.55000000000000004</v>
      </c>
      <c r="G119" s="7" t="s">
        <v>73</v>
      </c>
      <c r="H119" s="13">
        <v>0.6</v>
      </c>
    </row>
    <row r="120" spans="2:8" ht="14.25" customHeight="1" x14ac:dyDescent="0.35">
      <c r="B120" s="7" t="s">
        <v>217</v>
      </c>
      <c r="C120" s="7" t="s">
        <v>221</v>
      </c>
      <c r="D120" s="7" t="s">
        <v>222</v>
      </c>
      <c r="E120" s="7"/>
      <c r="F120" s="12">
        <v>0.77</v>
      </c>
      <c r="G120" s="7" t="s">
        <v>73</v>
      </c>
      <c r="H120" s="11">
        <v>0.85</v>
      </c>
    </row>
    <row r="121" spans="2:8" ht="14.25" customHeight="1" x14ac:dyDescent="0.35">
      <c r="B121" s="7" t="s">
        <v>217</v>
      </c>
      <c r="C121" s="7" t="s">
        <v>221</v>
      </c>
      <c r="D121" s="7" t="s">
        <v>86</v>
      </c>
      <c r="E121" s="7"/>
      <c r="F121" s="12">
        <v>0.77</v>
      </c>
      <c r="G121" s="7" t="s">
        <v>73</v>
      </c>
      <c r="H121" s="11">
        <v>0.85</v>
      </c>
    </row>
    <row r="122" spans="2:8" ht="14.25" customHeight="1" x14ac:dyDescent="0.35">
      <c r="B122" s="7" t="s">
        <v>217</v>
      </c>
      <c r="C122" s="7" t="s">
        <v>106</v>
      </c>
      <c r="D122" s="7" t="s">
        <v>107</v>
      </c>
      <c r="E122" s="7">
        <v>1</v>
      </c>
      <c r="F122" s="12">
        <v>1.1000000000000001</v>
      </c>
      <c r="G122" s="7" t="s">
        <v>66</v>
      </c>
      <c r="H122" s="13">
        <v>0.9</v>
      </c>
    </row>
    <row r="123" spans="2:8" ht="14.25" customHeight="1" x14ac:dyDescent="0.35">
      <c r="B123" s="7" t="s">
        <v>217</v>
      </c>
      <c r="C123" s="7" t="s">
        <v>133</v>
      </c>
      <c r="D123" s="7"/>
      <c r="E123" s="7">
        <v>1</v>
      </c>
      <c r="F123" s="12"/>
      <c r="G123" s="7" t="s">
        <v>66</v>
      </c>
      <c r="H123" s="13">
        <v>0.36</v>
      </c>
    </row>
    <row r="124" spans="2:8" ht="14.25" customHeight="1" x14ac:dyDescent="0.35">
      <c r="B124" s="7" t="s">
        <v>217</v>
      </c>
      <c r="C124" s="7" t="s">
        <v>109</v>
      </c>
      <c r="D124" s="7" t="s">
        <v>223</v>
      </c>
      <c r="E124" s="7"/>
      <c r="F124" s="12">
        <v>0.88</v>
      </c>
      <c r="G124" s="7" t="s">
        <v>73</v>
      </c>
      <c r="H124" s="11">
        <v>0.97</v>
      </c>
    </row>
    <row r="125" spans="2:8" ht="14.25" customHeight="1" x14ac:dyDescent="0.35">
      <c r="B125" s="7" t="s">
        <v>217</v>
      </c>
      <c r="C125" s="7" t="s">
        <v>224</v>
      </c>
      <c r="D125" s="7" t="s">
        <v>225</v>
      </c>
      <c r="E125" s="7"/>
      <c r="F125" s="12"/>
      <c r="G125" s="7"/>
      <c r="H125" s="11">
        <v>1.62</v>
      </c>
    </row>
    <row r="126" spans="2:8" ht="14.25" customHeight="1" x14ac:dyDescent="0.35">
      <c r="B126" s="7" t="s">
        <v>226</v>
      </c>
      <c r="C126" s="7" t="s">
        <v>71</v>
      </c>
      <c r="D126" s="7"/>
      <c r="E126" s="7">
        <v>1</v>
      </c>
      <c r="F126" s="12"/>
      <c r="G126" s="7" t="s">
        <v>66</v>
      </c>
      <c r="H126" s="13">
        <v>0.4</v>
      </c>
    </row>
    <row r="127" spans="2:8" ht="14.25" customHeight="1" x14ac:dyDescent="0.35">
      <c r="B127" s="7" t="s">
        <v>227</v>
      </c>
      <c r="C127" s="7" t="s">
        <v>71</v>
      </c>
      <c r="D127" s="7"/>
      <c r="E127" s="7">
        <v>2</v>
      </c>
      <c r="F127" s="12">
        <v>0.5</v>
      </c>
      <c r="G127" s="7" t="s">
        <v>73</v>
      </c>
      <c r="H127" s="11">
        <v>0.56999999999999995</v>
      </c>
    </row>
    <row r="128" spans="2:8" ht="14.25" customHeight="1" x14ac:dyDescent="0.35">
      <c r="B128" s="7" t="s">
        <v>227</v>
      </c>
      <c r="C128" s="7" t="s">
        <v>71</v>
      </c>
      <c r="D128" s="7"/>
      <c r="E128" s="7">
        <v>3</v>
      </c>
      <c r="F128" s="12">
        <v>0.7</v>
      </c>
      <c r="G128" s="7" t="s">
        <v>73</v>
      </c>
      <c r="H128" s="13">
        <v>0.8</v>
      </c>
    </row>
    <row r="129" spans="2:8" ht="14.25" customHeight="1" x14ac:dyDescent="0.35">
      <c r="B129" s="7" t="s">
        <v>228</v>
      </c>
      <c r="C129" s="7" t="s">
        <v>88</v>
      </c>
      <c r="D129" s="7"/>
      <c r="E129" s="7">
        <v>1</v>
      </c>
      <c r="F129" s="10">
        <v>0.35</v>
      </c>
      <c r="G129" s="7" t="s">
        <v>66</v>
      </c>
      <c r="H129" s="11">
        <v>0.38</v>
      </c>
    </row>
    <row r="130" spans="2:8" ht="14.25" customHeight="1" x14ac:dyDescent="0.35">
      <c r="B130" s="7" t="s">
        <v>229</v>
      </c>
      <c r="C130" s="7" t="s">
        <v>88</v>
      </c>
      <c r="D130" s="7"/>
      <c r="E130" s="7">
        <v>1</v>
      </c>
      <c r="F130" s="12">
        <v>0.34</v>
      </c>
      <c r="G130" s="7" t="s">
        <v>73</v>
      </c>
      <c r="H130" s="11">
        <v>0.37</v>
      </c>
    </row>
    <row r="131" spans="2:8" ht="14.25" customHeight="1" x14ac:dyDescent="0.35">
      <c r="B131" s="7" t="s">
        <v>229</v>
      </c>
      <c r="C131" s="7" t="s">
        <v>71</v>
      </c>
      <c r="D131" s="7"/>
      <c r="E131" s="7">
        <v>3</v>
      </c>
      <c r="F131" s="12">
        <v>0.92</v>
      </c>
      <c r="G131" s="7" t="s">
        <v>73</v>
      </c>
      <c r="H131" s="13">
        <v>1</v>
      </c>
    </row>
    <row r="132" spans="2:8" ht="14.25" customHeight="1" x14ac:dyDescent="0.35">
      <c r="B132" s="7" t="s">
        <v>230</v>
      </c>
      <c r="C132" s="7" t="s">
        <v>68</v>
      </c>
      <c r="D132" s="7"/>
      <c r="E132" s="7"/>
      <c r="F132" s="12">
        <v>15.6</v>
      </c>
      <c r="G132" s="7" t="s">
        <v>69</v>
      </c>
      <c r="H132" s="11"/>
    </row>
    <row r="133" spans="2:8" ht="14.25" customHeight="1" x14ac:dyDescent="0.35">
      <c r="B133" s="7" t="s">
        <v>231</v>
      </c>
      <c r="C133" s="7" t="s">
        <v>101</v>
      </c>
      <c r="D133" s="7"/>
      <c r="E133" s="7">
        <v>1</v>
      </c>
      <c r="F133" s="12">
        <v>0.5</v>
      </c>
      <c r="G133" s="7" t="s">
        <v>73</v>
      </c>
      <c r="H133" s="11">
        <v>0.56999999999999995</v>
      </c>
    </row>
    <row r="134" spans="2:8" ht="14.25" customHeight="1" x14ac:dyDescent="0.35">
      <c r="B134" s="7"/>
      <c r="C134" s="7"/>
      <c r="D134" s="7"/>
      <c r="E134" s="7"/>
    </row>
    <row r="135" spans="2:8" ht="14.25" customHeight="1" x14ac:dyDescent="0.35">
      <c r="B135" s="7"/>
      <c r="C135" s="7"/>
      <c r="D135" s="7"/>
      <c r="E135" s="7"/>
    </row>
    <row r="136" spans="2:8" ht="14.25" customHeight="1" x14ac:dyDescent="0.35">
      <c r="B136" s="7"/>
      <c r="C136" s="7"/>
      <c r="D136" s="7"/>
      <c r="E136" s="7"/>
    </row>
    <row r="137" spans="2:8" ht="14.25" customHeight="1" x14ac:dyDescent="0.35">
      <c r="B137" s="7"/>
      <c r="C137" s="7"/>
      <c r="D137" s="7"/>
      <c r="E137" s="7"/>
    </row>
    <row r="138" spans="2:8" ht="14.25" customHeight="1" x14ac:dyDescent="0.35">
      <c r="B138" s="7"/>
      <c r="C138" s="7"/>
      <c r="D138" s="7"/>
      <c r="E138" s="7"/>
    </row>
    <row r="139" spans="2:8" ht="14.25" customHeight="1" x14ac:dyDescent="0.35">
      <c r="B139" s="7"/>
      <c r="C139" s="7"/>
      <c r="D139" s="7"/>
      <c r="E139" s="7"/>
    </row>
    <row r="140" spans="2:8" ht="14.25" customHeight="1" x14ac:dyDescent="0.35">
      <c r="B140" s="7"/>
      <c r="C140" s="7"/>
      <c r="D140" s="7"/>
      <c r="E140" s="7"/>
    </row>
    <row r="141" spans="2:8" ht="14.25" customHeight="1" x14ac:dyDescent="0.35">
      <c r="B141" s="7"/>
      <c r="C141" s="7"/>
      <c r="D141" s="7"/>
      <c r="E141" s="7"/>
    </row>
    <row r="142" spans="2:8" ht="14.25" customHeight="1" x14ac:dyDescent="0.35">
      <c r="B142" s="7"/>
      <c r="C142" s="7"/>
      <c r="D142" s="7"/>
      <c r="E142" s="7"/>
    </row>
    <row r="143" spans="2:8" ht="14.25" customHeight="1" x14ac:dyDescent="0.35">
      <c r="B143" s="7"/>
      <c r="C143" s="7"/>
      <c r="D143" s="7"/>
      <c r="E143" s="7"/>
    </row>
    <row r="144" spans="2:8" ht="14.25" customHeight="1" x14ac:dyDescent="0.35">
      <c r="B144" s="7"/>
      <c r="C144" s="7"/>
      <c r="D144" s="7"/>
      <c r="E144" s="7"/>
    </row>
    <row r="145" spans="2:5" ht="14.25" customHeight="1" x14ac:dyDescent="0.35">
      <c r="B145" s="7"/>
      <c r="C145" s="7"/>
      <c r="D145" s="7"/>
      <c r="E145" s="7"/>
    </row>
    <row r="146" spans="2:5" ht="14.25" customHeight="1" x14ac:dyDescent="0.35">
      <c r="B146" s="7"/>
      <c r="C146" s="7"/>
      <c r="D146" s="7"/>
      <c r="E146" s="7"/>
    </row>
    <row r="147" spans="2:5" ht="14.25" customHeight="1" x14ac:dyDescent="0.35">
      <c r="B147" s="7"/>
      <c r="C147" s="7"/>
      <c r="D147" s="7"/>
      <c r="E147" s="7"/>
    </row>
    <row r="148" spans="2:5" ht="14.25" customHeight="1" x14ac:dyDescent="0.35">
      <c r="B148" s="7"/>
      <c r="C148" s="7"/>
      <c r="D148" s="7"/>
      <c r="E148" s="7"/>
    </row>
    <row r="149" spans="2:5" ht="14.25" customHeight="1" x14ac:dyDescent="0.35">
      <c r="B149" s="7"/>
      <c r="C149" s="7"/>
      <c r="D149" s="7"/>
      <c r="E149" s="7"/>
    </row>
    <row r="150" spans="2:5" ht="14.25" customHeight="1" x14ac:dyDescent="0.35">
      <c r="B150" s="7"/>
      <c r="C150" s="7"/>
      <c r="D150" s="7"/>
      <c r="E150" s="7"/>
    </row>
    <row r="151" spans="2:5" ht="14.25" customHeight="1" x14ac:dyDescent="0.35">
      <c r="B151" s="7"/>
      <c r="C151" s="7"/>
      <c r="D151" s="7"/>
      <c r="E151" s="7"/>
    </row>
    <row r="152" spans="2:5" ht="14.25" customHeight="1" x14ac:dyDescent="0.35">
      <c r="B152" s="7"/>
      <c r="C152" s="7"/>
      <c r="D152" s="7"/>
      <c r="E152" s="7"/>
    </row>
    <row r="153" spans="2:5" ht="14.25" customHeight="1" x14ac:dyDescent="0.35">
      <c r="B153" s="7"/>
      <c r="C153" s="7"/>
      <c r="D153" s="7"/>
      <c r="E153" s="7"/>
    </row>
    <row r="154" spans="2:5" ht="14.25" customHeight="1" x14ac:dyDescent="0.35">
      <c r="B154" s="7"/>
      <c r="C154" s="7"/>
      <c r="D154" s="7"/>
      <c r="E154" s="7"/>
    </row>
    <row r="155" spans="2:5" ht="14.25" customHeight="1" x14ac:dyDescent="0.35">
      <c r="B155" s="7"/>
      <c r="C155" s="7"/>
      <c r="D155" s="7"/>
      <c r="E155" s="7"/>
    </row>
    <row r="156" spans="2:5" ht="14.25" customHeight="1" x14ac:dyDescent="0.35">
      <c r="B156" s="7"/>
      <c r="C156" s="7"/>
      <c r="D156" s="7"/>
      <c r="E156" s="7"/>
    </row>
    <row r="157" spans="2:5" ht="14.25" customHeight="1" x14ac:dyDescent="0.35">
      <c r="B157" s="7"/>
      <c r="C157" s="7"/>
      <c r="D157" s="7"/>
      <c r="E157" s="7"/>
    </row>
    <row r="158" spans="2:5" ht="14.25" customHeight="1" x14ac:dyDescent="0.35">
      <c r="B158" s="7"/>
      <c r="C158" s="7"/>
      <c r="D158" s="7"/>
      <c r="E158" s="7"/>
    </row>
    <row r="159" spans="2:5" ht="14.25" customHeight="1" x14ac:dyDescent="0.35">
      <c r="B159" s="7"/>
      <c r="C159" s="7"/>
      <c r="D159" s="7"/>
      <c r="E159" s="7"/>
    </row>
    <row r="160" spans="2:5" ht="14.25" customHeight="1" x14ac:dyDescent="0.35">
      <c r="B160" s="7"/>
      <c r="C160" s="7"/>
      <c r="D160" s="7"/>
      <c r="E160" s="7"/>
    </row>
    <row r="161" spans="2:5" ht="14.25" customHeight="1" x14ac:dyDescent="0.35">
      <c r="B161" s="7"/>
      <c r="C161" s="7"/>
      <c r="D161" s="7"/>
      <c r="E161" s="7"/>
    </row>
    <row r="162" spans="2:5" ht="14.25" customHeight="1" x14ac:dyDescent="0.35">
      <c r="B162" s="7"/>
      <c r="C162" s="7"/>
      <c r="D162" s="7"/>
      <c r="E162" s="7"/>
    </row>
    <row r="163" spans="2:5" ht="14.25" customHeight="1" x14ac:dyDescent="0.35">
      <c r="B163" s="7"/>
      <c r="C163" s="7"/>
      <c r="D163" s="7"/>
      <c r="E163" s="7"/>
    </row>
    <row r="164" spans="2:5" ht="14.25" customHeight="1" x14ac:dyDescent="0.35">
      <c r="B164" s="7"/>
      <c r="C164" s="7"/>
      <c r="D164" s="7"/>
      <c r="E164" s="7"/>
    </row>
    <row r="165" spans="2:5" ht="14.25" customHeight="1" x14ac:dyDescent="0.35">
      <c r="B165" s="7"/>
      <c r="C165" s="7"/>
      <c r="D165" s="7"/>
      <c r="E165" s="7"/>
    </row>
    <row r="166" spans="2:5" ht="14.25" customHeight="1" x14ac:dyDescent="0.35">
      <c r="B166" s="7"/>
      <c r="C166" s="7"/>
      <c r="D166" s="7"/>
      <c r="E166" s="7"/>
    </row>
    <row r="167" spans="2:5" ht="14.25" customHeight="1" x14ac:dyDescent="0.35">
      <c r="B167" s="7"/>
      <c r="C167" s="7"/>
      <c r="D167" s="7"/>
      <c r="E167" s="7"/>
    </row>
    <row r="168" spans="2:5" ht="14.25" customHeight="1" x14ac:dyDescent="0.35">
      <c r="B168" s="7"/>
      <c r="C168" s="7"/>
      <c r="D168" s="7"/>
      <c r="E168" s="7"/>
    </row>
    <row r="169" spans="2:5" ht="14.25" customHeight="1" x14ac:dyDescent="0.35">
      <c r="B169" s="7"/>
      <c r="C169" s="7"/>
      <c r="D169" s="7"/>
      <c r="E169" s="7"/>
    </row>
    <row r="170" spans="2:5" ht="14.25" customHeight="1" x14ac:dyDescent="0.35">
      <c r="B170" s="7"/>
      <c r="C170" s="7"/>
      <c r="D170" s="7"/>
      <c r="E170" s="7"/>
    </row>
    <row r="171" spans="2:5" ht="14.25" customHeight="1" x14ac:dyDescent="0.35">
      <c r="B171" s="7"/>
      <c r="C171" s="7"/>
      <c r="D171" s="7"/>
      <c r="E171" s="7"/>
    </row>
    <row r="172" spans="2:5" ht="14.25" customHeight="1" x14ac:dyDescent="0.35">
      <c r="B172" s="7"/>
      <c r="C172" s="7"/>
      <c r="D172" s="7"/>
      <c r="E172" s="7"/>
    </row>
    <row r="173" spans="2:5" ht="14.25" customHeight="1" x14ac:dyDescent="0.35">
      <c r="B173" s="7"/>
      <c r="C173" s="7"/>
      <c r="D173" s="7"/>
      <c r="E173" s="7"/>
    </row>
    <row r="174" spans="2:5" ht="14.25" customHeight="1" x14ac:dyDescent="0.35">
      <c r="B174" s="7"/>
      <c r="C174" s="7"/>
      <c r="D174" s="7"/>
      <c r="E174" s="7"/>
    </row>
    <row r="175" spans="2:5" ht="14.25" customHeight="1" x14ac:dyDescent="0.35">
      <c r="B175" s="7"/>
      <c r="C175" s="7"/>
      <c r="D175" s="7"/>
      <c r="E175" s="7"/>
    </row>
    <row r="176" spans="2:5" ht="14.25" customHeight="1" x14ac:dyDescent="0.35">
      <c r="B176" s="7"/>
      <c r="C176" s="7"/>
      <c r="D176" s="7"/>
      <c r="E176" s="7"/>
    </row>
    <row r="177" spans="2:5" ht="14.25" customHeight="1" x14ac:dyDescent="0.35">
      <c r="B177" s="7"/>
      <c r="C177" s="7"/>
      <c r="D177" s="7"/>
      <c r="E177" s="7"/>
    </row>
    <row r="178" spans="2:5" ht="14.25" customHeight="1" x14ac:dyDescent="0.35">
      <c r="B178" s="7"/>
      <c r="C178" s="7"/>
      <c r="D178" s="7"/>
      <c r="E178" s="7"/>
    </row>
    <row r="179" spans="2:5" ht="14.25" customHeight="1" x14ac:dyDescent="0.35">
      <c r="B179" s="7"/>
      <c r="C179" s="7"/>
      <c r="D179" s="7"/>
      <c r="E179" s="7"/>
    </row>
    <row r="180" spans="2:5" ht="14.25" customHeight="1" x14ac:dyDescent="0.35">
      <c r="B180" s="7"/>
      <c r="C180" s="7"/>
      <c r="D180" s="7"/>
      <c r="E180" s="7"/>
    </row>
    <row r="181" spans="2:5" ht="14.25" customHeight="1" x14ac:dyDescent="0.35">
      <c r="B181" s="7"/>
      <c r="C181" s="7"/>
      <c r="D181" s="7"/>
      <c r="E181" s="7"/>
    </row>
    <row r="182" spans="2:5" ht="14.25" customHeight="1" x14ac:dyDescent="0.35">
      <c r="B182" s="7"/>
      <c r="C182" s="7"/>
      <c r="D182" s="7"/>
      <c r="E182" s="7"/>
    </row>
    <row r="183" spans="2:5" ht="14.25" customHeight="1" x14ac:dyDescent="0.35">
      <c r="B183" s="7"/>
      <c r="C183" s="7"/>
      <c r="D183" s="7"/>
      <c r="E183" s="7"/>
    </row>
    <row r="184" spans="2:5" ht="14.25" customHeight="1" x14ac:dyDescent="0.35">
      <c r="B184" s="7"/>
      <c r="C184" s="7"/>
      <c r="D184" s="7"/>
      <c r="E184" s="7"/>
    </row>
    <row r="185" spans="2:5" ht="14.25" customHeight="1" x14ac:dyDescent="0.35">
      <c r="B185" s="7"/>
      <c r="C185" s="7"/>
      <c r="D185" s="7"/>
      <c r="E185" s="7"/>
    </row>
    <row r="186" spans="2:5" ht="14.25" customHeight="1" x14ac:dyDescent="0.35">
      <c r="B186" s="7"/>
      <c r="C186" s="7"/>
      <c r="D186" s="7"/>
      <c r="E186" s="7"/>
    </row>
    <row r="187" spans="2:5" ht="14.25" customHeight="1" x14ac:dyDescent="0.35">
      <c r="B187" s="7"/>
      <c r="C187" s="7"/>
      <c r="D187" s="7"/>
      <c r="E187" s="7"/>
    </row>
    <row r="188" spans="2:5" ht="14.25" customHeight="1" x14ac:dyDescent="0.35">
      <c r="B188" s="7"/>
      <c r="C188" s="7"/>
      <c r="D188" s="7"/>
      <c r="E188" s="7"/>
    </row>
    <row r="189" spans="2:5" ht="14.25" customHeight="1" x14ac:dyDescent="0.35">
      <c r="B189" s="7"/>
      <c r="C189" s="7"/>
      <c r="D189" s="7"/>
      <c r="E189" s="7"/>
    </row>
    <row r="190" spans="2:5" ht="14.25" customHeight="1" x14ac:dyDescent="0.35">
      <c r="B190" s="7"/>
      <c r="C190" s="7"/>
      <c r="D190" s="7"/>
      <c r="E190" s="7"/>
    </row>
    <row r="191" spans="2:5" ht="14.25" customHeight="1" x14ac:dyDescent="0.35">
      <c r="B191" s="7"/>
      <c r="C191" s="7"/>
      <c r="D191" s="7"/>
      <c r="E191" s="7"/>
    </row>
    <row r="192" spans="2:5" ht="14.25" customHeight="1" x14ac:dyDescent="0.35">
      <c r="B192" s="7"/>
      <c r="C192" s="7"/>
      <c r="D192" s="7"/>
      <c r="E192" s="7"/>
    </row>
    <row r="193" spans="2:5" ht="14.25" customHeight="1" x14ac:dyDescent="0.35">
      <c r="B193" s="7"/>
      <c r="C193" s="7"/>
      <c r="D193" s="7"/>
      <c r="E193" s="7"/>
    </row>
    <row r="194" spans="2:5" ht="14.25" customHeight="1" x14ac:dyDescent="0.35">
      <c r="B194" s="7"/>
      <c r="C194" s="7"/>
      <c r="D194" s="7"/>
      <c r="E194" s="7"/>
    </row>
    <row r="195" spans="2:5" ht="14.25" customHeight="1" x14ac:dyDescent="0.35">
      <c r="B195" s="7"/>
      <c r="C195" s="7"/>
      <c r="D195" s="7"/>
      <c r="E195" s="7"/>
    </row>
    <row r="196" spans="2:5" ht="14.25" customHeight="1" x14ac:dyDescent="0.35">
      <c r="B196" s="7"/>
      <c r="C196" s="7"/>
      <c r="D196" s="7"/>
      <c r="E196" s="7"/>
    </row>
    <row r="197" spans="2:5" ht="14.25" customHeight="1" x14ac:dyDescent="0.35">
      <c r="B197" s="7"/>
      <c r="C197" s="7"/>
      <c r="D197" s="7"/>
      <c r="E197" s="7"/>
    </row>
    <row r="198" spans="2:5" ht="14.25" customHeight="1" x14ac:dyDescent="0.35">
      <c r="B198" s="7"/>
      <c r="C198" s="7"/>
      <c r="D198" s="7"/>
      <c r="E198" s="7"/>
    </row>
    <row r="199" spans="2:5" ht="14.25" customHeight="1" x14ac:dyDescent="0.35">
      <c r="B199" s="7"/>
      <c r="C199" s="7"/>
      <c r="D199" s="7"/>
      <c r="E199" s="7"/>
    </row>
    <row r="200" spans="2:5" ht="14.25" customHeight="1" x14ac:dyDescent="0.35">
      <c r="B200" s="7"/>
      <c r="C200" s="7"/>
      <c r="D200" s="7"/>
      <c r="E200" s="7"/>
    </row>
    <row r="201" spans="2:5" ht="14.25" customHeight="1" x14ac:dyDescent="0.35">
      <c r="B201" s="7"/>
      <c r="C201" s="7"/>
      <c r="D201" s="7"/>
      <c r="E201" s="7"/>
    </row>
    <row r="202" spans="2:5" ht="14.25" customHeight="1" x14ac:dyDescent="0.35">
      <c r="B202" s="7"/>
      <c r="C202" s="7"/>
      <c r="D202" s="7"/>
      <c r="E202" s="7"/>
    </row>
    <row r="203" spans="2:5" ht="14.25" customHeight="1" x14ac:dyDescent="0.35">
      <c r="B203" s="7"/>
      <c r="C203" s="7"/>
      <c r="D203" s="7"/>
      <c r="E203" s="7"/>
    </row>
    <row r="204" spans="2:5" ht="14.25" customHeight="1" x14ac:dyDescent="0.35">
      <c r="B204" s="7"/>
      <c r="C204" s="7"/>
      <c r="D204" s="7"/>
      <c r="E204" s="7"/>
    </row>
    <row r="205" spans="2:5" ht="14.25" customHeight="1" x14ac:dyDescent="0.35">
      <c r="B205" s="7"/>
      <c r="C205" s="7"/>
      <c r="D205" s="7"/>
      <c r="E205" s="7"/>
    </row>
    <row r="206" spans="2:5" ht="14.25" customHeight="1" x14ac:dyDescent="0.35">
      <c r="B206" s="7"/>
      <c r="C206" s="7"/>
      <c r="D206" s="7"/>
      <c r="E206" s="7"/>
    </row>
    <row r="207" spans="2:5" ht="14.25" customHeight="1" x14ac:dyDescent="0.35">
      <c r="B207" s="7"/>
      <c r="C207" s="7"/>
      <c r="D207" s="7"/>
      <c r="E207" s="7"/>
    </row>
    <row r="208" spans="2:5" ht="14.25" customHeight="1" x14ac:dyDescent="0.35">
      <c r="B208" s="7"/>
      <c r="C208" s="7"/>
      <c r="D208" s="7"/>
      <c r="E208" s="7"/>
    </row>
    <row r="209" spans="2:5" ht="14.25" customHeight="1" x14ac:dyDescent="0.35">
      <c r="B209" s="7"/>
      <c r="C209" s="7"/>
      <c r="D209" s="7"/>
      <c r="E209" s="7"/>
    </row>
    <row r="210" spans="2:5" ht="14.25" customHeight="1" x14ac:dyDescent="0.35">
      <c r="B210" s="7"/>
      <c r="C210" s="7"/>
      <c r="D210" s="7"/>
      <c r="E210" s="7"/>
    </row>
    <row r="211" spans="2:5" ht="14.25" customHeight="1" x14ac:dyDescent="0.35">
      <c r="B211" s="7"/>
      <c r="C211" s="7"/>
      <c r="D211" s="7"/>
      <c r="E211" s="7"/>
    </row>
    <row r="212" spans="2:5" ht="14.25" customHeight="1" x14ac:dyDescent="0.35">
      <c r="B212" s="7"/>
      <c r="C212" s="7"/>
      <c r="D212" s="7"/>
      <c r="E212" s="7"/>
    </row>
    <row r="213" spans="2:5" ht="14.25" customHeight="1" x14ac:dyDescent="0.35">
      <c r="B213" s="7"/>
      <c r="C213" s="7"/>
      <c r="D213" s="7"/>
      <c r="E213" s="7"/>
    </row>
    <row r="214" spans="2:5" ht="14.25" customHeight="1" x14ac:dyDescent="0.35">
      <c r="B214" s="7"/>
      <c r="C214" s="7"/>
      <c r="D214" s="7"/>
      <c r="E214" s="7"/>
    </row>
    <row r="215" spans="2:5" ht="14.25" customHeight="1" x14ac:dyDescent="0.35">
      <c r="B215" s="7"/>
      <c r="C215" s="7"/>
      <c r="D215" s="7"/>
      <c r="E215" s="7"/>
    </row>
    <row r="216" spans="2:5" ht="14.25" customHeight="1" x14ac:dyDescent="0.35">
      <c r="B216" s="7"/>
      <c r="C216" s="7"/>
      <c r="D216" s="7"/>
      <c r="E216" s="7"/>
    </row>
    <row r="217" spans="2:5" ht="14.25" customHeight="1" x14ac:dyDescent="0.35">
      <c r="B217" s="7"/>
      <c r="C217" s="7"/>
      <c r="D217" s="7"/>
      <c r="E217" s="7"/>
    </row>
    <row r="218" spans="2:5" ht="14.25" customHeight="1" x14ac:dyDescent="0.35">
      <c r="B218" s="7"/>
      <c r="C218" s="7"/>
      <c r="D218" s="7"/>
      <c r="E218" s="7"/>
    </row>
    <row r="219" spans="2:5" ht="14.25" customHeight="1" x14ac:dyDescent="0.35">
      <c r="B219" s="7"/>
      <c r="C219" s="7"/>
      <c r="D219" s="7"/>
      <c r="E219" s="7"/>
    </row>
    <row r="220" spans="2:5" ht="14.25" customHeight="1" x14ac:dyDescent="0.35">
      <c r="B220" s="7"/>
      <c r="C220" s="7"/>
      <c r="D220" s="7"/>
      <c r="E220" s="7"/>
    </row>
    <row r="221" spans="2:5" ht="14.25" customHeight="1" x14ac:dyDescent="0.35">
      <c r="B221" s="7"/>
      <c r="C221" s="7"/>
      <c r="D221" s="7"/>
      <c r="E221" s="7"/>
    </row>
    <row r="222" spans="2:5" ht="14.25" customHeight="1" x14ac:dyDescent="0.35">
      <c r="B222" s="7"/>
      <c r="C222" s="7"/>
      <c r="D222" s="7"/>
      <c r="E222" s="7"/>
    </row>
    <row r="223" spans="2:5" ht="14.25" customHeight="1" x14ac:dyDescent="0.35">
      <c r="B223" s="7"/>
      <c r="C223" s="7"/>
      <c r="D223" s="7"/>
      <c r="E223" s="7"/>
    </row>
    <row r="224" spans="2:5" ht="14.25" customHeight="1" x14ac:dyDescent="0.35">
      <c r="B224" s="7"/>
      <c r="C224" s="7"/>
      <c r="D224" s="7"/>
      <c r="E224" s="7"/>
    </row>
    <row r="225" spans="2:5" ht="14.25" customHeight="1" x14ac:dyDescent="0.35">
      <c r="B225" s="7"/>
      <c r="C225" s="7"/>
      <c r="D225" s="7"/>
      <c r="E225" s="7"/>
    </row>
    <row r="226" spans="2:5" ht="14.25" customHeight="1" x14ac:dyDescent="0.35">
      <c r="B226" s="7"/>
      <c r="C226" s="7"/>
      <c r="D226" s="7"/>
      <c r="E226" s="7"/>
    </row>
    <row r="227" spans="2:5" ht="14.25" customHeight="1" x14ac:dyDescent="0.35">
      <c r="B227" s="7"/>
      <c r="C227" s="7"/>
      <c r="D227" s="7"/>
      <c r="E227" s="7"/>
    </row>
    <row r="228" spans="2:5" ht="14.25" customHeight="1" x14ac:dyDescent="0.35">
      <c r="B228" s="7"/>
      <c r="C228" s="7"/>
      <c r="D228" s="7"/>
      <c r="E228" s="7"/>
    </row>
    <row r="229" spans="2:5" ht="14.25" customHeight="1" x14ac:dyDescent="0.35">
      <c r="B229" s="7"/>
      <c r="C229" s="7"/>
      <c r="D229" s="7"/>
      <c r="E229" s="7"/>
    </row>
    <row r="230" spans="2:5" ht="14.25" customHeight="1" x14ac:dyDescent="0.35">
      <c r="B230" s="7"/>
      <c r="C230" s="7"/>
      <c r="D230" s="7"/>
      <c r="E230" s="7"/>
    </row>
    <row r="231" spans="2:5" ht="14.25" customHeight="1" x14ac:dyDescent="0.35">
      <c r="B231" s="7"/>
      <c r="C231" s="7"/>
      <c r="D231" s="7"/>
      <c r="E231" s="7"/>
    </row>
    <row r="232" spans="2:5" ht="14.25" customHeight="1" x14ac:dyDescent="0.35">
      <c r="B232" s="7"/>
      <c r="C232" s="7"/>
      <c r="D232" s="7"/>
      <c r="E232" s="7"/>
    </row>
    <row r="233" spans="2:5" ht="14.25" customHeight="1" x14ac:dyDescent="0.35">
      <c r="B233" s="7"/>
      <c r="C233" s="7"/>
      <c r="D233" s="7"/>
      <c r="E233" s="7"/>
    </row>
    <row r="234" spans="2:5" ht="14.25" customHeight="1" x14ac:dyDescent="0.35">
      <c r="B234" s="7"/>
      <c r="C234" s="7"/>
      <c r="D234" s="7"/>
      <c r="E234" s="7"/>
    </row>
    <row r="235" spans="2:5" ht="14.25" customHeight="1" x14ac:dyDescent="0.35">
      <c r="B235" s="7"/>
      <c r="C235" s="7"/>
      <c r="D235" s="7"/>
      <c r="E235" s="7"/>
    </row>
    <row r="236" spans="2:5" ht="14.25" customHeight="1" x14ac:dyDescent="0.35">
      <c r="B236" s="7"/>
      <c r="C236" s="7"/>
      <c r="D236" s="7"/>
      <c r="E236" s="7"/>
    </row>
    <row r="237" spans="2:5" ht="14.25" customHeight="1" x14ac:dyDescent="0.35">
      <c r="B237" s="7"/>
      <c r="C237" s="7"/>
      <c r="D237" s="7"/>
      <c r="E237" s="7"/>
    </row>
    <row r="238" spans="2:5" ht="14.25" customHeight="1" x14ac:dyDescent="0.35">
      <c r="B238" s="7"/>
      <c r="C238" s="7"/>
      <c r="D238" s="7"/>
      <c r="E238" s="7"/>
    </row>
    <row r="239" spans="2:5" ht="14.25" customHeight="1" x14ac:dyDescent="0.35">
      <c r="B239" s="7"/>
      <c r="C239" s="7"/>
      <c r="D239" s="7"/>
      <c r="E239" s="7"/>
    </row>
    <row r="240" spans="2:5" ht="14.25" customHeight="1" x14ac:dyDescent="0.35">
      <c r="B240" s="7"/>
      <c r="C240" s="7"/>
      <c r="D240" s="7"/>
      <c r="E240" s="7"/>
    </row>
    <row r="241" spans="2:5" ht="14.25" customHeight="1" x14ac:dyDescent="0.35">
      <c r="B241" s="7"/>
      <c r="C241" s="7"/>
      <c r="D241" s="7"/>
      <c r="E241" s="7"/>
    </row>
    <row r="242" spans="2:5" ht="14.25" customHeight="1" x14ac:dyDescent="0.35">
      <c r="B242" s="7"/>
      <c r="C242" s="7"/>
      <c r="D242" s="7"/>
      <c r="E242" s="7"/>
    </row>
    <row r="243" spans="2:5" ht="14.25" customHeight="1" x14ac:dyDescent="0.35">
      <c r="B243" s="7"/>
      <c r="C243" s="7"/>
      <c r="D243" s="7"/>
      <c r="E243" s="7"/>
    </row>
    <row r="244" spans="2:5" ht="14.25" customHeight="1" x14ac:dyDescent="0.35">
      <c r="B244" s="7"/>
      <c r="C244" s="7"/>
      <c r="D244" s="7"/>
      <c r="E244" s="7"/>
    </row>
    <row r="245" spans="2:5" ht="14.25" customHeight="1" x14ac:dyDescent="0.35">
      <c r="B245" s="7"/>
      <c r="C245" s="7"/>
      <c r="D245" s="7"/>
      <c r="E245" s="7"/>
    </row>
    <row r="246" spans="2:5" ht="14.25" customHeight="1" x14ac:dyDescent="0.35">
      <c r="B246" s="7"/>
      <c r="C246" s="7"/>
      <c r="D246" s="7"/>
      <c r="E246" s="7"/>
    </row>
    <row r="247" spans="2:5" ht="14.25" customHeight="1" x14ac:dyDescent="0.35">
      <c r="B247" s="7"/>
      <c r="C247" s="7"/>
      <c r="D247" s="7"/>
      <c r="E247" s="7"/>
    </row>
    <row r="248" spans="2:5" ht="14.25" customHeight="1" x14ac:dyDescent="0.35">
      <c r="B248" s="7"/>
      <c r="C248" s="7"/>
      <c r="D248" s="7"/>
      <c r="E248" s="7"/>
    </row>
    <row r="249" spans="2:5" ht="14.25" customHeight="1" x14ac:dyDescent="0.35">
      <c r="B249" s="7"/>
      <c r="C249" s="7"/>
      <c r="D249" s="7"/>
      <c r="E249" s="7"/>
    </row>
    <row r="250" spans="2:5" ht="14.25" customHeight="1" x14ac:dyDescent="0.35">
      <c r="B250" s="7"/>
      <c r="C250" s="7"/>
      <c r="D250" s="7"/>
      <c r="E250" s="7"/>
    </row>
    <row r="251" spans="2:5" ht="14.25" customHeight="1" x14ac:dyDescent="0.35">
      <c r="B251" s="7"/>
      <c r="C251" s="7"/>
      <c r="D251" s="7"/>
      <c r="E251" s="7"/>
    </row>
    <row r="252" spans="2:5" ht="14.25" customHeight="1" x14ac:dyDescent="0.35">
      <c r="B252" s="7"/>
      <c r="C252" s="7"/>
      <c r="D252" s="7"/>
      <c r="E252" s="7"/>
    </row>
    <row r="253" spans="2:5" ht="14.25" customHeight="1" x14ac:dyDescent="0.35">
      <c r="B253" s="7"/>
      <c r="C253" s="7"/>
      <c r="D253" s="7"/>
      <c r="E253" s="7"/>
    </row>
    <row r="254" spans="2:5" ht="14.25" customHeight="1" x14ac:dyDescent="0.35">
      <c r="B254" s="7"/>
      <c r="C254" s="7"/>
      <c r="D254" s="7"/>
      <c r="E254" s="7"/>
    </row>
    <row r="255" spans="2:5" ht="14.25" customHeight="1" x14ac:dyDescent="0.35">
      <c r="B255" s="7"/>
      <c r="C255" s="7"/>
      <c r="D255" s="7"/>
      <c r="E255" s="7"/>
    </row>
    <row r="256" spans="2:5" ht="14.25" customHeight="1" x14ac:dyDescent="0.35">
      <c r="B256" s="7"/>
      <c r="C256" s="7"/>
      <c r="D256" s="7"/>
      <c r="E256" s="7"/>
    </row>
    <row r="257" spans="2:5" ht="14.25" customHeight="1" x14ac:dyDescent="0.35">
      <c r="B257" s="7"/>
      <c r="C257" s="7"/>
      <c r="D257" s="7"/>
      <c r="E257" s="7"/>
    </row>
    <row r="258" spans="2:5" ht="14.25" customHeight="1" x14ac:dyDescent="0.35">
      <c r="B258" s="7"/>
      <c r="C258" s="7"/>
      <c r="D258" s="7"/>
      <c r="E258" s="7"/>
    </row>
    <row r="259" spans="2:5" ht="14.25" customHeight="1" x14ac:dyDescent="0.35">
      <c r="B259" s="7"/>
      <c r="C259" s="7"/>
      <c r="D259" s="7"/>
      <c r="E259" s="7"/>
    </row>
    <row r="260" spans="2:5" ht="14.25" customHeight="1" x14ac:dyDescent="0.35">
      <c r="B260" s="7"/>
      <c r="C260" s="7"/>
      <c r="D260" s="7"/>
      <c r="E260" s="7"/>
    </row>
    <row r="261" spans="2:5" ht="14.25" customHeight="1" x14ac:dyDescent="0.35">
      <c r="B261" s="7"/>
      <c r="C261" s="7"/>
      <c r="D261" s="7"/>
      <c r="E261" s="7"/>
    </row>
    <row r="262" spans="2:5" ht="14.25" customHeight="1" x14ac:dyDescent="0.35">
      <c r="B262" s="7"/>
      <c r="C262" s="7"/>
      <c r="D262" s="7"/>
      <c r="E262" s="7"/>
    </row>
    <row r="263" spans="2:5" ht="14.25" customHeight="1" x14ac:dyDescent="0.35">
      <c r="B263" s="7"/>
      <c r="C263" s="7"/>
      <c r="D263" s="7"/>
      <c r="E263" s="7"/>
    </row>
    <row r="264" spans="2:5" ht="14.25" customHeight="1" x14ac:dyDescent="0.35">
      <c r="B264" s="7"/>
      <c r="C264" s="7"/>
      <c r="D264" s="7"/>
      <c r="E264" s="7"/>
    </row>
    <row r="265" spans="2:5" ht="14.25" customHeight="1" x14ac:dyDescent="0.35">
      <c r="B265" s="7"/>
      <c r="C265" s="7"/>
      <c r="D265" s="7"/>
      <c r="E265" s="7"/>
    </row>
    <row r="266" spans="2:5" ht="14.25" customHeight="1" x14ac:dyDescent="0.35">
      <c r="B266" s="7"/>
      <c r="C266" s="7"/>
      <c r="D266" s="7"/>
      <c r="E266" s="7"/>
    </row>
    <row r="267" spans="2:5" ht="14.25" customHeight="1" x14ac:dyDescent="0.35">
      <c r="B267" s="7"/>
      <c r="C267" s="7"/>
      <c r="D267" s="7"/>
      <c r="E267" s="7"/>
    </row>
    <row r="268" spans="2:5" ht="14.25" customHeight="1" x14ac:dyDescent="0.35">
      <c r="B268" s="7"/>
      <c r="C268" s="7"/>
      <c r="D268" s="7"/>
      <c r="E268" s="7"/>
    </row>
    <row r="269" spans="2:5" ht="14.25" customHeight="1" x14ac:dyDescent="0.35">
      <c r="B269" s="7"/>
      <c r="C269" s="7"/>
      <c r="D269" s="7"/>
      <c r="E269" s="7"/>
    </row>
    <row r="270" spans="2:5" ht="14.25" customHeight="1" x14ac:dyDescent="0.35">
      <c r="B270" s="7"/>
      <c r="C270" s="7"/>
      <c r="D270" s="7"/>
      <c r="E270" s="7"/>
    </row>
    <row r="271" spans="2:5" ht="14.25" customHeight="1" x14ac:dyDescent="0.35">
      <c r="B271" s="7"/>
      <c r="C271" s="7"/>
      <c r="D271" s="7"/>
      <c r="E271" s="7"/>
    </row>
    <row r="272" spans="2:5" ht="14.25" customHeight="1" x14ac:dyDescent="0.35">
      <c r="B272" s="7"/>
      <c r="C272" s="7"/>
      <c r="D272" s="7"/>
      <c r="E272" s="7"/>
    </row>
    <row r="273" spans="2:5" ht="14.25" customHeight="1" x14ac:dyDescent="0.35">
      <c r="B273" s="7"/>
      <c r="C273" s="7"/>
      <c r="D273" s="7"/>
      <c r="E273" s="7"/>
    </row>
    <row r="274" spans="2:5" ht="14.25" customHeight="1" x14ac:dyDescent="0.35">
      <c r="B274" s="7"/>
      <c r="C274" s="7"/>
      <c r="D274" s="7"/>
      <c r="E274" s="7"/>
    </row>
    <row r="275" spans="2:5" ht="14.25" customHeight="1" x14ac:dyDescent="0.35">
      <c r="B275" s="7"/>
      <c r="C275" s="7"/>
      <c r="D275" s="7"/>
      <c r="E275" s="7"/>
    </row>
    <row r="276" spans="2:5" ht="14.25" customHeight="1" x14ac:dyDescent="0.35">
      <c r="B276" s="7"/>
      <c r="C276" s="7"/>
      <c r="D276" s="7"/>
      <c r="E276" s="7"/>
    </row>
    <row r="277" spans="2:5" ht="14.25" customHeight="1" x14ac:dyDescent="0.35">
      <c r="B277" s="7"/>
      <c r="C277" s="7"/>
      <c r="D277" s="7"/>
      <c r="E277" s="7"/>
    </row>
    <row r="278" spans="2:5" ht="14.25" customHeight="1" x14ac:dyDescent="0.35">
      <c r="B278" s="7"/>
      <c r="C278" s="7"/>
      <c r="D278" s="7"/>
      <c r="E278" s="7"/>
    </row>
    <row r="279" spans="2:5" ht="14.25" customHeight="1" x14ac:dyDescent="0.35">
      <c r="B279" s="7"/>
      <c r="C279" s="7"/>
      <c r="D279" s="7"/>
      <c r="E279" s="7"/>
    </row>
    <row r="280" spans="2:5" ht="14.25" customHeight="1" x14ac:dyDescent="0.35">
      <c r="B280" s="7"/>
      <c r="C280" s="7"/>
      <c r="D280" s="7"/>
      <c r="E280" s="7"/>
    </row>
    <row r="281" spans="2:5" ht="14.25" customHeight="1" x14ac:dyDescent="0.35">
      <c r="B281" s="7"/>
      <c r="C281" s="7"/>
      <c r="D281" s="7"/>
      <c r="E281" s="7"/>
    </row>
    <row r="282" spans="2:5" ht="14.25" customHeight="1" x14ac:dyDescent="0.35">
      <c r="B282" s="7"/>
      <c r="C282" s="7"/>
      <c r="D282" s="7"/>
      <c r="E282" s="7"/>
    </row>
    <row r="283" spans="2:5" ht="14.25" customHeight="1" x14ac:dyDescent="0.35">
      <c r="B283" s="7"/>
      <c r="C283" s="7"/>
      <c r="D283" s="7"/>
      <c r="E283" s="7"/>
    </row>
    <row r="284" spans="2:5" ht="14.25" customHeight="1" x14ac:dyDescent="0.35">
      <c r="B284" s="7"/>
      <c r="C284" s="7"/>
      <c r="D284" s="7"/>
      <c r="E284" s="7"/>
    </row>
    <row r="285" spans="2:5" ht="14.25" customHeight="1" x14ac:dyDescent="0.35">
      <c r="B285" s="7"/>
      <c r="C285" s="7"/>
      <c r="D285" s="7"/>
      <c r="E285" s="7"/>
    </row>
    <row r="286" spans="2:5" ht="14.25" customHeight="1" x14ac:dyDescent="0.35">
      <c r="B286" s="7"/>
      <c r="C286" s="7"/>
      <c r="D286" s="7"/>
      <c r="E286" s="7"/>
    </row>
    <row r="287" spans="2:5" ht="14.25" customHeight="1" x14ac:dyDescent="0.35">
      <c r="B287" s="7"/>
      <c r="C287" s="7"/>
      <c r="D287" s="7"/>
      <c r="E287" s="7"/>
    </row>
    <row r="288" spans="2:5" ht="14.25" customHeight="1" x14ac:dyDescent="0.35">
      <c r="B288" s="7"/>
      <c r="C288" s="7"/>
      <c r="D288" s="7"/>
      <c r="E288" s="7"/>
    </row>
    <row r="289" spans="2:5" ht="14.25" customHeight="1" x14ac:dyDescent="0.35">
      <c r="B289" s="7"/>
      <c r="C289" s="7"/>
      <c r="D289" s="7"/>
      <c r="E289" s="7"/>
    </row>
    <row r="290" spans="2:5" ht="14.25" customHeight="1" x14ac:dyDescent="0.35">
      <c r="B290" s="7"/>
      <c r="C290" s="7"/>
      <c r="D290" s="7"/>
      <c r="E290" s="7"/>
    </row>
    <row r="291" spans="2:5" ht="14.25" customHeight="1" x14ac:dyDescent="0.35">
      <c r="B291" s="7"/>
      <c r="C291" s="7"/>
      <c r="D291" s="7"/>
      <c r="E291" s="7"/>
    </row>
    <row r="292" spans="2:5" ht="14.25" customHeight="1" x14ac:dyDescent="0.35">
      <c r="B292" s="7"/>
      <c r="C292" s="7"/>
      <c r="D292" s="7"/>
      <c r="E292" s="7"/>
    </row>
    <row r="293" spans="2:5" ht="14.25" customHeight="1" x14ac:dyDescent="0.35">
      <c r="B293" s="7"/>
      <c r="C293" s="7"/>
      <c r="D293" s="7"/>
      <c r="E293" s="7"/>
    </row>
    <row r="294" spans="2:5" ht="14.25" customHeight="1" x14ac:dyDescent="0.35">
      <c r="B294" s="7"/>
      <c r="C294" s="7"/>
      <c r="D294" s="7"/>
      <c r="E294" s="7"/>
    </row>
    <row r="295" spans="2:5" ht="14.25" customHeight="1" x14ac:dyDescent="0.35">
      <c r="B295" s="7"/>
      <c r="C295" s="7"/>
      <c r="D295" s="7"/>
      <c r="E295" s="7"/>
    </row>
    <row r="296" spans="2:5" ht="14.25" customHeight="1" x14ac:dyDescent="0.35">
      <c r="B296" s="7"/>
      <c r="C296" s="7"/>
      <c r="D296" s="7"/>
      <c r="E296" s="7"/>
    </row>
    <row r="297" spans="2:5" ht="14.25" customHeight="1" x14ac:dyDescent="0.35">
      <c r="B297" s="7"/>
      <c r="C297" s="7"/>
      <c r="D297" s="7"/>
      <c r="E297" s="7"/>
    </row>
    <row r="298" spans="2:5" ht="14.25" customHeight="1" x14ac:dyDescent="0.35">
      <c r="B298" s="7"/>
      <c r="C298" s="7"/>
      <c r="D298" s="7"/>
      <c r="E298" s="7"/>
    </row>
    <row r="299" spans="2:5" ht="14.25" customHeight="1" x14ac:dyDescent="0.35">
      <c r="B299" s="7"/>
      <c r="C299" s="7"/>
      <c r="D299" s="7"/>
      <c r="E299" s="7"/>
    </row>
    <row r="300" spans="2:5" ht="14.25" customHeight="1" x14ac:dyDescent="0.35">
      <c r="B300" s="7"/>
      <c r="C300" s="7"/>
      <c r="D300" s="7"/>
      <c r="E300" s="7"/>
    </row>
    <row r="301" spans="2:5" ht="14.25" customHeight="1" x14ac:dyDescent="0.35">
      <c r="B301" s="7"/>
      <c r="C301" s="7"/>
      <c r="D301" s="7"/>
      <c r="E301" s="7"/>
    </row>
    <row r="302" spans="2:5" ht="14.25" customHeight="1" x14ac:dyDescent="0.35">
      <c r="B302" s="7"/>
      <c r="C302" s="7"/>
      <c r="D302" s="7"/>
      <c r="E302" s="7"/>
    </row>
    <row r="303" spans="2:5" ht="14.25" customHeight="1" x14ac:dyDescent="0.35">
      <c r="B303" s="7"/>
      <c r="C303" s="7"/>
      <c r="D303" s="7"/>
      <c r="E303" s="7"/>
    </row>
    <row r="304" spans="2:5" ht="14.25" customHeight="1" x14ac:dyDescent="0.35">
      <c r="B304" s="7"/>
      <c r="C304" s="7"/>
      <c r="D304" s="7"/>
      <c r="E304" s="7"/>
    </row>
    <row r="305" spans="2:5" ht="14.25" customHeight="1" x14ac:dyDescent="0.35">
      <c r="B305" s="7"/>
      <c r="C305" s="7"/>
      <c r="D305" s="7"/>
      <c r="E305" s="7"/>
    </row>
    <row r="306" spans="2:5" ht="14.25" customHeight="1" x14ac:dyDescent="0.35">
      <c r="B306" s="7"/>
      <c r="C306" s="7"/>
      <c r="D306" s="7"/>
      <c r="E306" s="7"/>
    </row>
    <row r="307" spans="2:5" ht="14.25" customHeight="1" x14ac:dyDescent="0.35">
      <c r="B307" s="7"/>
      <c r="C307" s="7"/>
      <c r="D307" s="7"/>
      <c r="E307" s="7"/>
    </row>
    <row r="308" spans="2:5" ht="14.25" customHeight="1" x14ac:dyDescent="0.35">
      <c r="B308" s="7"/>
      <c r="C308" s="7"/>
      <c r="D308" s="7"/>
      <c r="E308" s="7"/>
    </row>
    <row r="309" spans="2:5" ht="14.25" customHeight="1" x14ac:dyDescent="0.35">
      <c r="B309" s="7"/>
      <c r="C309" s="7"/>
      <c r="D309" s="7"/>
      <c r="E309" s="7"/>
    </row>
    <row r="310" spans="2:5" ht="14.25" customHeight="1" x14ac:dyDescent="0.35">
      <c r="B310" s="7"/>
      <c r="C310" s="7"/>
      <c r="D310" s="7"/>
      <c r="E310" s="7"/>
    </row>
    <row r="311" spans="2:5" ht="14.25" customHeight="1" x14ac:dyDescent="0.35">
      <c r="B311" s="7"/>
      <c r="C311" s="7"/>
      <c r="D311" s="7"/>
      <c r="E311" s="7"/>
    </row>
    <row r="312" spans="2:5" ht="14.25" customHeight="1" x14ac:dyDescent="0.35">
      <c r="B312" s="7"/>
      <c r="C312" s="7"/>
      <c r="D312" s="7"/>
      <c r="E312" s="7"/>
    </row>
    <row r="313" spans="2:5" ht="14.25" customHeight="1" x14ac:dyDescent="0.35">
      <c r="B313" s="7"/>
      <c r="C313" s="7"/>
      <c r="D313" s="7"/>
      <c r="E313" s="7"/>
    </row>
    <row r="314" spans="2:5" ht="14.25" customHeight="1" x14ac:dyDescent="0.35">
      <c r="B314" s="7"/>
      <c r="C314" s="7"/>
      <c r="D314" s="7"/>
      <c r="E314" s="7"/>
    </row>
    <row r="315" spans="2:5" ht="14.25" customHeight="1" x14ac:dyDescent="0.35">
      <c r="B315" s="7"/>
      <c r="C315" s="7"/>
      <c r="D315" s="7"/>
      <c r="E315" s="7"/>
    </row>
    <row r="316" spans="2:5" ht="14.25" customHeight="1" x14ac:dyDescent="0.35">
      <c r="B316" s="7"/>
      <c r="C316" s="7"/>
      <c r="D316" s="7"/>
      <c r="E316" s="7"/>
    </row>
    <row r="317" spans="2:5" ht="14.25" customHeight="1" x14ac:dyDescent="0.35">
      <c r="B317" s="7"/>
      <c r="C317" s="7"/>
      <c r="D317" s="7"/>
      <c r="E317" s="7"/>
    </row>
    <row r="318" spans="2:5" ht="14.25" customHeight="1" x14ac:dyDescent="0.35">
      <c r="B318" s="7"/>
      <c r="C318" s="7"/>
      <c r="D318" s="7"/>
      <c r="E318" s="7"/>
    </row>
    <row r="319" spans="2:5" ht="14.25" customHeight="1" x14ac:dyDescent="0.35">
      <c r="B319" s="7"/>
      <c r="C319" s="7"/>
      <c r="D319" s="7"/>
      <c r="E319" s="7"/>
    </row>
    <row r="320" spans="2:5" ht="14.25" customHeight="1" x14ac:dyDescent="0.35">
      <c r="B320" s="7"/>
      <c r="C320" s="7"/>
      <c r="D320" s="7"/>
      <c r="E320" s="7"/>
    </row>
    <row r="321" spans="2:5" ht="14.25" customHeight="1" x14ac:dyDescent="0.35">
      <c r="B321" s="7"/>
      <c r="C321" s="7"/>
      <c r="D321" s="7"/>
      <c r="E321" s="7"/>
    </row>
    <row r="322" spans="2:5" ht="14.25" customHeight="1" x14ac:dyDescent="0.35">
      <c r="B322" s="7"/>
      <c r="C322" s="7"/>
      <c r="D322" s="7"/>
      <c r="E322" s="7"/>
    </row>
    <row r="323" spans="2:5" ht="14.25" customHeight="1" x14ac:dyDescent="0.35">
      <c r="B323" s="7"/>
      <c r="C323" s="7"/>
      <c r="D323" s="7"/>
      <c r="E323" s="7"/>
    </row>
    <row r="324" spans="2:5" ht="14.25" customHeight="1" x14ac:dyDescent="0.35">
      <c r="B324" s="7"/>
      <c r="C324" s="7"/>
      <c r="D324" s="7"/>
      <c r="E324" s="7"/>
    </row>
    <row r="325" spans="2:5" ht="14.25" customHeight="1" x14ac:dyDescent="0.35">
      <c r="B325" s="7"/>
      <c r="C325" s="7"/>
      <c r="D325" s="7"/>
      <c r="E325" s="7"/>
    </row>
    <row r="326" spans="2:5" ht="14.25" customHeight="1" x14ac:dyDescent="0.35">
      <c r="B326" s="7"/>
      <c r="C326" s="7"/>
      <c r="D326" s="7"/>
      <c r="E326" s="7"/>
    </row>
    <row r="327" spans="2:5" ht="14.25" customHeight="1" x14ac:dyDescent="0.35">
      <c r="B327" s="7"/>
      <c r="C327" s="7"/>
      <c r="D327" s="7"/>
      <c r="E327" s="7"/>
    </row>
    <row r="328" spans="2:5" ht="14.25" customHeight="1" x14ac:dyDescent="0.35">
      <c r="B328" s="7"/>
      <c r="C328" s="7"/>
      <c r="D328" s="7"/>
      <c r="E328" s="7"/>
    </row>
    <row r="329" spans="2:5" ht="14.25" customHeight="1" x14ac:dyDescent="0.35">
      <c r="B329" s="7"/>
      <c r="C329" s="7"/>
      <c r="D329" s="7"/>
      <c r="E329" s="7"/>
    </row>
    <row r="330" spans="2:5" ht="14.25" customHeight="1" x14ac:dyDescent="0.35">
      <c r="B330" s="7"/>
      <c r="C330" s="7"/>
      <c r="D330" s="7"/>
      <c r="E330" s="7"/>
    </row>
    <row r="331" spans="2:5" ht="14.25" customHeight="1" x14ac:dyDescent="0.35">
      <c r="B331" s="7"/>
      <c r="C331" s="7"/>
      <c r="D331" s="7"/>
      <c r="E331" s="7"/>
    </row>
    <row r="332" spans="2:5" ht="14.25" customHeight="1" x14ac:dyDescent="0.35">
      <c r="B332" s="7"/>
      <c r="C332" s="7"/>
      <c r="D332" s="7"/>
      <c r="E332" s="7"/>
    </row>
    <row r="333" spans="2:5" ht="14.25" customHeight="1" x14ac:dyDescent="0.35">
      <c r="B333" s="7"/>
      <c r="C333" s="7"/>
      <c r="D333" s="7"/>
      <c r="E333" s="7"/>
    </row>
    <row r="334" spans="2:5" ht="14.25" customHeight="1" x14ac:dyDescent="0.35">
      <c r="B334" s="7"/>
      <c r="C334" s="7"/>
      <c r="D334" s="7"/>
      <c r="E334" s="7"/>
    </row>
    <row r="335" spans="2:5" ht="14.25" customHeight="1" x14ac:dyDescent="0.35">
      <c r="B335" s="7"/>
      <c r="C335" s="7"/>
      <c r="D335" s="7"/>
      <c r="E335" s="7"/>
    </row>
    <row r="336" spans="2:5" ht="14.25" customHeight="1" x14ac:dyDescent="0.35">
      <c r="B336" s="7"/>
      <c r="C336" s="7"/>
      <c r="D336" s="7"/>
      <c r="E336" s="7"/>
    </row>
    <row r="337" spans="2:5" ht="14.25" customHeight="1" x14ac:dyDescent="0.35">
      <c r="B337" s="7"/>
      <c r="C337" s="7"/>
      <c r="D337" s="7"/>
      <c r="E337" s="7"/>
    </row>
    <row r="338" spans="2:5" ht="14.25" customHeight="1" x14ac:dyDescent="0.35">
      <c r="B338" s="7"/>
      <c r="C338" s="7"/>
      <c r="D338" s="7"/>
      <c r="E338" s="7"/>
    </row>
    <row r="339" spans="2:5" ht="14.25" customHeight="1" x14ac:dyDescent="0.35">
      <c r="B339" s="7"/>
      <c r="C339" s="7"/>
      <c r="D339" s="7"/>
      <c r="E339" s="7"/>
    </row>
    <row r="340" spans="2:5" ht="14.25" customHeight="1" x14ac:dyDescent="0.35">
      <c r="B340" s="7"/>
      <c r="C340" s="7"/>
      <c r="D340" s="7"/>
      <c r="E340" s="7"/>
    </row>
    <row r="341" spans="2:5" ht="14.25" customHeight="1" x14ac:dyDescent="0.35">
      <c r="B341" s="7"/>
      <c r="C341" s="7"/>
      <c r="D341" s="7"/>
      <c r="E341" s="7"/>
    </row>
    <row r="342" spans="2:5" ht="14.25" customHeight="1" x14ac:dyDescent="0.35">
      <c r="B342" s="7"/>
      <c r="C342" s="7"/>
      <c r="D342" s="7"/>
      <c r="E342" s="7"/>
    </row>
    <row r="343" spans="2:5" ht="14.25" customHeight="1" x14ac:dyDescent="0.35">
      <c r="B343" s="7"/>
      <c r="C343" s="7"/>
      <c r="D343" s="7"/>
      <c r="E343" s="7"/>
    </row>
    <row r="344" spans="2:5" ht="14.25" customHeight="1" x14ac:dyDescent="0.35">
      <c r="B344" s="7"/>
      <c r="C344" s="7"/>
      <c r="D344" s="7"/>
      <c r="E344" s="7"/>
    </row>
    <row r="345" spans="2:5" ht="14.25" customHeight="1" x14ac:dyDescent="0.35">
      <c r="B345" s="7"/>
      <c r="C345" s="7"/>
      <c r="D345" s="7"/>
      <c r="E345" s="7"/>
    </row>
    <row r="346" spans="2:5" ht="14.25" customHeight="1" x14ac:dyDescent="0.35">
      <c r="B346" s="7"/>
      <c r="C346" s="7"/>
      <c r="D346" s="7"/>
      <c r="E346" s="7"/>
    </row>
    <row r="347" spans="2:5" ht="14.25" customHeight="1" x14ac:dyDescent="0.35">
      <c r="B347" s="7"/>
      <c r="C347" s="7"/>
      <c r="D347" s="7"/>
      <c r="E347" s="7"/>
    </row>
    <row r="348" spans="2:5" ht="14.25" customHeight="1" x14ac:dyDescent="0.35">
      <c r="B348" s="7"/>
      <c r="C348" s="7"/>
      <c r="D348" s="7"/>
      <c r="E348" s="7"/>
    </row>
    <row r="349" spans="2:5" ht="14.25" customHeight="1" x14ac:dyDescent="0.35">
      <c r="B349" s="7"/>
      <c r="C349" s="7"/>
      <c r="D349" s="7"/>
      <c r="E349" s="7"/>
    </row>
    <row r="350" spans="2:5" ht="14.25" customHeight="1" x14ac:dyDescent="0.35">
      <c r="B350" s="7"/>
      <c r="C350" s="7"/>
      <c r="D350" s="7"/>
      <c r="E350" s="7"/>
    </row>
    <row r="351" spans="2:5" ht="14.25" customHeight="1" x14ac:dyDescent="0.35">
      <c r="B351" s="7"/>
      <c r="C351" s="7"/>
      <c r="D351" s="7"/>
      <c r="E351" s="7"/>
    </row>
    <row r="352" spans="2:5" ht="14.25" customHeight="1" x14ac:dyDescent="0.35">
      <c r="B352" s="7"/>
      <c r="C352" s="7"/>
      <c r="D352" s="7"/>
      <c r="E352" s="7"/>
    </row>
    <row r="353" spans="2:5" ht="14.25" customHeight="1" x14ac:dyDescent="0.35">
      <c r="B353" s="7"/>
      <c r="C353" s="7"/>
      <c r="D353" s="7"/>
      <c r="E353" s="7"/>
    </row>
    <row r="354" spans="2:5" ht="14.25" customHeight="1" x14ac:dyDescent="0.35">
      <c r="B354" s="7"/>
      <c r="C354" s="7"/>
      <c r="D354" s="7"/>
      <c r="E354" s="7"/>
    </row>
    <row r="355" spans="2:5" ht="14.25" customHeight="1" x14ac:dyDescent="0.35">
      <c r="B355" s="7"/>
      <c r="C355" s="7"/>
      <c r="D355" s="7"/>
      <c r="E355" s="7"/>
    </row>
    <row r="356" spans="2:5" ht="14.25" customHeight="1" x14ac:dyDescent="0.35">
      <c r="B356" s="7"/>
      <c r="C356" s="7"/>
      <c r="D356" s="7"/>
      <c r="E356" s="7"/>
    </row>
    <row r="357" spans="2:5" ht="14.25" customHeight="1" x14ac:dyDescent="0.35">
      <c r="B357" s="7"/>
      <c r="C357" s="7"/>
      <c r="D357" s="7"/>
      <c r="E357" s="7"/>
    </row>
    <row r="358" spans="2:5" ht="14.25" customHeight="1" x14ac:dyDescent="0.35">
      <c r="B358" s="7"/>
      <c r="C358" s="7"/>
      <c r="D358" s="7"/>
      <c r="E358" s="7"/>
    </row>
    <row r="359" spans="2:5" ht="14.25" customHeight="1" x14ac:dyDescent="0.35">
      <c r="B359" s="7"/>
      <c r="C359" s="7"/>
      <c r="D359" s="7"/>
      <c r="E359" s="7"/>
    </row>
    <row r="360" spans="2:5" ht="14.25" customHeight="1" x14ac:dyDescent="0.35">
      <c r="B360" s="7"/>
      <c r="C360" s="7"/>
      <c r="D360" s="7"/>
      <c r="E360" s="7"/>
    </row>
    <row r="361" spans="2:5" ht="14.25" customHeight="1" x14ac:dyDescent="0.35">
      <c r="B361" s="7"/>
      <c r="C361" s="7"/>
      <c r="D361" s="7"/>
      <c r="E361" s="7"/>
    </row>
    <row r="362" spans="2:5" ht="14.25" customHeight="1" x14ac:dyDescent="0.35">
      <c r="B362" s="7"/>
      <c r="C362" s="7"/>
      <c r="D362" s="7"/>
      <c r="E362" s="7"/>
    </row>
    <row r="363" spans="2:5" ht="14.25" customHeight="1" x14ac:dyDescent="0.35">
      <c r="B363" s="7"/>
      <c r="C363" s="7"/>
      <c r="D363" s="7"/>
      <c r="E363" s="7"/>
    </row>
    <row r="364" spans="2:5" ht="14.25" customHeight="1" x14ac:dyDescent="0.35">
      <c r="B364" s="7"/>
      <c r="C364" s="7"/>
      <c r="D364" s="7"/>
      <c r="E364" s="7"/>
    </row>
    <row r="365" spans="2:5" ht="14.25" customHeight="1" x14ac:dyDescent="0.35">
      <c r="B365" s="7"/>
      <c r="C365" s="7"/>
      <c r="D365" s="7"/>
      <c r="E365" s="7"/>
    </row>
    <row r="366" spans="2:5" ht="14.25" customHeight="1" x14ac:dyDescent="0.35">
      <c r="B366" s="7"/>
      <c r="C366" s="7"/>
      <c r="D366" s="7"/>
      <c r="E366" s="7"/>
    </row>
    <row r="367" spans="2:5" ht="14.25" customHeight="1" x14ac:dyDescent="0.35">
      <c r="B367" s="7"/>
      <c r="C367" s="7"/>
      <c r="D367" s="7"/>
      <c r="E367" s="7"/>
    </row>
    <row r="368" spans="2:5" ht="14.25" customHeight="1" x14ac:dyDescent="0.35">
      <c r="B368" s="7"/>
      <c r="C368" s="7"/>
      <c r="D368" s="7"/>
      <c r="E368" s="7"/>
    </row>
    <row r="369" spans="2:5" ht="14.25" customHeight="1" x14ac:dyDescent="0.35">
      <c r="B369" s="7"/>
      <c r="C369" s="7"/>
      <c r="D369" s="7"/>
      <c r="E369" s="7"/>
    </row>
    <row r="370" spans="2:5" ht="14.25" customHeight="1" x14ac:dyDescent="0.35">
      <c r="B370" s="7"/>
      <c r="C370" s="7"/>
      <c r="D370" s="7"/>
      <c r="E370" s="7"/>
    </row>
    <row r="371" spans="2:5" ht="14.25" customHeight="1" x14ac:dyDescent="0.35">
      <c r="B371" s="7"/>
      <c r="C371" s="7"/>
      <c r="D371" s="7"/>
      <c r="E371" s="7"/>
    </row>
    <row r="372" spans="2:5" ht="14.25" customHeight="1" x14ac:dyDescent="0.35">
      <c r="B372" s="7"/>
      <c r="C372" s="7"/>
      <c r="D372" s="7"/>
      <c r="E372" s="7"/>
    </row>
    <row r="373" spans="2:5" ht="14.25" customHeight="1" x14ac:dyDescent="0.35">
      <c r="B373" s="7"/>
      <c r="C373" s="7"/>
      <c r="D373" s="7"/>
      <c r="E373" s="7"/>
    </row>
    <row r="374" spans="2:5" ht="14.25" customHeight="1" x14ac:dyDescent="0.35">
      <c r="B374" s="7"/>
      <c r="C374" s="7"/>
      <c r="D374" s="7"/>
      <c r="E374" s="7"/>
    </row>
    <row r="375" spans="2:5" ht="14.25" customHeight="1" x14ac:dyDescent="0.35">
      <c r="B375" s="7"/>
      <c r="C375" s="7"/>
      <c r="D375" s="7"/>
      <c r="E375" s="7"/>
    </row>
    <row r="376" spans="2:5" ht="14.25" customHeight="1" x14ac:dyDescent="0.35">
      <c r="B376" s="7"/>
      <c r="C376" s="7"/>
      <c r="D376" s="7"/>
      <c r="E376" s="7"/>
    </row>
    <row r="377" spans="2:5" ht="14.25" customHeight="1" x14ac:dyDescent="0.35">
      <c r="B377" s="7"/>
      <c r="C377" s="7"/>
      <c r="D377" s="7"/>
      <c r="E377" s="7"/>
    </row>
    <row r="378" spans="2:5" ht="14.25" customHeight="1" x14ac:dyDescent="0.35">
      <c r="B378" s="7"/>
      <c r="C378" s="7"/>
      <c r="D378" s="7"/>
      <c r="E378" s="7"/>
    </row>
    <row r="379" spans="2:5" ht="14.25" customHeight="1" x14ac:dyDescent="0.35">
      <c r="B379" s="7"/>
      <c r="C379" s="7"/>
      <c r="D379" s="7"/>
      <c r="E379" s="7"/>
    </row>
    <row r="380" spans="2:5" ht="14.25" customHeight="1" x14ac:dyDescent="0.35">
      <c r="B380" s="7"/>
      <c r="C380" s="7"/>
      <c r="D380" s="7"/>
      <c r="E380" s="7"/>
    </row>
    <row r="381" spans="2:5" ht="14.25" customHeight="1" x14ac:dyDescent="0.35">
      <c r="B381" s="7"/>
      <c r="C381" s="7"/>
      <c r="D381" s="7"/>
      <c r="E381" s="7"/>
    </row>
    <row r="382" spans="2:5" ht="14.25" customHeight="1" x14ac:dyDescent="0.35">
      <c r="B382" s="7"/>
      <c r="C382" s="7"/>
      <c r="D382" s="7"/>
      <c r="E382" s="7"/>
    </row>
    <row r="383" spans="2:5" ht="14.25" customHeight="1" x14ac:dyDescent="0.35">
      <c r="B383" s="7"/>
      <c r="C383" s="7"/>
      <c r="D383" s="7"/>
      <c r="E383" s="7"/>
    </row>
    <row r="384" spans="2:5" ht="14.25" customHeight="1" x14ac:dyDescent="0.35">
      <c r="B384" s="7"/>
      <c r="C384" s="7"/>
      <c r="D384" s="7"/>
      <c r="E384" s="7"/>
    </row>
    <row r="385" spans="2:5" ht="14.25" customHeight="1" x14ac:dyDescent="0.35">
      <c r="B385" s="7"/>
      <c r="C385" s="7"/>
      <c r="D385" s="7"/>
      <c r="E385" s="7"/>
    </row>
    <row r="386" spans="2:5" ht="14.25" customHeight="1" x14ac:dyDescent="0.35">
      <c r="B386" s="7"/>
      <c r="C386" s="7"/>
      <c r="D386" s="7"/>
      <c r="E386" s="7"/>
    </row>
    <row r="387" spans="2:5" ht="14.25" customHeight="1" x14ac:dyDescent="0.35">
      <c r="B387" s="7"/>
      <c r="C387" s="7"/>
      <c r="D387" s="7"/>
      <c r="E387" s="7"/>
    </row>
    <row r="388" spans="2:5" ht="14.25" customHeight="1" x14ac:dyDescent="0.35">
      <c r="B388" s="7"/>
      <c r="C388" s="7"/>
      <c r="D388" s="7"/>
      <c r="E388" s="7"/>
    </row>
    <row r="389" spans="2:5" ht="14.25" customHeight="1" x14ac:dyDescent="0.35">
      <c r="B389" s="7"/>
      <c r="C389" s="7"/>
      <c r="D389" s="7"/>
      <c r="E389" s="7"/>
    </row>
    <row r="390" spans="2:5" ht="14.25" customHeight="1" x14ac:dyDescent="0.35">
      <c r="B390" s="7"/>
      <c r="C390" s="7"/>
      <c r="D390" s="7"/>
      <c r="E390" s="7"/>
    </row>
    <row r="391" spans="2:5" ht="14.25" customHeight="1" x14ac:dyDescent="0.35">
      <c r="B391" s="7"/>
      <c r="C391" s="7"/>
      <c r="D391" s="7"/>
      <c r="E391" s="7"/>
    </row>
    <row r="392" spans="2:5" ht="14.25" customHeight="1" x14ac:dyDescent="0.35">
      <c r="B392" s="7"/>
      <c r="C392" s="7"/>
      <c r="D392" s="7"/>
      <c r="E392" s="7"/>
    </row>
    <row r="393" spans="2:5" ht="14.25" customHeight="1" x14ac:dyDescent="0.35">
      <c r="B393" s="7"/>
      <c r="C393" s="7"/>
      <c r="D393" s="7"/>
      <c r="E393" s="7"/>
    </row>
    <row r="394" spans="2:5" ht="14.25" customHeight="1" x14ac:dyDescent="0.35">
      <c r="B394" s="7"/>
      <c r="C394" s="7"/>
      <c r="D394" s="7"/>
      <c r="E394" s="7"/>
    </row>
    <row r="395" spans="2:5" ht="14.25" customHeight="1" x14ac:dyDescent="0.35">
      <c r="B395" s="7"/>
      <c r="C395" s="7"/>
      <c r="D395" s="7"/>
      <c r="E395" s="7"/>
    </row>
    <row r="396" spans="2:5" ht="14.25" customHeight="1" x14ac:dyDescent="0.35">
      <c r="B396" s="7"/>
      <c r="C396" s="7"/>
      <c r="D396" s="7"/>
      <c r="E396" s="7"/>
    </row>
    <row r="397" spans="2:5" ht="14.25" customHeight="1" x14ac:dyDescent="0.35">
      <c r="B397" s="7"/>
      <c r="C397" s="7"/>
      <c r="D397" s="7"/>
      <c r="E397" s="7"/>
    </row>
    <row r="398" spans="2:5" ht="14.25" customHeight="1" x14ac:dyDescent="0.35">
      <c r="B398" s="7"/>
      <c r="C398" s="7"/>
      <c r="D398" s="7"/>
      <c r="E398" s="7"/>
    </row>
    <row r="399" spans="2:5" ht="14.25" customHeight="1" x14ac:dyDescent="0.35">
      <c r="B399" s="7"/>
      <c r="C399" s="7"/>
      <c r="D399" s="7"/>
      <c r="E399" s="7"/>
    </row>
    <row r="400" spans="2:5" ht="14.25" customHeight="1" x14ac:dyDescent="0.35">
      <c r="B400" s="7"/>
      <c r="C400" s="7"/>
      <c r="D400" s="7"/>
      <c r="E400" s="7"/>
    </row>
    <row r="401" spans="2:5" ht="14.25" customHeight="1" x14ac:dyDescent="0.35">
      <c r="B401" s="7"/>
      <c r="C401" s="7"/>
      <c r="D401" s="7"/>
      <c r="E401" s="7"/>
    </row>
    <row r="402" spans="2:5" ht="14.25" customHeight="1" x14ac:dyDescent="0.35">
      <c r="B402" s="7"/>
      <c r="C402" s="7"/>
      <c r="D402" s="7"/>
      <c r="E402" s="7"/>
    </row>
    <row r="403" spans="2:5" ht="14.25" customHeight="1" x14ac:dyDescent="0.35">
      <c r="B403" s="7"/>
      <c r="C403" s="7"/>
      <c r="D403" s="7"/>
      <c r="E403" s="7"/>
    </row>
    <row r="404" spans="2:5" ht="14.25" customHeight="1" x14ac:dyDescent="0.35">
      <c r="B404" s="7"/>
      <c r="C404" s="7"/>
      <c r="D404" s="7"/>
      <c r="E404" s="7"/>
    </row>
    <row r="405" spans="2:5" ht="14.25" customHeight="1" x14ac:dyDescent="0.35">
      <c r="B405" s="7"/>
      <c r="C405" s="7"/>
      <c r="D405" s="7"/>
      <c r="E405" s="7"/>
    </row>
    <row r="406" spans="2:5" ht="14.25" customHeight="1" x14ac:dyDescent="0.35">
      <c r="B406" s="7"/>
      <c r="C406" s="7"/>
      <c r="D406" s="7"/>
      <c r="E406" s="7"/>
    </row>
    <row r="407" spans="2:5" ht="14.25" customHeight="1" x14ac:dyDescent="0.35">
      <c r="B407" s="7"/>
      <c r="C407" s="7"/>
      <c r="D407" s="7"/>
      <c r="E407" s="7"/>
    </row>
    <row r="408" spans="2:5" ht="14.25" customHeight="1" x14ac:dyDescent="0.35">
      <c r="B408" s="7"/>
      <c r="C408" s="7"/>
      <c r="D408" s="7"/>
      <c r="E408" s="7"/>
    </row>
    <row r="409" spans="2:5" ht="14.25" customHeight="1" x14ac:dyDescent="0.35">
      <c r="B409" s="7"/>
      <c r="C409" s="7"/>
      <c r="D409" s="7"/>
      <c r="E409" s="7"/>
    </row>
    <row r="410" spans="2:5" ht="14.25" customHeight="1" x14ac:dyDescent="0.35">
      <c r="B410" s="7"/>
      <c r="C410" s="7"/>
      <c r="D410" s="7"/>
      <c r="E410" s="7"/>
    </row>
    <row r="411" spans="2:5" ht="14.25" customHeight="1" x14ac:dyDescent="0.35">
      <c r="B411" s="7"/>
      <c r="C411" s="7"/>
      <c r="D411" s="7"/>
      <c r="E411" s="7"/>
    </row>
    <row r="412" spans="2:5" ht="14.25" customHeight="1" x14ac:dyDescent="0.35">
      <c r="B412" s="7"/>
      <c r="C412" s="7"/>
      <c r="D412" s="7"/>
      <c r="E412" s="7"/>
    </row>
    <row r="413" spans="2:5" ht="14.25" customHeight="1" x14ac:dyDescent="0.35">
      <c r="B413" s="7"/>
      <c r="C413" s="7"/>
      <c r="D413" s="7"/>
      <c r="E413" s="7"/>
    </row>
    <row r="414" spans="2:5" ht="14.25" customHeight="1" x14ac:dyDescent="0.35">
      <c r="B414" s="7"/>
      <c r="C414" s="7"/>
      <c r="D414" s="7"/>
      <c r="E414" s="7"/>
    </row>
    <row r="415" spans="2:5" ht="14.25" customHeight="1" x14ac:dyDescent="0.35">
      <c r="B415" s="7"/>
      <c r="C415" s="7"/>
      <c r="D415" s="7"/>
      <c r="E415" s="7"/>
    </row>
    <row r="416" spans="2:5" ht="14.25" customHeight="1" x14ac:dyDescent="0.35">
      <c r="B416" s="7"/>
      <c r="C416" s="7"/>
      <c r="D416" s="7"/>
      <c r="E416" s="7"/>
    </row>
    <row r="417" spans="2:5" ht="14.25" customHeight="1" x14ac:dyDescent="0.35">
      <c r="B417" s="7"/>
      <c r="C417" s="7"/>
      <c r="D417" s="7"/>
      <c r="E417" s="7"/>
    </row>
    <row r="418" spans="2:5" ht="14.25" customHeight="1" x14ac:dyDescent="0.35">
      <c r="B418" s="7"/>
      <c r="C418" s="7"/>
      <c r="D418" s="7"/>
      <c r="E418" s="7"/>
    </row>
    <row r="419" spans="2:5" ht="14.25" customHeight="1" x14ac:dyDescent="0.35">
      <c r="B419" s="7"/>
      <c r="C419" s="7"/>
      <c r="D419" s="7"/>
      <c r="E419" s="7"/>
    </row>
    <row r="420" spans="2:5" ht="14.25" customHeight="1" x14ac:dyDescent="0.35">
      <c r="B420" s="7"/>
      <c r="C420" s="7"/>
      <c r="D420" s="7"/>
      <c r="E420" s="7"/>
    </row>
    <row r="421" spans="2:5" ht="14.25" customHeight="1" x14ac:dyDescent="0.35">
      <c r="B421" s="7"/>
      <c r="C421" s="7"/>
      <c r="D421" s="7"/>
      <c r="E421" s="7"/>
    </row>
    <row r="422" spans="2:5" ht="14.25" customHeight="1" x14ac:dyDescent="0.35">
      <c r="B422" s="7"/>
      <c r="C422" s="7"/>
      <c r="D422" s="7"/>
      <c r="E422" s="7"/>
    </row>
    <row r="423" spans="2:5" ht="14.25" customHeight="1" x14ac:dyDescent="0.35">
      <c r="B423" s="7"/>
      <c r="C423" s="7"/>
      <c r="D423" s="7"/>
      <c r="E423" s="7"/>
    </row>
    <row r="424" spans="2:5" ht="14.25" customHeight="1" x14ac:dyDescent="0.35">
      <c r="B424" s="7"/>
      <c r="C424" s="7"/>
      <c r="D424" s="7"/>
      <c r="E424" s="7"/>
    </row>
    <row r="425" spans="2:5" ht="14.25" customHeight="1" x14ac:dyDescent="0.35">
      <c r="B425" s="7"/>
      <c r="C425" s="7"/>
      <c r="D425" s="7"/>
      <c r="E425" s="7"/>
    </row>
    <row r="426" spans="2:5" ht="14.25" customHeight="1" x14ac:dyDescent="0.35">
      <c r="B426" s="7"/>
      <c r="C426" s="7"/>
      <c r="D426" s="7"/>
      <c r="E426" s="7"/>
    </row>
    <row r="427" spans="2:5" ht="14.25" customHeight="1" x14ac:dyDescent="0.35">
      <c r="B427" s="7"/>
      <c r="C427" s="7"/>
      <c r="D427" s="7"/>
      <c r="E427" s="7"/>
    </row>
    <row r="428" spans="2:5" ht="14.25" customHeight="1" x14ac:dyDescent="0.35">
      <c r="B428" s="7"/>
      <c r="C428" s="7"/>
      <c r="D428" s="7"/>
      <c r="E428" s="7"/>
    </row>
    <row r="429" spans="2:5" ht="14.25" customHeight="1" x14ac:dyDescent="0.35">
      <c r="B429" s="7"/>
      <c r="C429" s="7"/>
      <c r="D429" s="7"/>
      <c r="E429" s="7"/>
    </row>
    <row r="430" spans="2:5" ht="14.25" customHeight="1" x14ac:dyDescent="0.35">
      <c r="B430" s="7"/>
      <c r="C430" s="7"/>
      <c r="D430" s="7"/>
      <c r="E430" s="7"/>
    </row>
    <row r="431" spans="2:5" ht="14.25" customHeight="1" x14ac:dyDescent="0.35">
      <c r="B431" s="7"/>
      <c r="C431" s="7"/>
      <c r="D431" s="7"/>
      <c r="E431" s="7"/>
    </row>
    <row r="432" spans="2:5" ht="14.25" customHeight="1" x14ac:dyDescent="0.35">
      <c r="B432" s="7"/>
      <c r="C432" s="7"/>
      <c r="D432" s="7"/>
      <c r="E432" s="7"/>
    </row>
    <row r="433" spans="2:5" ht="14.25" customHeight="1" x14ac:dyDescent="0.35">
      <c r="B433" s="7"/>
      <c r="C433" s="7"/>
      <c r="D433" s="7"/>
      <c r="E433" s="7"/>
    </row>
    <row r="434" spans="2:5" ht="14.25" customHeight="1" x14ac:dyDescent="0.35">
      <c r="B434" s="7"/>
      <c r="C434" s="7"/>
      <c r="D434" s="7"/>
      <c r="E434" s="7"/>
    </row>
    <row r="435" spans="2:5" ht="14.25" customHeight="1" x14ac:dyDescent="0.35">
      <c r="B435" s="7"/>
      <c r="C435" s="7"/>
      <c r="D435" s="7"/>
      <c r="E435" s="7"/>
    </row>
    <row r="436" spans="2:5" ht="14.25" customHeight="1" x14ac:dyDescent="0.35">
      <c r="B436" s="7"/>
      <c r="C436" s="7"/>
      <c r="D436" s="7"/>
      <c r="E436" s="7"/>
    </row>
    <row r="437" spans="2:5" ht="14.25" customHeight="1" x14ac:dyDescent="0.35">
      <c r="B437" s="7"/>
      <c r="C437" s="7"/>
      <c r="D437" s="7"/>
      <c r="E437" s="7"/>
    </row>
    <row r="438" spans="2:5" ht="14.25" customHeight="1" x14ac:dyDescent="0.35">
      <c r="B438" s="7"/>
      <c r="C438" s="7"/>
      <c r="D438" s="7"/>
      <c r="E438" s="7"/>
    </row>
    <row r="439" spans="2:5" ht="14.25" customHeight="1" x14ac:dyDescent="0.35">
      <c r="B439" s="7"/>
      <c r="C439" s="7"/>
      <c r="D439" s="7"/>
      <c r="E439" s="7"/>
    </row>
    <row r="440" spans="2:5" ht="14.25" customHeight="1" x14ac:dyDescent="0.35">
      <c r="B440" s="7"/>
      <c r="C440" s="7"/>
      <c r="D440" s="7"/>
      <c r="E440" s="7"/>
    </row>
    <row r="441" spans="2:5" ht="14.25" customHeight="1" x14ac:dyDescent="0.35">
      <c r="B441" s="7"/>
      <c r="C441" s="7"/>
      <c r="D441" s="7"/>
      <c r="E441" s="7"/>
    </row>
    <row r="442" spans="2:5" ht="14.25" customHeight="1" x14ac:dyDescent="0.35">
      <c r="B442" s="7"/>
      <c r="C442" s="7"/>
      <c r="D442" s="7"/>
      <c r="E442" s="7"/>
    </row>
    <row r="443" spans="2:5" ht="14.25" customHeight="1" x14ac:dyDescent="0.35">
      <c r="B443" s="7"/>
      <c r="C443" s="7"/>
      <c r="D443" s="7"/>
      <c r="E443" s="7"/>
    </row>
    <row r="444" spans="2:5" ht="14.25" customHeight="1" x14ac:dyDescent="0.35">
      <c r="B444" s="7"/>
      <c r="C444" s="7"/>
      <c r="D444" s="7"/>
      <c r="E444" s="7"/>
    </row>
    <row r="445" spans="2:5" ht="14.25" customHeight="1" x14ac:dyDescent="0.35">
      <c r="B445" s="7"/>
      <c r="C445" s="7"/>
      <c r="D445" s="7"/>
      <c r="E445" s="7"/>
    </row>
    <row r="446" spans="2:5" ht="14.25" customHeight="1" x14ac:dyDescent="0.35">
      <c r="B446" s="7"/>
      <c r="C446" s="7"/>
      <c r="D446" s="7"/>
      <c r="E446" s="7"/>
    </row>
    <row r="447" spans="2:5" ht="14.25" customHeight="1" x14ac:dyDescent="0.35">
      <c r="B447" s="7"/>
      <c r="C447" s="7"/>
      <c r="D447" s="7"/>
      <c r="E447" s="7"/>
    </row>
    <row r="448" spans="2:5" ht="14.25" customHeight="1" x14ac:dyDescent="0.35">
      <c r="B448" s="7"/>
      <c r="C448" s="7"/>
      <c r="D448" s="7"/>
      <c r="E448" s="7"/>
    </row>
    <row r="449" spans="2:5" ht="14.25" customHeight="1" x14ac:dyDescent="0.35">
      <c r="B449" s="7"/>
      <c r="C449" s="7"/>
      <c r="D449" s="7"/>
      <c r="E449" s="7"/>
    </row>
    <row r="450" spans="2:5" ht="14.25" customHeight="1" x14ac:dyDescent="0.35">
      <c r="B450" s="7"/>
      <c r="C450" s="7"/>
      <c r="D450" s="7"/>
      <c r="E450" s="7"/>
    </row>
    <row r="451" spans="2:5" ht="14.25" customHeight="1" x14ac:dyDescent="0.35">
      <c r="B451" s="7"/>
      <c r="C451" s="7"/>
      <c r="D451" s="7"/>
      <c r="E451" s="7"/>
    </row>
    <row r="452" spans="2:5" ht="14.25" customHeight="1" x14ac:dyDescent="0.35">
      <c r="B452" s="7"/>
      <c r="C452" s="7"/>
      <c r="D452" s="7"/>
      <c r="E452" s="7"/>
    </row>
    <row r="453" spans="2:5" ht="14.25" customHeight="1" x14ac:dyDescent="0.35">
      <c r="B453" s="7"/>
      <c r="C453" s="7"/>
      <c r="D453" s="7"/>
      <c r="E453" s="7"/>
    </row>
    <row r="454" spans="2:5" ht="14.25" customHeight="1" x14ac:dyDescent="0.35">
      <c r="B454" s="7"/>
      <c r="C454" s="7"/>
      <c r="D454" s="7"/>
      <c r="E454" s="7"/>
    </row>
    <row r="455" spans="2:5" ht="14.25" customHeight="1" x14ac:dyDescent="0.35">
      <c r="B455" s="7"/>
      <c r="C455" s="7"/>
      <c r="D455" s="7"/>
      <c r="E455" s="7"/>
    </row>
    <row r="456" spans="2:5" ht="14.25" customHeight="1" x14ac:dyDescent="0.35">
      <c r="B456" s="7"/>
      <c r="C456" s="7"/>
      <c r="D456" s="7"/>
      <c r="E456" s="7"/>
    </row>
    <row r="457" spans="2:5" ht="14.25" customHeight="1" x14ac:dyDescent="0.35">
      <c r="B457" s="7"/>
      <c r="C457" s="7"/>
      <c r="D457" s="7"/>
      <c r="E457" s="7"/>
    </row>
    <row r="458" spans="2:5" ht="14.25" customHeight="1" x14ac:dyDescent="0.35">
      <c r="B458" s="7"/>
      <c r="C458" s="7"/>
      <c r="D458" s="7"/>
      <c r="E458" s="7"/>
    </row>
    <row r="459" spans="2:5" ht="14.25" customHeight="1" x14ac:dyDescent="0.35">
      <c r="B459" s="7"/>
      <c r="C459" s="7"/>
      <c r="D459" s="7"/>
      <c r="E459" s="7"/>
    </row>
    <row r="460" spans="2:5" ht="14.25" customHeight="1" x14ac:dyDescent="0.35">
      <c r="B460" s="7"/>
      <c r="C460" s="7"/>
      <c r="D460" s="7"/>
      <c r="E460" s="7"/>
    </row>
    <row r="461" spans="2:5" ht="14.25" customHeight="1" x14ac:dyDescent="0.35">
      <c r="B461" s="7"/>
      <c r="C461" s="7"/>
      <c r="D461" s="7"/>
      <c r="E461" s="7"/>
    </row>
    <row r="462" spans="2:5" ht="14.25" customHeight="1" x14ac:dyDescent="0.35">
      <c r="B462" s="7"/>
      <c r="C462" s="7"/>
      <c r="D462" s="7"/>
      <c r="E462" s="7"/>
    </row>
    <row r="463" spans="2:5" ht="14.25" customHeight="1" x14ac:dyDescent="0.35">
      <c r="B463" s="7"/>
      <c r="C463" s="7"/>
      <c r="D463" s="7"/>
      <c r="E463" s="7"/>
    </row>
    <row r="464" spans="2:5" ht="14.25" customHeight="1" x14ac:dyDescent="0.35">
      <c r="B464" s="7"/>
      <c r="C464" s="7"/>
      <c r="D464" s="7"/>
      <c r="E464" s="7"/>
    </row>
    <row r="465" spans="2:5" ht="14.25" customHeight="1" x14ac:dyDescent="0.35">
      <c r="B465" s="7"/>
      <c r="C465" s="7"/>
      <c r="D465" s="7"/>
      <c r="E465" s="7"/>
    </row>
    <row r="466" spans="2:5" ht="14.25" customHeight="1" x14ac:dyDescent="0.35">
      <c r="B466" s="7"/>
      <c r="C466" s="7"/>
      <c r="D466" s="7"/>
      <c r="E466" s="7"/>
    </row>
    <row r="467" spans="2:5" ht="14.25" customHeight="1" x14ac:dyDescent="0.35">
      <c r="B467" s="7"/>
      <c r="C467" s="7"/>
      <c r="D467" s="7"/>
      <c r="E467" s="7"/>
    </row>
    <row r="468" spans="2:5" ht="14.25" customHeight="1" x14ac:dyDescent="0.35">
      <c r="B468" s="7"/>
      <c r="C468" s="7"/>
      <c r="D468" s="7"/>
      <c r="E468" s="7"/>
    </row>
    <row r="469" spans="2:5" ht="14.25" customHeight="1" x14ac:dyDescent="0.35">
      <c r="B469" s="7"/>
      <c r="C469" s="7"/>
      <c r="D469" s="7"/>
      <c r="E469" s="7"/>
    </row>
    <row r="470" spans="2:5" ht="14.25" customHeight="1" x14ac:dyDescent="0.35">
      <c r="B470" s="7"/>
      <c r="C470" s="7"/>
      <c r="D470" s="7"/>
      <c r="E470" s="7"/>
    </row>
    <row r="471" spans="2:5" ht="14.25" customHeight="1" x14ac:dyDescent="0.35">
      <c r="B471" s="7"/>
      <c r="C471" s="7"/>
      <c r="D471" s="7"/>
      <c r="E471" s="7"/>
    </row>
    <row r="472" spans="2:5" ht="14.25" customHeight="1" x14ac:dyDescent="0.35">
      <c r="B472" s="7"/>
      <c r="C472" s="7"/>
      <c r="D472" s="7"/>
      <c r="E472" s="7"/>
    </row>
    <row r="473" spans="2:5" ht="14.25" customHeight="1" x14ac:dyDescent="0.35">
      <c r="B473" s="7"/>
      <c r="C473" s="7"/>
      <c r="D473" s="7"/>
      <c r="E473" s="7"/>
    </row>
    <row r="474" spans="2:5" ht="14.25" customHeight="1" x14ac:dyDescent="0.35">
      <c r="B474" s="7"/>
      <c r="C474" s="7"/>
      <c r="D474" s="7"/>
      <c r="E474" s="7"/>
    </row>
    <row r="475" spans="2:5" ht="14.25" customHeight="1" x14ac:dyDescent="0.35">
      <c r="B475" s="7"/>
      <c r="C475" s="7"/>
      <c r="D475" s="7"/>
      <c r="E475" s="7"/>
    </row>
    <row r="476" spans="2:5" ht="14.25" customHeight="1" x14ac:dyDescent="0.35">
      <c r="B476" s="7"/>
      <c r="C476" s="7"/>
      <c r="D476" s="7"/>
      <c r="E476" s="7"/>
    </row>
    <row r="477" spans="2:5" ht="14.25" customHeight="1" x14ac:dyDescent="0.35">
      <c r="B477" s="7"/>
      <c r="C477" s="7"/>
      <c r="D477" s="7"/>
      <c r="E477" s="7"/>
    </row>
    <row r="478" spans="2:5" ht="14.25" customHeight="1" x14ac:dyDescent="0.35">
      <c r="B478" s="7"/>
      <c r="C478" s="7"/>
      <c r="D478" s="7"/>
      <c r="E478" s="7"/>
    </row>
    <row r="479" spans="2:5" ht="14.25" customHeight="1" x14ac:dyDescent="0.35">
      <c r="B479" s="7"/>
      <c r="C479" s="7"/>
      <c r="D479" s="7"/>
      <c r="E479" s="7"/>
    </row>
    <row r="480" spans="2:5" ht="14.25" customHeight="1" x14ac:dyDescent="0.35">
      <c r="B480" s="7"/>
      <c r="C480" s="7"/>
      <c r="D480" s="7"/>
      <c r="E480" s="7"/>
    </row>
    <row r="481" spans="2:5" ht="14.25" customHeight="1" x14ac:dyDescent="0.35">
      <c r="B481" s="7"/>
      <c r="C481" s="7"/>
      <c r="D481" s="7"/>
      <c r="E481" s="7"/>
    </row>
    <row r="482" spans="2:5" ht="14.25" customHeight="1" x14ac:dyDescent="0.35">
      <c r="B482" s="7"/>
      <c r="C482" s="7"/>
      <c r="D482" s="7"/>
      <c r="E482" s="7"/>
    </row>
    <row r="483" spans="2:5" ht="14.25" customHeight="1" x14ac:dyDescent="0.35">
      <c r="B483" s="7"/>
      <c r="C483" s="7"/>
      <c r="D483" s="7"/>
      <c r="E483" s="7"/>
    </row>
    <row r="484" spans="2:5" ht="14.25" customHeight="1" x14ac:dyDescent="0.35">
      <c r="B484" s="7"/>
      <c r="C484" s="7"/>
      <c r="D484" s="7"/>
      <c r="E484" s="7"/>
    </row>
    <row r="485" spans="2:5" ht="14.25" customHeight="1" x14ac:dyDescent="0.35">
      <c r="B485" s="7"/>
      <c r="C485" s="7"/>
      <c r="D485" s="7"/>
      <c r="E485" s="7"/>
    </row>
    <row r="486" spans="2:5" ht="14.25" customHeight="1" x14ac:dyDescent="0.35">
      <c r="B486" s="7"/>
      <c r="C486" s="7"/>
      <c r="D486" s="7"/>
      <c r="E486" s="7"/>
    </row>
    <row r="487" spans="2:5" ht="14.25" customHeight="1" x14ac:dyDescent="0.35">
      <c r="B487" s="7"/>
      <c r="C487" s="7"/>
      <c r="D487" s="7"/>
      <c r="E487" s="7"/>
    </row>
    <row r="488" spans="2:5" ht="14.25" customHeight="1" x14ac:dyDescent="0.35">
      <c r="B488" s="7"/>
      <c r="C488" s="7"/>
      <c r="D488" s="7"/>
      <c r="E488" s="7"/>
    </row>
    <row r="489" spans="2:5" ht="14.25" customHeight="1" x14ac:dyDescent="0.35">
      <c r="B489" s="7"/>
      <c r="C489" s="7"/>
      <c r="D489" s="7"/>
      <c r="E489" s="7"/>
    </row>
    <row r="490" spans="2:5" ht="14.25" customHeight="1" x14ac:dyDescent="0.35">
      <c r="B490" s="7"/>
      <c r="C490" s="7"/>
      <c r="D490" s="7"/>
      <c r="E490" s="7"/>
    </row>
    <row r="491" spans="2:5" ht="14.25" customHeight="1" x14ac:dyDescent="0.35">
      <c r="B491" s="7"/>
      <c r="C491" s="7"/>
      <c r="D491" s="7"/>
      <c r="E491" s="7"/>
    </row>
    <row r="492" spans="2:5" ht="14.25" customHeight="1" x14ac:dyDescent="0.35">
      <c r="B492" s="7"/>
      <c r="C492" s="7"/>
      <c r="D492" s="7"/>
      <c r="E492" s="7"/>
    </row>
    <row r="493" spans="2:5" ht="14.25" customHeight="1" x14ac:dyDescent="0.35">
      <c r="B493" s="7"/>
      <c r="C493" s="7"/>
      <c r="D493" s="7"/>
      <c r="E493" s="7"/>
    </row>
    <row r="494" spans="2:5" ht="14.25" customHeight="1" x14ac:dyDescent="0.35">
      <c r="B494" s="7"/>
      <c r="C494" s="7"/>
      <c r="D494" s="7"/>
      <c r="E494" s="7"/>
    </row>
    <row r="495" spans="2:5" ht="14.25" customHeight="1" x14ac:dyDescent="0.35">
      <c r="B495" s="7"/>
      <c r="C495" s="7"/>
      <c r="D495" s="7"/>
      <c r="E495" s="7"/>
    </row>
    <row r="496" spans="2:5" ht="14.25" customHeight="1" x14ac:dyDescent="0.35">
      <c r="B496" s="7"/>
      <c r="C496" s="7"/>
      <c r="D496" s="7"/>
      <c r="E496" s="7"/>
    </row>
    <row r="497" spans="2:5" ht="14.25" customHeight="1" x14ac:dyDescent="0.35">
      <c r="B497" s="7"/>
      <c r="C497" s="7"/>
      <c r="D497" s="7"/>
      <c r="E497" s="7"/>
    </row>
    <row r="498" spans="2:5" ht="14.25" customHeight="1" x14ac:dyDescent="0.35">
      <c r="B498" s="7"/>
      <c r="C498" s="7"/>
      <c r="D498" s="7"/>
      <c r="E498" s="7"/>
    </row>
    <row r="499" spans="2:5" ht="14.25" customHeight="1" x14ac:dyDescent="0.35">
      <c r="B499" s="7"/>
      <c r="C499" s="7"/>
      <c r="D499" s="7"/>
      <c r="E499" s="7"/>
    </row>
    <row r="500" spans="2:5" ht="14.25" customHeight="1" x14ac:dyDescent="0.35">
      <c r="B500" s="7"/>
      <c r="C500" s="7"/>
      <c r="D500" s="7"/>
      <c r="E500" s="7"/>
    </row>
    <row r="501" spans="2:5" ht="14.25" customHeight="1" x14ac:dyDescent="0.35">
      <c r="B501" s="7"/>
      <c r="C501" s="7"/>
      <c r="D501" s="7"/>
      <c r="E501" s="7"/>
    </row>
    <row r="502" spans="2:5" ht="14.25" customHeight="1" x14ac:dyDescent="0.35">
      <c r="B502" s="7"/>
      <c r="C502" s="7"/>
      <c r="D502" s="7"/>
      <c r="E502" s="7"/>
    </row>
    <row r="503" spans="2:5" ht="14.25" customHeight="1" x14ac:dyDescent="0.35">
      <c r="B503" s="7"/>
      <c r="C503" s="7"/>
      <c r="D503" s="7"/>
      <c r="E503" s="7"/>
    </row>
    <row r="504" spans="2:5" ht="14.25" customHeight="1" x14ac:dyDescent="0.35">
      <c r="B504" s="7"/>
      <c r="C504" s="7"/>
      <c r="D504" s="7"/>
      <c r="E504" s="7"/>
    </row>
    <row r="505" spans="2:5" ht="14.25" customHeight="1" x14ac:dyDescent="0.35">
      <c r="B505" s="7"/>
      <c r="C505" s="7"/>
      <c r="D505" s="7"/>
      <c r="E505" s="7"/>
    </row>
    <row r="506" spans="2:5" ht="14.25" customHeight="1" x14ac:dyDescent="0.35">
      <c r="B506" s="7"/>
      <c r="C506" s="7"/>
      <c r="D506" s="7"/>
      <c r="E506" s="7"/>
    </row>
    <row r="507" spans="2:5" ht="14.25" customHeight="1" x14ac:dyDescent="0.35">
      <c r="B507" s="7"/>
      <c r="C507" s="7"/>
      <c r="D507" s="7"/>
      <c r="E507" s="7"/>
    </row>
    <row r="508" spans="2:5" ht="14.25" customHeight="1" x14ac:dyDescent="0.35">
      <c r="B508" s="7"/>
      <c r="C508" s="7"/>
      <c r="D508" s="7"/>
      <c r="E508" s="7"/>
    </row>
    <row r="509" spans="2:5" ht="14.25" customHeight="1" x14ac:dyDescent="0.35">
      <c r="B509" s="7"/>
      <c r="C509" s="7"/>
      <c r="D509" s="7"/>
      <c r="E509" s="7"/>
    </row>
    <row r="510" spans="2:5" ht="14.25" customHeight="1" x14ac:dyDescent="0.35">
      <c r="B510" s="7"/>
      <c r="C510" s="7"/>
      <c r="D510" s="7"/>
      <c r="E510" s="7"/>
    </row>
    <row r="511" spans="2:5" ht="14.25" customHeight="1" x14ac:dyDescent="0.35">
      <c r="B511" s="7"/>
      <c r="C511" s="7"/>
      <c r="D511" s="7"/>
      <c r="E511" s="7"/>
    </row>
    <row r="512" spans="2:5" ht="14.25" customHeight="1" x14ac:dyDescent="0.35">
      <c r="B512" s="7"/>
      <c r="C512" s="7"/>
      <c r="D512" s="7"/>
      <c r="E512" s="7"/>
    </row>
    <row r="513" spans="2:5" ht="14.25" customHeight="1" x14ac:dyDescent="0.35">
      <c r="B513" s="7"/>
      <c r="C513" s="7"/>
      <c r="D513" s="7"/>
      <c r="E513" s="7"/>
    </row>
    <row r="514" spans="2:5" ht="14.25" customHeight="1" x14ac:dyDescent="0.35">
      <c r="B514" s="7"/>
      <c r="C514" s="7"/>
      <c r="D514" s="7"/>
      <c r="E514" s="7"/>
    </row>
    <row r="515" spans="2:5" ht="14.25" customHeight="1" x14ac:dyDescent="0.35">
      <c r="B515" s="7"/>
      <c r="C515" s="7"/>
      <c r="D515" s="7"/>
      <c r="E515" s="7"/>
    </row>
    <row r="516" spans="2:5" ht="14.25" customHeight="1" x14ac:dyDescent="0.35">
      <c r="B516" s="7"/>
      <c r="C516" s="7"/>
      <c r="D516" s="7"/>
      <c r="E516" s="7"/>
    </row>
    <row r="517" spans="2:5" ht="14.25" customHeight="1" x14ac:dyDescent="0.35">
      <c r="B517" s="7"/>
      <c r="C517" s="7"/>
      <c r="D517" s="7"/>
      <c r="E517" s="7"/>
    </row>
    <row r="518" spans="2:5" ht="14.25" customHeight="1" x14ac:dyDescent="0.35">
      <c r="B518" s="7"/>
      <c r="C518" s="7"/>
      <c r="D518" s="7"/>
      <c r="E518" s="7"/>
    </row>
    <row r="519" spans="2:5" ht="14.25" customHeight="1" x14ac:dyDescent="0.35">
      <c r="B519" s="7"/>
      <c r="C519" s="7"/>
      <c r="D519" s="7"/>
      <c r="E519" s="7"/>
    </row>
    <row r="520" spans="2:5" ht="14.25" customHeight="1" x14ac:dyDescent="0.35">
      <c r="B520" s="7"/>
      <c r="C520" s="7"/>
      <c r="D520" s="7"/>
      <c r="E520" s="7"/>
    </row>
    <row r="521" spans="2:5" ht="14.25" customHeight="1" x14ac:dyDescent="0.35">
      <c r="B521" s="7"/>
      <c r="C521" s="7"/>
      <c r="D521" s="7"/>
      <c r="E521" s="7"/>
    </row>
    <row r="522" spans="2:5" ht="14.25" customHeight="1" x14ac:dyDescent="0.35">
      <c r="B522" s="7"/>
      <c r="C522" s="7"/>
      <c r="D522" s="7"/>
      <c r="E522" s="7"/>
    </row>
    <row r="523" spans="2:5" ht="14.25" customHeight="1" x14ac:dyDescent="0.35">
      <c r="B523" s="7"/>
      <c r="C523" s="7"/>
      <c r="D523" s="7"/>
      <c r="E523" s="7"/>
    </row>
    <row r="524" spans="2:5" ht="14.25" customHeight="1" x14ac:dyDescent="0.35">
      <c r="B524" s="7"/>
      <c r="C524" s="7"/>
      <c r="D524" s="7"/>
      <c r="E524" s="7"/>
    </row>
    <row r="525" spans="2:5" ht="14.25" customHeight="1" x14ac:dyDescent="0.35">
      <c r="B525" s="7"/>
      <c r="C525" s="7"/>
      <c r="D525" s="7"/>
      <c r="E525" s="7"/>
    </row>
    <row r="526" spans="2:5" ht="14.25" customHeight="1" x14ac:dyDescent="0.35">
      <c r="B526" s="7"/>
      <c r="C526" s="7"/>
      <c r="D526" s="7"/>
      <c r="E526" s="7"/>
    </row>
    <row r="527" spans="2:5" ht="14.25" customHeight="1" x14ac:dyDescent="0.35">
      <c r="B527" s="7"/>
      <c r="C527" s="7"/>
      <c r="D527" s="7"/>
      <c r="E527" s="7"/>
    </row>
    <row r="528" spans="2:5" ht="14.25" customHeight="1" x14ac:dyDescent="0.35">
      <c r="B528" s="7"/>
      <c r="C528" s="7"/>
      <c r="D528" s="7"/>
      <c r="E528" s="7"/>
    </row>
    <row r="529" spans="2:5" ht="14.25" customHeight="1" x14ac:dyDescent="0.35">
      <c r="B529" s="7"/>
      <c r="C529" s="7"/>
      <c r="D529" s="7"/>
      <c r="E529" s="7"/>
    </row>
    <row r="530" spans="2:5" ht="14.25" customHeight="1" x14ac:dyDescent="0.35">
      <c r="B530" s="7"/>
      <c r="C530" s="7"/>
      <c r="D530" s="7"/>
      <c r="E530" s="7"/>
    </row>
    <row r="531" spans="2:5" ht="14.25" customHeight="1" x14ac:dyDescent="0.35">
      <c r="B531" s="7"/>
      <c r="C531" s="7"/>
      <c r="D531" s="7"/>
      <c r="E531" s="7"/>
    </row>
    <row r="532" spans="2:5" ht="14.25" customHeight="1" x14ac:dyDescent="0.35">
      <c r="B532" s="7"/>
      <c r="C532" s="7"/>
      <c r="D532" s="7"/>
      <c r="E532" s="7"/>
    </row>
    <row r="533" spans="2:5" ht="14.25" customHeight="1" x14ac:dyDescent="0.35">
      <c r="B533" s="7"/>
      <c r="C533" s="7"/>
      <c r="D533" s="7"/>
      <c r="E533" s="7"/>
    </row>
    <row r="534" spans="2:5" ht="14.25" customHeight="1" x14ac:dyDescent="0.35">
      <c r="B534" s="7"/>
      <c r="C534" s="7"/>
      <c r="D534" s="7"/>
      <c r="E534" s="7"/>
    </row>
    <row r="535" spans="2:5" ht="14.25" customHeight="1" x14ac:dyDescent="0.35">
      <c r="B535" s="7"/>
      <c r="C535" s="7"/>
      <c r="D535" s="7"/>
      <c r="E535" s="7"/>
    </row>
    <row r="536" spans="2:5" ht="14.25" customHeight="1" x14ac:dyDescent="0.35">
      <c r="B536" s="7"/>
      <c r="C536" s="7"/>
      <c r="D536" s="7"/>
      <c r="E536" s="7"/>
    </row>
    <row r="537" spans="2:5" ht="14.25" customHeight="1" x14ac:dyDescent="0.35">
      <c r="B537" s="7"/>
      <c r="C537" s="7"/>
      <c r="D537" s="7"/>
      <c r="E537" s="7"/>
    </row>
    <row r="538" spans="2:5" ht="14.25" customHeight="1" x14ac:dyDescent="0.35">
      <c r="B538" s="7"/>
      <c r="C538" s="7"/>
      <c r="D538" s="7"/>
      <c r="E538" s="7"/>
    </row>
    <row r="539" spans="2:5" ht="14.25" customHeight="1" x14ac:dyDescent="0.35">
      <c r="B539" s="7"/>
      <c r="C539" s="7"/>
      <c r="D539" s="7"/>
      <c r="E539" s="7"/>
    </row>
    <row r="540" spans="2:5" ht="14.25" customHeight="1" x14ac:dyDescent="0.35">
      <c r="B540" s="7"/>
      <c r="C540" s="7"/>
      <c r="D540" s="7"/>
      <c r="E540" s="7"/>
    </row>
    <row r="541" spans="2:5" ht="14.25" customHeight="1" x14ac:dyDescent="0.35">
      <c r="B541" s="7"/>
      <c r="C541" s="7"/>
      <c r="D541" s="7"/>
      <c r="E541" s="7"/>
    </row>
    <row r="542" spans="2:5" ht="14.25" customHeight="1" x14ac:dyDescent="0.35">
      <c r="B542" s="7"/>
      <c r="C542" s="7"/>
      <c r="D542" s="7"/>
      <c r="E542" s="7"/>
    </row>
    <row r="543" spans="2:5" ht="14.25" customHeight="1" x14ac:dyDescent="0.35">
      <c r="B543" s="7"/>
      <c r="C543" s="7"/>
      <c r="D543" s="7"/>
      <c r="E543" s="7"/>
    </row>
    <row r="544" spans="2:5" ht="14.25" customHeight="1" x14ac:dyDescent="0.35">
      <c r="B544" s="7"/>
      <c r="C544" s="7"/>
      <c r="D544" s="7"/>
      <c r="E544" s="7"/>
    </row>
    <row r="545" spans="2:5" ht="14.25" customHeight="1" x14ac:dyDescent="0.35">
      <c r="B545" s="7"/>
      <c r="C545" s="7"/>
      <c r="D545" s="7"/>
      <c r="E545" s="7"/>
    </row>
    <row r="546" spans="2:5" ht="14.25" customHeight="1" x14ac:dyDescent="0.35">
      <c r="B546" s="7"/>
      <c r="C546" s="7"/>
      <c r="D546" s="7"/>
      <c r="E546" s="7"/>
    </row>
    <row r="547" spans="2:5" ht="14.25" customHeight="1" x14ac:dyDescent="0.35">
      <c r="B547" s="7"/>
      <c r="C547" s="7"/>
      <c r="D547" s="7"/>
      <c r="E547" s="7"/>
    </row>
    <row r="548" spans="2:5" ht="14.25" customHeight="1" x14ac:dyDescent="0.35">
      <c r="B548" s="7"/>
      <c r="C548" s="7"/>
      <c r="D548" s="7"/>
      <c r="E548" s="7"/>
    </row>
    <row r="549" spans="2:5" ht="14.25" customHeight="1" x14ac:dyDescent="0.35">
      <c r="B549" s="7"/>
      <c r="C549" s="7"/>
      <c r="D549" s="7"/>
      <c r="E549" s="7"/>
    </row>
    <row r="550" spans="2:5" ht="14.25" customHeight="1" x14ac:dyDescent="0.35">
      <c r="B550" s="7"/>
      <c r="C550" s="7"/>
      <c r="D550" s="7"/>
      <c r="E550" s="7"/>
    </row>
    <row r="551" spans="2:5" ht="14.25" customHeight="1" x14ac:dyDescent="0.35">
      <c r="B551" s="7"/>
      <c r="C551" s="7"/>
      <c r="D551" s="7"/>
      <c r="E551" s="7"/>
    </row>
    <row r="552" spans="2:5" ht="14.25" customHeight="1" x14ac:dyDescent="0.35">
      <c r="B552" s="7"/>
      <c r="C552" s="7"/>
      <c r="D552" s="7"/>
      <c r="E552" s="7"/>
    </row>
    <row r="553" spans="2:5" ht="14.25" customHeight="1" x14ac:dyDescent="0.35">
      <c r="B553" s="7"/>
      <c r="C553" s="7"/>
      <c r="D553" s="7"/>
      <c r="E553" s="7"/>
    </row>
    <row r="554" spans="2:5" ht="14.25" customHeight="1" x14ac:dyDescent="0.35">
      <c r="B554" s="7"/>
      <c r="C554" s="7"/>
      <c r="D554" s="7"/>
      <c r="E554" s="7"/>
    </row>
    <row r="555" spans="2:5" ht="14.25" customHeight="1" x14ac:dyDescent="0.35">
      <c r="B555" s="7"/>
      <c r="C555" s="7"/>
      <c r="D555" s="7"/>
      <c r="E555" s="7"/>
    </row>
    <row r="556" spans="2:5" ht="14.25" customHeight="1" x14ac:dyDescent="0.35">
      <c r="B556" s="7"/>
      <c r="C556" s="7"/>
      <c r="D556" s="7"/>
      <c r="E556" s="7"/>
    </row>
    <row r="557" spans="2:5" ht="14.25" customHeight="1" x14ac:dyDescent="0.35">
      <c r="B557" s="7"/>
      <c r="C557" s="7"/>
      <c r="D557" s="7"/>
      <c r="E557" s="7"/>
    </row>
    <row r="558" spans="2:5" ht="14.25" customHeight="1" x14ac:dyDescent="0.35">
      <c r="B558" s="7"/>
      <c r="C558" s="7"/>
      <c r="D558" s="7"/>
      <c r="E558" s="7"/>
    </row>
    <row r="559" spans="2:5" ht="14.25" customHeight="1" x14ac:dyDescent="0.35">
      <c r="B559" s="7"/>
      <c r="C559" s="7"/>
      <c r="D559" s="7"/>
      <c r="E559" s="7"/>
    </row>
    <row r="560" spans="2:5" ht="14.25" customHeight="1" x14ac:dyDescent="0.35">
      <c r="B560" s="7"/>
      <c r="C560" s="7"/>
      <c r="D560" s="7"/>
      <c r="E560" s="7"/>
    </row>
    <row r="561" spans="2:5" ht="14.25" customHeight="1" x14ac:dyDescent="0.35">
      <c r="B561" s="7"/>
      <c r="C561" s="7"/>
      <c r="D561" s="7"/>
      <c r="E561" s="7"/>
    </row>
    <row r="562" spans="2:5" ht="14.25" customHeight="1" x14ac:dyDescent="0.35">
      <c r="B562" s="7"/>
      <c r="C562" s="7"/>
      <c r="D562" s="7"/>
      <c r="E562" s="7"/>
    </row>
    <row r="563" spans="2:5" ht="14.25" customHeight="1" x14ac:dyDescent="0.35">
      <c r="B563" s="7"/>
      <c r="C563" s="7"/>
      <c r="D563" s="7"/>
      <c r="E563" s="7"/>
    </row>
    <row r="564" spans="2:5" ht="14.25" customHeight="1" x14ac:dyDescent="0.35">
      <c r="B564" s="7"/>
      <c r="C564" s="7"/>
      <c r="D564" s="7"/>
      <c r="E564" s="7"/>
    </row>
    <row r="565" spans="2:5" ht="14.25" customHeight="1" x14ac:dyDescent="0.35">
      <c r="B565" s="7"/>
      <c r="C565" s="7"/>
      <c r="D565" s="7"/>
      <c r="E565" s="7"/>
    </row>
    <row r="566" spans="2:5" ht="14.25" customHeight="1" x14ac:dyDescent="0.35">
      <c r="B566" s="7"/>
      <c r="C566" s="7"/>
      <c r="D566" s="7"/>
      <c r="E566" s="7"/>
    </row>
    <row r="567" spans="2:5" ht="14.25" customHeight="1" x14ac:dyDescent="0.35">
      <c r="B567" s="7"/>
      <c r="C567" s="7"/>
      <c r="D567" s="7"/>
      <c r="E567" s="7"/>
    </row>
    <row r="568" spans="2:5" ht="14.25" customHeight="1" x14ac:dyDescent="0.35">
      <c r="B568" s="7"/>
      <c r="C568" s="7"/>
      <c r="D568" s="7"/>
      <c r="E568" s="7"/>
    </row>
    <row r="569" spans="2:5" ht="14.25" customHeight="1" x14ac:dyDescent="0.35">
      <c r="B569" s="7"/>
      <c r="C569" s="7"/>
      <c r="D569" s="7"/>
      <c r="E569" s="7"/>
    </row>
    <row r="570" spans="2:5" ht="14.25" customHeight="1" x14ac:dyDescent="0.35">
      <c r="B570" s="7"/>
      <c r="C570" s="7"/>
      <c r="D570" s="7"/>
      <c r="E570" s="7"/>
    </row>
    <row r="571" spans="2:5" ht="14.25" customHeight="1" x14ac:dyDescent="0.35">
      <c r="B571" s="7"/>
      <c r="C571" s="7"/>
      <c r="D571" s="7"/>
      <c r="E571" s="7"/>
    </row>
    <row r="572" spans="2:5" ht="14.25" customHeight="1" x14ac:dyDescent="0.35">
      <c r="B572" s="7"/>
      <c r="C572" s="7"/>
      <c r="D572" s="7"/>
      <c r="E572" s="7"/>
    </row>
    <row r="573" spans="2:5" ht="14.25" customHeight="1" x14ac:dyDescent="0.35">
      <c r="B573" s="7"/>
      <c r="C573" s="7"/>
      <c r="D573" s="7"/>
      <c r="E573" s="7"/>
    </row>
    <row r="574" spans="2:5" ht="14.25" customHeight="1" x14ac:dyDescent="0.35">
      <c r="B574" s="7"/>
      <c r="C574" s="7"/>
      <c r="D574" s="7"/>
      <c r="E574" s="7"/>
    </row>
    <row r="575" spans="2:5" ht="14.25" customHeight="1" x14ac:dyDescent="0.35">
      <c r="B575" s="7"/>
      <c r="C575" s="7"/>
      <c r="D575" s="7"/>
      <c r="E575" s="7"/>
    </row>
    <row r="576" spans="2:5" ht="14.25" customHeight="1" x14ac:dyDescent="0.35">
      <c r="B576" s="7"/>
      <c r="C576" s="7"/>
      <c r="D576" s="7"/>
      <c r="E576" s="7"/>
    </row>
    <row r="577" spans="2:5" ht="14.25" customHeight="1" x14ac:dyDescent="0.35">
      <c r="B577" s="7"/>
      <c r="C577" s="7"/>
      <c r="D577" s="7"/>
      <c r="E577" s="7"/>
    </row>
    <row r="578" spans="2:5" ht="14.25" customHeight="1" x14ac:dyDescent="0.35">
      <c r="B578" s="7"/>
      <c r="C578" s="7"/>
      <c r="D578" s="7"/>
      <c r="E578" s="7"/>
    </row>
    <row r="579" spans="2:5" ht="14.25" customHeight="1" x14ac:dyDescent="0.35">
      <c r="B579" s="7"/>
      <c r="C579" s="7"/>
      <c r="D579" s="7"/>
      <c r="E579" s="7"/>
    </row>
    <row r="580" spans="2:5" ht="14.25" customHeight="1" x14ac:dyDescent="0.35">
      <c r="B580" s="7"/>
      <c r="C580" s="7"/>
      <c r="D580" s="7"/>
      <c r="E580" s="7"/>
    </row>
    <row r="581" spans="2:5" ht="14.25" customHeight="1" x14ac:dyDescent="0.35">
      <c r="B581" s="7"/>
      <c r="C581" s="7"/>
      <c r="D581" s="7"/>
      <c r="E581" s="7"/>
    </row>
    <row r="582" spans="2:5" ht="14.25" customHeight="1" x14ac:dyDescent="0.35">
      <c r="B582" s="7"/>
      <c r="C582" s="7"/>
      <c r="D582" s="7"/>
      <c r="E582" s="7"/>
    </row>
    <row r="583" spans="2:5" ht="14.25" customHeight="1" x14ac:dyDescent="0.35">
      <c r="B583" s="7"/>
      <c r="C583" s="7"/>
      <c r="D583" s="7"/>
      <c r="E583" s="7"/>
    </row>
    <row r="584" spans="2:5" ht="14.25" customHeight="1" x14ac:dyDescent="0.35">
      <c r="B584" s="7"/>
      <c r="C584" s="7"/>
      <c r="D584" s="7"/>
      <c r="E584" s="7"/>
    </row>
    <row r="585" spans="2:5" ht="14.25" customHeight="1" x14ac:dyDescent="0.35">
      <c r="B585" s="7"/>
      <c r="C585" s="7"/>
      <c r="D585" s="7"/>
      <c r="E585" s="7"/>
    </row>
    <row r="586" spans="2:5" ht="14.25" customHeight="1" x14ac:dyDescent="0.35">
      <c r="B586" s="7"/>
      <c r="C586" s="7"/>
      <c r="D586" s="7"/>
      <c r="E586" s="7"/>
    </row>
    <row r="587" spans="2:5" ht="14.25" customHeight="1" x14ac:dyDescent="0.35">
      <c r="B587" s="7"/>
      <c r="C587" s="7"/>
      <c r="D587" s="7"/>
      <c r="E587" s="7"/>
    </row>
    <row r="588" spans="2:5" ht="14.25" customHeight="1" x14ac:dyDescent="0.35">
      <c r="B588" s="7"/>
      <c r="C588" s="7"/>
      <c r="D588" s="7"/>
      <c r="E588" s="7"/>
    </row>
    <row r="589" spans="2:5" ht="14.25" customHeight="1" x14ac:dyDescent="0.35">
      <c r="B589" s="7"/>
      <c r="C589" s="7"/>
      <c r="D589" s="7"/>
      <c r="E589" s="7"/>
    </row>
    <row r="590" spans="2:5" ht="14.25" customHeight="1" x14ac:dyDescent="0.35">
      <c r="B590" s="7"/>
      <c r="C590" s="7"/>
      <c r="D590" s="7"/>
      <c r="E590" s="7"/>
    </row>
    <row r="591" spans="2:5" ht="14.25" customHeight="1" x14ac:dyDescent="0.35">
      <c r="B591" s="7"/>
      <c r="C591" s="7"/>
      <c r="D591" s="7"/>
      <c r="E591" s="7"/>
    </row>
    <row r="592" spans="2:5" ht="14.25" customHeight="1" x14ac:dyDescent="0.35">
      <c r="B592" s="7"/>
      <c r="C592" s="7"/>
      <c r="D592" s="7"/>
      <c r="E592" s="7"/>
    </row>
    <row r="593" spans="2:5" ht="14.25" customHeight="1" x14ac:dyDescent="0.35">
      <c r="B593" s="7"/>
      <c r="C593" s="7"/>
      <c r="D593" s="7"/>
      <c r="E593" s="7"/>
    </row>
    <row r="594" spans="2:5" ht="14.25" customHeight="1" x14ac:dyDescent="0.35">
      <c r="B594" s="7"/>
      <c r="C594" s="7"/>
      <c r="D594" s="7"/>
      <c r="E594" s="7"/>
    </row>
    <row r="595" spans="2:5" ht="14.25" customHeight="1" x14ac:dyDescent="0.35">
      <c r="B595" s="7"/>
      <c r="C595" s="7"/>
      <c r="D595" s="7"/>
      <c r="E595" s="7"/>
    </row>
    <row r="596" spans="2:5" ht="14.25" customHeight="1" x14ac:dyDescent="0.35">
      <c r="B596" s="7"/>
      <c r="C596" s="7"/>
      <c r="D596" s="7"/>
      <c r="E596" s="7"/>
    </row>
    <row r="597" spans="2:5" ht="14.25" customHeight="1" x14ac:dyDescent="0.35">
      <c r="B597" s="7"/>
      <c r="C597" s="7"/>
      <c r="D597" s="7"/>
      <c r="E597" s="7"/>
    </row>
    <row r="598" spans="2:5" ht="14.25" customHeight="1" x14ac:dyDescent="0.35">
      <c r="B598" s="7"/>
      <c r="C598" s="7"/>
      <c r="D598" s="7"/>
      <c r="E598" s="7"/>
    </row>
    <row r="599" spans="2:5" ht="14.25" customHeight="1" x14ac:dyDescent="0.35">
      <c r="B599" s="7"/>
      <c r="C599" s="7"/>
      <c r="D599" s="7"/>
      <c r="E599" s="7"/>
    </row>
    <row r="600" spans="2:5" ht="14.25" customHeight="1" x14ac:dyDescent="0.35">
      <c r="B600" s="7"/>
      <c r="C600" s="7"/>
      <c r="D600" s="7"/>
      <c r="E600" s="7"/>
    </row>
    <row r="601" spans="2:5" ht="14.25" customHeight="1" x14ac:dyDescent="0.35">
      <c r="B601" s="7"/>
      <c r="C601" s="7"/>
      <c r="D601" s="7"/>
      <c r="E601" s="7"/>
    </row>
    <row r="602" spans="2:5" ht="14.25" customHeight="1" x14ac:dyDescent="0.35">
      <c r="B602" s="7"/>
      <c r="C602" s="7"/>
      <c r="D602" s="7"/>
      <c r="E602" s="7"/>
    </row>
    <row r="603" spans="2:5" ht="14.25" customHeight="1" x14ac:dyDescent="0.35">
      <c r="B603" s="7"/>
      <c r="C603" s="7"/>
      <c r="D603" s="7"/>
      <c r="E603" s="7"/>
    </row>
    <row r="604" spans="2:5" ht="14.25" customHeight="1" x14ac:dyDescent="0.35">
      <c r="B604" s="7"/>
      <c r="C604" s="7"/>
      <c r="D604" s="7"/>
      <c r="E604" s="7"/>
    </row>
    <row r="605" spans="2:5" ht="14.25" customHeight="1" x14ac:dyDescent="0.35">
      <c r="B605" s="7"/>
      <c r="C605" s="7"/>
      <c r="D605" s="7"/>
      <c r="E605" s="7"/>
    </row>
    <row r="606" spans="2:5" ht="14.25" customHeight="1" x14ac:dyDescent="0.35">
      <c r="B606" s="7"/>
      <c r="C606" s="7"/>
      <c r="D606" s="7"/>
      <c r="E606" s="7"/>
    </row>
    <row r="607" spans="2:5" ht="14.25" customHeight="1" x14ac:dyDescent="0.35">
      <c r="B607" s="7"/>
      <c r="C607" s="7"/>
      <c r="D607" s="7"/>
      <c r="E607" s="7"/>
    </row>
    <row r="608" spans="2:5" ht="14.25" customHeight="1" x14ac:dyDescent="0.35">
      <c r="B608" s="7"/>
      <c r="C608" s="7"/>
      <c r="D608" s="7"/>
      <c r="E608" s="7"/>
    </row>
    <row r="609" spans="2:5" ht="14.25" customHeight="1" x14ac:dyDescent="0.35">
      <c r="B609" s="7"/>
      <c r="C609" s="7"/>
      <c r="D609" s="7"/>
      <c r="E609" s="7"/>
    </row>
    <row r="610" spans="2:5" ht="14.25" customHeight="1" x14ac:dyDescent="0.35">
      <c r="B610" s="7"/>
      <c r="C610" s="7"/>
      <c r="D610" s="7"/>
      <c r="E610" s="7"/>
    </row>
    <row r="611" spans="2:5" ht="14.25" customHeight="1" x14ac:dyDescent="0.35">
      <c r="B611" s="7"/>
      <c r="C611" s="7"/>
      <c r="D611" s="7"/>
      <c r="E611" s="7"/>
    </row>
    <row r="612" spans="2:5" ht="14.25" customHeight="1" x14ac:dyDescent="0.35">
      <c r="B612" s="7"/>
      <c r="C612" s="7"/>
      <c r="D612" s="7"/>
      <c r="E612" s="7"/>
    </row>
    <row r="613" spans="2:5" ht="14.25" customHeight="1" x14ac:dyDescent="0.35">
      <c r="B613" s="7"/>
      <c r="C613" s="7"/>
      <c r="D613" s="7"/>
      <c r="E613" s="7"/>
    </row>
    <row r="614" spans="2:5" ht="14.25" customHeight="1" x14ac:dyDescent="0.35">
      <c r="B614" s="7"/>
      <c r="C614" s="7"/>
      <c r="D614" s="7"/>
      <c r="E614" s="7"/>
    </row>
    <row r="615" spans="2:5" ht="14.25" customHeight="1" x14ac:dyDescent="0.35">
      <c r="B615" s="7"/>
      <c r="C615" s="7"/>
      <c r="D615" s="7"/>
      <c r="E615" s="7"/>
    </row>
    <row r="616" spans="2:5" ht="14.25" customHeight="1" x14ac:dyDescent="0.35">
      <c r="B616" s="7"/>
      <c r="C616" s="7"/>
      <c r="D616" s="7"/>
      <c r="E616" s="7"/>
    </row>
    <row r="617" spans="2:5" ht="14.25" customHeight="1" x14ac:dyDescent="0.35">
      <c r="B617" s="7"/>
      <c r="C617" s="7"/>
      <c r="D617" s="7"/>
      <c r="E617" s="7"/>
    </row>
    <row r="618" spans="2:5" ht="14.25" customHeight="1" x14ac:dyDescent="0.35">
      <c r="B618" s="7"/>
      <c r="C618" s="7"/>
      <c r="D618" s="7"/>
      <c r="E618" s="7"/>
    </row>
    <row r="619" spans="2:5" ht="14.25" customHeight="1" x14ac:dyDescent="0.35">
      <c r="B619" s="7"/>
      <c r="C619" s="7"/>
      <c r="D619" s="7"/>
      <c r="E619" s="7"/>
    </row>
    <row r="620" spans="2:5" ht="14.25" customHeight="1" x14ac:dyDescent="0.35">
      <c r="B620" s="7"/>
      <c r="C620" s="7"/>
      <c r="D620" s="7"/>
      <c r="E620" s="7"/>
    </row>
    <row r="621" spans="2:5" ht="14.25" customHeight="1" x14ac:dyDescent="0.35">
      <c r="B621" s="7"/>
      <c r="C621" s="7"/>
      <c r="D621" s="7"/>
      <c r="E621" s="7"/>
    </row>
    <row r="622" spans="2:5" ht="14.25" customHeight="1" x14ac:dyDescent="0.35">
      <c r="B622" s="7"/>
      <c r="C622" s="7"/>
      <c r="D622" s="7"/>
      <c r="E622" s="7"/>
    </row>
    <row r="623" spans="2:5" ht="14.25" customHeight="1" x14ac:dyDescent="0.35">
      <c r="B623" s="7"/>
      <c r="C623" s="7"/>
      <c r="D623" s="7"/>
      <c r="E623" s="7"/>
    </row>
    <row r="624" spans="2:5" ht="14.25" customHeight="1" x14ac:dyDescent="0.35">
      <c r="B624" s="7"/>
      <c r="C624" s="7"/>
      <c r="D624" s="7"/>
      <c r="E624" s="7"/>
    </row>
    <row r="625" spans="2:5" ht="14.25" customHeight="1" x14ac:dyDescent="0.35">
      <c r="B625" s="7"/>
      <c r="C625" s="7"/>
      <c r="D625" s="7"/>
      <c r="E625" s="7"/>
    </row>
    <row r="626" spans="2:5" ht="14.25" customHeight="1" x14ac:dyDescent="0.35">
      <c r="B626" s="7"/>
      <c r="C626" s="7"/>
      <c r="D626" s="7"/>
      <c r="E626" s="7"/>
    </row>
    <row r="627" spans="2:5" ht="14.25" customHeight="1" x14ac:dyDescent="0.35">
      <c r="B627" s="7"/>
      <c r="C627" s="7"/>
      <c r="D627" s="7"/>
      <c r="E627" s="7"/>
    </row>
    <row r="628" spans="2:5" ht="14.25" customHeight="1" x14ac:dyDescent="0.35">
      <c r="B628" s="7"/>
      <c r="C628" s="7"/>
      <c r="D628" s="7"/>
      <c r="E628" s="7"/>
    </row>
    <row r="629" spans="2:5" ht="14.25" customHeight="1" x14ac:dyDescent="0.35">
      <c r="B629" s="7"/>
      <c r="C629" s="7"/>
      <c r="D629" s="7"/>
      <c r="E629" s="7"/>
    </row>
    <row r="630" spans="2:5" ht="14.25" customHeight="1" x14ac:dyDescent="0.35">
      <c r="B630" s="7"/>
      <c r="C630" s="7"/>
      <c r="D630" s="7"/>
      <c r="E630" s="7"/>
    </row>
    <row r="631" spans="2:5" ht="14.25" customHeight="1" x14ac:dyDescent="0.35">
      <c r="B631" s="7"/>
      <c r="C631" s="7"/>
      <c r="D631" s="7"/>
      <c r="E631" s="7"/>
    </row>
    <row r="632" spans="2:5" ht="14.25" customHeight="1" x14ac:dyDescent="0.35">
      <c r="B632" s="7"/>
      <c r="C632" s="7"/>
      <c r="D632" s="7"/>
      <c r="E632" s="7"/>
    </row>
    <row r="633" spans="2:5" ht="14.25" customHeight="1" x14ac:dyDescent="0.35">
      <c r="B633" s="7"/>
      <c r="C633" s="7"/>
      <c r="D633" s="7"/>
      <c r="E633" s="7"/>
    </row>
    <row r="634" spans="2:5" ht="14.25" customHeight="1" x14ac:dyDescent="0.35">
      <c r="B634" s="7"/>
      <c r="C634" s="7"/>
      <c r="D634" s="7"/>
      <c r="E634" s="7"/>
    </row>
    <row r="635" spans="2:5" ht="14.25" customHeight="1" x14ac:dyDescent="0.35">
      <c r="B635" s="7"/>
      <c r="C635" s="7"/>
      <c r="D635" s="7"/>
      <c r="E635" s="7"/>
    </row>
    <row r="636" spans="2:5" ht="14.25" customHeight="1" x14ac:dyDescent="0.35">
      <c r="B636" s="7"/>
      <c r="C636" s="7"/>
      <c r="D636" s="7"/>
      <c r="E636" s="7"/>
    </row>
    <row r="637" spans="2:5" ht="14.25" customHeight="1" x14ac:dyDescent="0.35">
      <c r="B637" s="7"/>
      <c r="C637" s="7"/>
      <c r="D637" s="7"/>
      <c r="E637" s="7"/>
    </row>
    <row r="638" spans="2:5" ht="14.25" customHeight="1" x14ac:dyDescent="0.35">
      <c r="B638" s="7"/>
      <c r="C638" s="7"/>
      <c r="D638" s="7"/>
      <c r="E638" s="7"/>
    </row>
    <row r="639" spans="2:5" ht="14.25" customHeight="1" x14ac:dyDescent="0.35">
      <c r="B639" s="7"/>
      <c r="C639" s="7"/>
      <c r="D639" s="7"/>
      <c r="E639" s="7"/>
    </row>
    <row r="640" spans="2:5" ht="14.25" customHeight="1" x14ac:dyDescent="0.35">
      <c r="B640" s="7"/>
      <c r="C640" s="7"/>
      <c r="D640" s="7"/>
      <c r="E640" s="7"/>
    </row>
    <row r="641" spans="2:5" ht="14.25" customHeight="1" x14ac:dyDescent="0.35">
      <c r="B641" s="7"/>
      <c r="C641" s="7"/>
      <c r="D641" s="7"/>
      <c r="E641" s="7"/>
    </row>
    <row r="642" spans="2:5" ht="14.25" customHeight="1" x14ac:dyDescent="0.35">
      <c r="B642" s="7"/>
      <c r="C642" s="7"/>
      <c r="D642" s="7"/>
      <c r="E642" s="7"/>
    </row>
    <row r="643" spans="2:5" ht="14.25" customHeight="1" x14ac:dyDescent="0.35">
      <c r="B643" s="7"/>
      <c r="C643" s="7"/>
      <c r="D643" s="7"/>
      <c r="E643" s="7"/>
    </row>
    <row r="644" spans="2:5" ht="14.25" customHeight="1" x14ac:dyDescent="0.35">
      <c r="B644" s="7"/>
      <c r="C644" s="7"/>
      <c r="D644" s="7"/>
      <c r="E644" s="7"/>
    </row>
    <row r="645" spans="2:5" ht="14.25" customHeight="1" x14ac:dyDescent="0.35">
      <c r="B645" s="7"/>
      <c r="C645" s="7"/>
      <c r="D645" s="7"/>
      <c r="E645" s="7"/>
    </row>
    <row r="646" spans="2:5" ht="14.25" customHeight="1" x14ac:dyDescent="0.35">
      <c r="B646" s="7"/>
      <c r="C646" s="7"/>
      <c r="D646" s="7"/>
      <c r="E646" s="7"/>
    </row>
    <row r="647" spans="2:5" ht="14.25" customHeight="1" x14ac:dyDescent="0.35">
      <c r="B647" s="7"/>
      <c r="C647" s="7"/>
      <c r="D647" s="7"/>
      <c r="E647" s="7"/>
    </row>
    <row r="648" spans="2:5" ht="14.25" customHeight="1" x14ac:dyDescent="0.35">
      <c r="B648" s="7"/>
      <c r="C648" s="7"/>
      <c r="D648" s="7"/>
      <c r="E648" s="7"/>
    </row>
    <row r="649" spans="2:5" ht="14.25" customHeight="1" x14ac:dyDescent="0.35">
      <c r="B649" s="7"/>
      <c r="C649" s="7"/>
      <c r="D649" s="7"/>
      <c r="E649" s="7"/>
    </row>
    <row r="650" spans="2:5" ht="14.25" customHeight="1" x14ac:dyDescent="0.35">
      <c r="B650" s="7"/>
      <c r="C650" s="7"/>
      <c r="D650" s="7"/>
      <c r="E650" s="7"/>
    </row>
    <row r="651" spans="2:5" ht="14.25" customHeight="1" x14ac:dyDescent="0.35">
      <c r="B651" s="7"/>
      <c r="C651" s="7"/>
      <c r="D651" s="7"/>
      <c r="E651" s="7"/>
    </row>
    <row r="652" spans="2:5" ht="14.25" customHeight="1" x14ac:dyDescent="0.35">
      <c r="B652" s="7"/>
      <c r="C652" s="7"/>
      <c r="D652" s="7"/>
      <c r="E652" s="7"/>
    </row>
    <row r="653" spans="2:5" ht="14.25" customHeight="1" x14ac:dyDescent="0.35">
      <c r="B653" s="7"/>
      <c r="C653" s="7"/>
      <c r="D653" s="7"/>
      <c r="E653" s="7"/>
    </row>
    <row r="654" spans="2:5" ht="14.25" customHeight="1" x14ac:dyDescent="0.35">
      <c r="B654" s="7"/>
      <c r="C654" s="7"/>
      <c r="D654" s="7"/>
      <c r="E654" s="7"/>
    </row>
    <row r="655" spans="2:5" ht="14.25" customHeight="1" x14ac:dyDescent="0.35">
      <c r="B655" s="7"/>
      <c r="C655" s="7"/>
      <c r="D655" s="7"/>
      <c r="E655" s="7"/>
    </row>
    <row r="656" spans="2:5" ht="14.25" customHeight="1" x14ac:dyDescent="0.35">
      <c r="B656" s="7"/>
      <c r="C656" s="7"/>
      <c r="D656" s="7"/>
      <c r="E656" s="7"/>
    </row>
    <row r="657" spans="2:5" ht="14.25" customHeight="1" x14ac:dyDescent="0.35">
      <c r="B657" s="7"/>
      <c r="C657" s="7"/>
      <c r="D657" s="7"/>
      <c r="E657" s="7"/>
    </row>
    <row r="658" spans="2:5" ht="14.25" customHeight="1" x14ac:dyDescent="0.35">
      <c r="B658" s="7"/>
      <c r="C658" s="7"/>
      <c r="D658" s="7"/>
      <c r="E658" s="7"/>
    </row>
    <row r="659" spans="2:5" ht="14.25" customHeight="1" x14ac:dyDescent="0.35">
      <c r="B659" s="7"/>
      <c r="C659" s="7"/>
      <c r="D659" s="7"/>
      <c r="E659" s="7"/>
    </row>
    <row r="660" spans="2:5" ht="14.25" customHeight="1" x14ac:dyDescent="0.35">
      <c r="B660" s="7"/>
      <c r="C660" s="7"/>
      <c r="D660" s="7"/>
      <c r="E660" s="7"/>
    </row>
    <row r="661" spans="2:5" ht="14.25" customHeight="1" x14ac:dyDescent="0.35">
      <c r="B661" s="7"/>
      <c r="C661" s="7"/>
      <c r="D661" s="7"/>
      <c r="E661" s="7"/>
    </row>
    <row r="662" spans="2:5" ht="14.25" customHeight="1" x14ac:dyDescent="0.35">
      <c r="B662" s="7"/>
      <c r="C662" s="7"/>
      <c r="D662" s="7"/>
      <c r="E662" s="7"/>
    </row>
    <row r="663" spans="2:5" ht="14.25" customHeight="1" x14ac:dyDescent="0.35">
      <c r="B663" s="7"/>
      <c r="C663" s="7"/>
      <c r="D663" s="7"/>
      <c r="E663" s="7"/>
    </row>
    <row r="664" spans="2:5" ht="14.25" customHeight="1" x14ac:dyDescent="0.35">
      <c r="B664" s="7"/>
      <c r="C664" s="7"/>
      <c r="D664" s="7"/>
      <c r="E664" s="7"/>
    </row>
    <row r="665" spans="2:5" ht="14.25" customHeight="1" x14ac:dyDescent="0.35">
      <c r="B665" s="7"/>
      <c r="C665" s="7"/>
      <c r="D665" s="7"/>
      <c r="E665" s="7"/>
    </row>
    <row r="666" spans="2:5" ht="14.25" customHeight="1" x14ac:dyDescent="0.35">
      <c r="B666" s="7"/>
      <c r="C666" s="7"/>
      <c r="D666" s="7"/>
      <c r="E666" s="7"/>
    </row>
    <row r="667" spans="2:5" ht="14.25" customHeight="1" x14ac:dyDescent="0.35">
      <c r="B667" s="7"/>
      <c r="C667" s="7"/>
      <c r="D667" s="7"/>
      <c r="E667" s="7"/>
    </row>
    <row r="668" spans="2:5" ht="14.25" customHeight="1" x14ac:dyDescent="0.35">
      <c r="B668" s="7"/>
      <c r="C668" s="7"/>
      <c r="D668" s="7"/>
      <c r="E668" s="7"/>
    </row>
    <row r="669" spans="2:5" ht="14.25" customHeight="1" x14ac:dyDescent="0.35">
      <c r="B669" s="7"/>
      <c r="C669" s="7"/>
      <c r="D669" s="7"/>
      <c r="E669" s="7"/>
    </row>
    <row r="670" spans="2:5" ht="14.25" customHeight="1" x14ac:dyDescent="0.35">
      <c r="B670" s="7"/>
      <c r="C670" s="7"/>
      <c r="D670" s="7"/>
      <c r="E670" s="7"/>
    </row>
    <row r="671" spans="2:5" ht="14.25" customHeight="1" x14ac:dyDescent="0.35">
      <c r="B671" s="7"/>
      <c r="C671" s="7"/>
      <c r="D671" s="7"/>
      <c r="E671" s="7"/>
    </row>
    <row r="672" spans="2:5" ht="14.25" customHeight="1" x14ac:dyDescent="0.35">
      <c r="B672" s="7"/>
      <c r="C672" s="7"/>
      <c r="D672" s="7"/>
      <c r="E672" s="7"/>
    </row>
    <row r="673" spans="2:5" ht="14.25" customHeight="1" x14ac:dyDescent="0.35">
      <c r="B673" s="7"/>
      <c r="C673" s="7"/>
      <c r="D673" s="7"/>
      <c r="E673" s="7"/>
    </row>
    <row r="674" spans="2:5" ht="14.25" customHeight="1" x14ac:dyDescent="0.35">
      <c r="B674" s="7"/>
      <c r="C674" s="7"/>
      <c r="D674" s="7"/>
      <c r="E674" s="7"/>
    </row>
    <row r="675" spans="2:5" ht="14.25" customHeight="1" x14ac:dyDescent="0.35">
      <c r="B675" s="7"/>
      <c r="C675" s="7"/>
      <c r="D675" s="7"/>
      <c r="E675" s="7"/>
    </row>
    <row r="676" spans="2:5" ht="14.25" customHeight="1" x14ac:dyDescent="0.35">
      <c r="B676" s="7"/>
      <c r="C676" s="7"/>
      <c r="D676" s="7"/>
      <c r="E676" s="7"/>
    </row>
    <row r="677" spans="2:5" ht="14.25" customHeight="1" x14ac:dyDescent="0.35">
      <c r="B677" s="7"/>
      <c r="C677" s="7"/>
      <c r="D677" s="7"/>
      <c r="E677" s="7"/>
    </row>
    <row r="678" spans="2:5" ht="14.25" customHeight="1" x14ac:dyDescent="0.35">
      <c r="B678" s="7"/>
      <c r="C678" s="7"/>
      <c r="D678" s="7"/>
      <c r="E678" s="7"/>
    </row>
    <row r="679" spans="2:5" ht="14.25" customHeight="1" x14ac:dyDescent="0.35">
      <c r="B679" s="7"/>
      <c r="C679" s="7"/>
      <c r="D679" s="7"/>
      <c r="E679" s="7"/>
    </row>
    <row r="680" spans="2:5" ht="14.25" customHeight="1" x14ac:dyDescent="0.35">
      <c r="B680" s="7"/>
      <c r="C680" s="7"/>
      <c r="D680" s="7"/>
      <c r="E680" s="7"/>
    </row>
    <row r="681" spans="2:5" ht="14.25" customHeight="1" x14ac:dyDescent="0.35">
      <c r="B681" s="7"/>
      <c r="C681" s="7"/>
      <c r="D681" s="7"/>
      <c r="E681" s="7"/>
    </row>
    <row r="682" spans="2:5" ht="14.25" customHeight="1" x14ac:dyDescent="0.35">
      <c r="B682" s="7"/>
      <c r="C682" s="7"/>
      <c r="D682" s="7"/>
      <c r="E682" s="7"/>
    </row>
    <row r="683" spans="2:5" ht="14.25" customHeight="1" x14ac:dyDescent="0.35">
      <c r="B683" s="7"/>
      <c r="C683" s="7"/>
      <c r="D683" s="7"/>
      <c r="E683" s="7"/>
    </row>
    <row r="684" spans="2:5" ht="14.25" customHeight="1" x14ac:dyDescent="0.35">
      <c r="B684" s="7"/>
      <c r="C684" s="7"/>
      <c r="D684" s="7"/>
      <c r="E684" s="7"/>
    </row>
    <row r="685" spans="2:5" ht="14.25" customHeight="1" x14ac:dyDescent="0.35">
      <c r="B685" s="7"/>
      <c r="C685" s="7"/>
      <c r="D685" s="7"/>
      <c r="E685" s="7"/>
    </row>
    <row r="686" spans="2:5" ht="14.25" customHeight="1" x14ac:dyDescent="0.35">
      <c r="B686" s="7"/>
      <c r="C686" s="7"/>
      <c r="D686" s="7"/>
      <c r="E686" s="7"/>
    </row>
    <row r="687" spans="2:5" ht="14.25" customHeight="1" x14ac:dyDescent="0.35">
      <c r="B687" s="7"/>
      <c r="C687" s="7"/>
      <c r="D687" s="7"/>
      <c r="E687" s="7"/>
    </row>
    <row r="688" spans="2:5" ht="14.25" customHeight="1" x14ac:dyDescent="0.35">
      <c r="B688" s="7"/>
      <c r="C688" s="7"/>
      <c r="D688" s="7"/>
      <c r="E688" s="7"/>
    </row>
    <row r="689" spans="2:5" ht="14.25" customHeight="1" x14ac:dyDescent="0.35">
      <c r="B689" s="7"/>
      <c r="C689" s="7"/>
      <c r="D689" s="7"/>
      <c r="E689" s="7"/>
    </row>
    <row r="690" spans="2:5" ht="14.25" customHeight="1" x14ac:dyDescent="0.35">
      <c r="B690" s="7"/>
      <c r="C690" s="7"/>
      <c r="D690" s="7"/>
      <c r="E690" s="7"/>
    </row>
    <row r="691" spans="2:5" ht="14.25" customHeight="1" x14ac:dyDescent="0.35">
      <c r="B691" s="7"/>
      <c r="C691" s="7"/>
      <c r="D691" s="7"/>
      <c r="E691" s="7"/>
    </row>
    <row r="692" spans="2:5" ht="14.25" customHeight="1" x14ac:dyDescent="0.35">
      <c r="B692" s="7"/>
      <c r="C692" s="7"/>
      <c r="D692" s="7"/>
      <c r="E692" s="7"/>
    </row>
    <row r="693" spans="2:5" ht="14.25" customHeight="1" x14ac:dyDescent="0.35">
      <c r="B693" s="7"/>
      <c r="C693" s="7"/>
      <c r="D693" s="7"/>
      <c r="E693" s="7"/>
    </row>
    <row r="694" spans="2:5" ht="14.25" customHeight="1" x14ac:dyDescent="0.35">
      <c r="B694" s="7"/>
      <c r="C694" s="7"/>
      <c r="D694" s="7"/>
      <c r="E694" s="7"/>
    </row>
    <row r="695" spans="2:5" ht="14.25" customHeight="1" x14ac:dyDescent="0.35">
      <c r="B695" s="7"/>
      <c r="C695" s="7"/>
      <c r="D695" s="7"/>
      <c r="E695" s="7"/>
    </row>
    <row r="696" spans="2:5" ht="14.25" customHeight="1" x14ac:dyDescent="0.35">
      <c r="B696" s="7"/>
      <c r="C696" s="7"/>
      <c r="D696" s="7"/>
      <c r="E696" s="7"/>
    </row>
    <row r="697" spans="2:5" ht="14.25" customHeight="1" x14ac:dyDescent="0.35">
      <c r="B697" s="7"/>
      <c r="C697" s="7"/>
      <c r="D697" s="7"/>
      <c r="E697" s="7"/>
    </row>
    <row r="698" spans="2:5" ht="14.25" customHeight="1" x14ac:dyDescent="0.35">
      <c r="B698" s="7"/>
      <c r="C698" s="7"/>
      <c r="D698" s="7"/>
      <c r="E698" s="7"/>
    </row>
    <row r="699" spans="2:5" ht="14.25" customHeight="1" x14ac:dyDescent="0.35">
      <c r="B699" s="7"/>
      <c r="C699" s="7"/>
      <c r="D699" s="7"/>
      <c r="E699" s="7"/>
    </row>
    <row r="700" spans="2:5" ht="14.25" customHeight="1" x14ac:dyDescent="0.35">
      <c r="B700" s="7"/>
      <c r="C700" s="7"/>
      <c r="D700" s="7"/>
      <c r="E700" s="7"/>
    </row>
    <row r="701" spans="2:5" ht="14.25" customHeight="1" x14ac:dyDescent="0.35">
      <c r="B701" s="7"/>
      <c r="C701" s="7"/>
      <c r="D701" s="7"/>
      <c r="E701" s="7"/>
    </row>
    <row r="702" spans="2:5" ht="14.25" customHeight="1" x14ac:dyDescent="0.35">
      <c r="B702" s="7"/>
      <c r="C702" s="7"/>
      <c r="D702" s="7"/>
      <c r="E702" s="7"/>
    </row>
    <row r="703" spans="2:5" ht="14.25" customHeight="1" x14ac:dyDescent="0.35">
      <c r="B703" s="7"/>
      <c r="C703" s="7"/>
      <c r="D703" s="7"/>
      <c r="E703" s="7"/>
    </row>
    <row r="704" spans="2:5" ht="14.25" customHeight="1" x14ac:dyDescent="0.35">
      <c r="B704" s="7"/>
      <c r="C704" s="7"/>
      <c r="D704" s="7"/>
      <c r="E704" s="7"/>
    </row>
    <row r="705" spans="2:5" ht="14.25" customHeight="1" x14ac:dyDescent="0.35">
      <c r="B705" s="7"/>
      <c r="C705" s="7"/>
      <c r="D705" s="7"/>
      <c r="E705" s="7"/>
    </row>
    <row r="706" spans="2:5" ht="14.25" customHeight="1" x14ac:dyDescent="0.35">
      <c r="B706" s="7"/>
      <c r="C706" s="7"/>
      <c r="D706" s="7"/>
      <c r="E706" s="7"/>
    </row>
    <row r="707" spans="2:5" ht="14.25" customHeight="1" x14ac:dyDescent="0.35">
      <c r="B707" s="7"/>
      <c r="C707" s="7"/>
      <c r="D707" s="7"/>
      <c r="E707" s="7"/>
    </row>
    <row r="708" spans="2:5" ht="14.25" customHeight="1" x14ac:dyDescent="0.35">
      <c r="B708" s="7"/>
      <c r="C708" s="7"/>
      <c r="D708" s="7"/>
      <c r="E708" s="7"/>
    </row>
    <row r="709" spans="2:5" ht="14.25" customHeight="1" x14ac:dyDescent="0.35">
      <c r="B709" s="7"/>
      <c r="C709" s="7"/>
      <c r="D709" s="7"/>
      <c r="E709" s="7"/>
    </row>
    <row r="710" spans="2:5" ht="14.25" customHeight="1" x14ac:dyDescent="0.35">
      <c r="B710" s="7"/>
      <c r="C710" s="7"/>
      <c r="D710" s="7"/>
      <c r="E710" s="7"/>
    </row>
    <row r="711" spans="2:5" ht="14.25" customHeight="1" x14ac:dyDescent="0.35">
      <c r="B711" s="7"/>
      <c r="C711" s="7"/>
      <c r="D711" s="7"/>
      <c r="E711" s="7"/>
    </row>
    <row r="712" spans="2:5" ht="14.25" customHeight="1" x14ac:dyDescent="0.35">
      <c r="B712" s="7"/>
      <c r="C712" s="7"/>
      <c r="D712" s="7"/>
      <c r="E712" s="7"/>
    </row>
    <row r="713" spans="2:5" ht="14.25" customHeight="1" x14ac:dyDescent="0.35">
      <c r="B713" s="7"/>
      <c r="C713" s="7"/>
      <c r="D713" s="7"/>
      <c r="E713" s="7"/>
    </row>
    <row r="714" spans="2:5" ht="14.25" customHeight="1" x14ac:dyDescent="0.35">
      <c r="B714" s="7"/>
      <c r="C714" s="7"/>
      <c r="D714" s="7"/>
      <c r="E714" s="7"/>
    </row>
    <row r="715" spans="2:5" ht="14.25" customHeight="1" x14ac:dyDescent="0.35">
      <c r="B715" s="7"/>
      <c r="C715" s="7"/>
      <c r="D715" s="7"/>
      <c r="E715" s="7"/>
    </row>
    <row r="716" spans="2:5" ht="14.25" customHeight="1" x14ac:dyDescent="0.35">
      <c r="B716" s="7"/>
      <c r="C716" s="7"/>
      <c r="D716" s="7"/>
      <c r="E716" s="7"/>
    </row>
    <row r="717" spans="2:5" ht="14.25" customHeight="1" x14ac:dyDescent="0.35">
      <c r="B717" s="7"/>
      <c r="C717" s="7"/>
      <c r="D717" s="7"/>
      <c r="E717" s="7"/>
    </row>
    <row r="718" spans="2:5" ht="14.25" customHeight="1" x14ac:dyDescent="0.35">
      <c r="B718" s="7"/>
      <c r="C718" s="7"/>
      <c r="D718" s="7"/>
      <c r="E718" s="7"/>
    </row>
    <row r="719" spans="2:5" ht="14.25" customHeight="1" x14ac:dyDescent="0.35">
      <c r="B719" s="7"/>
      <c r="C719" s="7"/>
      <c r="D719" s="7"/>
      <c r="E719" s="7"/>
    </row>
    <row r="720" spans="2:5" ht="14.25" customHeight="1" x14ac:dyDescent="0.35">
      <c r="B720" s="7"/>
      <c r="C720" s="7"/>
      <c r="D720" s="7"/>
      <c r="E720" s="7"/>
    </row>
    <row r="721" spans="2:5" ht="14.25" customHeight="1" x14ac:dyDescent="0.35">
      <c r="B721" s="7"/>
      <c r="C721" s="7"/>
      <c r="D721" s="7"/>
      <c r="E721" s="7"/>
    </row>
    <row r="722" spans="2:5" ht="14.25" customHeight="1" x14ac:dyDescent="0.35">
      <c r="B722" s="7"/>
      <c r="C722" s="7"/>
      <c r="D722" s="7"/>
      <c r="E722" s="7"/>
    </row>
    <row r="723" spans="2:5" ht="14.25" customHeight="1" x14ac:dyDescent="0.35">
      <c r="B723" s="7"/>
      <c r="C723" s="7"/>
      <c r="D723" s="7"/>
      <c r="E723" s="7"/>
    </row>
    <row r="724" spans="2:5" ht="14.25" customHeight="1" x14ac:dyDescent="0.35">
      <c r="B724" s="7"/>
      <c r="C724" s="7"/>
      <c r="D724" s="7"/>
      <c r="E724" s="7"/>
    </row>
    <row r="725" spans="2:5" ht="14.25" customHeight="1" x14ac:dyDescent="0.35">
      <c r="B725" s="7"/>
      <c r="C725" s="7"/>
      <c r="D725" s="7"/>
      <c r="E725" s="7"/>
    </row>
    <row r="726" spans="2:5" ht="14.25" customHeight="1" x14ac:dyDescent="0.35">
      <c r="B726" s="7"/>
      <c r="C726" s="7"/>
      <c r="D726" s="7"/>
      <c r="E726" s="7"/>
    </row>
    <row r="727" spans="2:5" ht="14.25" customHeight="1" x14ac:dyDescent="0.35">
      <c r="B727" s="7"/>
      <c r="C727" s="7"/>
      <c r="D727" s="7"/>
      <c r="E727" s="7"/>
    </row>
    <row r="728" spans="2:5" ht="14.25" customHeight="1" x14ac:dyDescent="0.35">
      <c r="B728" s="7"/>
      <c r="C728" s="7"/>
      <c r="D728" s="7"/>
      <c r="E728" s="7"/>
    </row>
    <row r="729" spans="2:5" ht="14.25" customHeight="1" x14ac:dyDescent="0.35">
      <c r="B729" s="7"/>
      <c r="C729" s="7"/>
      <c r="D729" s="7"/>
      <c r="E729" s="7"/>
    </row>
    <row r="730" spans="2:5" ht="14.25" customHeight="1" x14ac:dyDescent="0.35">
      <c r="B730" s="7"/>
      <c r="C730" s="7"/>
      <c r="D730" s="7"/>
      <c r="E730" s="7"/>
    </row>
    <row r="731" spans="2:5" ht="14.25" customHeight="1" x14ac:dyDescent="0.35">
      <c r="B731" s="7"/>
      <c r="C731" s="7"/>
      <c r="D731" s="7"/>
      <c r="E731" s="7"/>
    </row>
    <row r="732" spans="2:5" ht="14.25" customHeight="1" x14ac:dyDescent="0.35">
      <c r="B732" s="7"/>
      <c r="C732" s="7"/>
      <c r="D732" s="7"/>
      <c r="E732" s="7"/>
    </row>
    <row r="733" spans="2:5" ht="14.25" customHeight="1" x14ac:dyDescent="0.35">
      <c r="B733" s="7"/>
      <c r="C733" s="7"/>
      <c r="D733" s="7"/>
      <c r="E733" s="7"/>
    </row>
    <row r="734" spans="2:5" ht="14.25" customHeight="1" x14ac:dyDescent="0.35">
      <c r="B734" s="7"/>
      <c r="C734" s="7"/>
      <c r="D734" s="7"/>
      <c r="E734" s="7"/>
    </row>
    <row r="735" spans="2:5" ht="14.25" customHeight="1" x14ac:dyDescent="0.35">
      <c r="B735" s="7"/>
      <c r="C735" s="7"/>
      <c r="D735" s="7"/>
      <c r="E735" s="7"/>
    </row>
    <row r="736" spans="2:5" ht="14.25" customHeight="1" x14ac:dyDescent="0.35">
      <c r="B736" s="7"/>
      <c r="C736" s="7"/>
      <c r="D736" s="7"/>
      <c r="E736" s="7"/>
    </row>
    <row r="737" spans="2:5" ht="14.25" customHeight="1" x14ac:dyDescent="0.35">
      <c r="B737" s="7"/>
      <c r="C737" s="7"/>
      <c r="D737" s="7"/>
      <c r="E737" s="7"/>
    </row>
    <row r="738" spans="2:5" ht="14.25" customHeight="1" x14ac:dyDescent="0.35">
      <c r="B738" s="7"/>
      <c r="C738" s="7"/>
      <c r="D738" s="7"/>
      <c r="E738" s="7"/>
    </row>
    <row r="739" spans="2:5" ht="14.25" customHeight="1" x14ac:dyDescent="0.35">
      <c r="B739" s="7"/>
      <c r="C739" s="7"/>
      <c r="D739" s="7"/>
      <c r="E739" s="7"/>
    </row>
    <row r="740" spans="2:5" ht="14.25" customHeight="1" x14ac:dyDescent="0.35">
      <c r="B740" s="7"/>
      <c r="C740" s="7"/>
      <c r="D740" s="7"/>
      <c r="E740" s="7"/>
    </row>
    <row r="741" spans="2:5" ht="14.25" customHeight="1" x14ac:dyDescent="0.35">
      <c r="B741" s="7"/>
      <c r="C741" s="7"/>
      <c r="D741" s="7"/>
      <c r="E741" s="7"/>
    </row>
    <row r="742" spans="2:5" ht="14.25" customHeight="1" x14ac:dyDescent="0.35">
      <c r="B742" s="7"/>
      <c r="C742" s="7"/>
      <c r="D742" s="7"/>
      <c r="E742" s="7"/>
    </row>
    <row r="743" spans="2:5" ht="14.25" customHeight="1" x14ac:dyDescent="0.35">
      <c r="B743" s="7"/>
      <c r="C743" s="7"/>
      <c r="D743" s="7"/>
      <c r="E743" s="7"/>
    </row>
    <row r="744" spans="2:5" ht="14.25" customHeight="1" x14ac:dyDescent="0.35">
      <c r="B744" s="7"/>
      <c r="C744" s="7"/>
      <c r="D744" s="7"/>
      <c r="E744" s="7"/>
    </row>
    <row r="745" spans="2:5" ht="14.25" customHeight="1" x14ac:dyDescent="0.35">
      <c r="B745" s="7"/>
      <c r="C745" s="7"/>
      <c r="D745" s="7"/>
      <c r="E745" s="7"/>
    </row>
    <row r="746" spans="2:5" ht="14.25" customHeight="1" x14ac:dyDescent="0.35">
      <c r="B746" s="7"/>
      <c r="C746" s="7"/>
      <c r="D746" s="7"/>
      <c r="E746" s="7"/>
    </row>
    <row r="747" spans="2:5" ht="14.25" customHeight="1" x14ac:dyDescent="0.35">
      <c r="B747" s="7"/>
      <c r="C747" s="7"/>
      <c r="D747" s="7"/>
      <c r="E747" s="7"/>
    </row>
    <row r="748" spans="2:5" ht="14.25" customHeight="1" x14ac:dyDescent="0.35">
      <c r="B748" s="7"/>
      <c r="C748" s="7"/>
      <c r="D748" s="7"/>
      <c r="E748" s="7"/>
    </row>
    <row r="749" spans="2:5" ht="14.25" customHeight="1" x14ac:dyDescent="0.35">
      <c r="B749" s="7"/>
      <c r="C749" s="7"/>
      <c r="D749" s="7"/>
      <c r="E749" s="7"/>
    </row>
    <row r="750" spans="2:5" ht="14.25" customHeight="1" x14ac:dyDescent="0.35">
      <c r="B750" s="7"/>
      <c r="C750" s="7"/>
      <c r="D750" s="7"/>
      <c r="E750" s="7"/>
    </row>
    <row r="751" spans="2:5" ht="14.25" customHeight="1" x14ac:dyDescent="0.35">
      <c r="B751" s="7"/>
      <c r="C751" s="7"/>
      <c r="D751" s="7"/>
      <c r="E751" s="7"/>
    </row>
    <row r="752" spans="2:5" ht="14.25" customHeight="1" x14ac:dyDescent="0.35">
      <c r="B752" s="7"/>
      <c r="C752" s="7"/>
      <c r="D752" s="7"/>
      <c r="E752" s="7"/>
    </row>
    <row r="753" spans="2:5" ht="14.25" customHeight="1" x14ac:dyDescent="0.35">
      <c r="B753" s="7"/>
      <c r="C753" s="7"/>
      <c r="D753" s="7"/>
      <c r="E753" s="7"/>
    </row>
    <row r="754" spans="2:5" ht="14.25" customHeight="1" x14ac:dyDescent="0.35">
      <c r="B754" s="7"/>
      <c r="C754" s="7"/>
      <c r="D754" s="7"/>
      <c r="E754" s="7"/>
    </row>
    <row r="755" spans="2:5" ht="14.25" customHeight="1" x14ac:dyDescent="0.35">
      <c r="B755" s="7"/>
      <c r="C755" s="7"/>
      <c r="D755" s="7"/>
      <c r="E755" s="7"/>
    </row>
    <row r="756" spans="2:5" ht="14.25" customHeight="1" x14ac:dyDescent="0.35">
      <c r="B756" s="7"/>
      <c r="C756" s="7"/>
      <c r="D756" s="7"/>
      <c r="E756" s="7"/>
    </row>
    <row r="757" spans="2:5" ht="14.25" customHeight="1" x14ac:dyDescent="0.35">
      <c r="B757" s="7"/>
      <c r="C757" s="7"/>
      <c r="D757" s="7"/>
      <c r="E757" s="7"/>
    </row>
    <row r="758" spans="2:5" ht="14.25" customHeight="1" x14ac:dyDescent="0.35">
      <c r="B758" s="7"/>
      <c r="C758" s="7"/>
      <c r="D758" s="7"/>
      <c r="E758" s="7"/>
    </row>
    <row r="759" spans="2:5" ht="14.25" customHeight="1" x14ac:dyDescent="0.35">
      <c r="B759" s="7"/>
      <c r="C759" s="7"/>
      <c r="D759" s="7"/>
      <c r="E759" s="7"/>
    </row>
    <row r="760" spans="2:5" ht="14.25" customHeight="1" x14ac:dyDescent="0.35">
      <c r="B760" s="7"/>
      <c r="C760" s="7"/>
      <c r="D760" s="7"/>
      <c r="E760" s="7"/>
    </row>
    <row r="761" spans="2:5" ht="14.25" customHeight="1" x14ac:dyDescent="0.35">
      <c r="B761" s="7"/>
      <c r="C761" s="7"/>
      <c r="D761" s="7"/>
      <c r="E761" s="7"/>
    </row>
    <row r="762" spans="2:5" ht="14.25" customHeight="1" x14ac:dyDescent="0.35">
      <c r="B762" s="7"/>
      <c r="C762" s="7"/>
      <c r="D762" s="7"/>
      <c r="E762" s="7"/>
    </row>
    <row r="763" spans="2:5" ht="14.25" customHeight="1" x14ac:dyDescent="0.35">
      <c r="B763" s="7"/>
      <c r="C763" s="7"/>
      <c r="D763" s="7"/>
      <c r="E763" s="7"/>
    </row>
    <row r="764" spans="2:5" ht="14.25" customHeight="1" x14ac:dyDescent="0.35">
      <c r="B764" s="7"/>
      <c r="C764" s="7"/>
      <c r="D764" s="7"/>
      <c r="E764" s="7"/>
    </row>
    <row r="765" spans="2:5" ht="14.25" customHeight="1" x14ac:dyDescent="0.35">
      <c r="B765" s="7"/>
      <c r="C765" s="7"/>
      <c r="D765" s="7"/>
      <c r="E765" s="7"/>
    </row>
    <row r="766" spans="2:5" ht="14.25" customHeight="1" x14ac:dyDescent="0.35">
      <c r="B766" s="7"/>
      <c r="C766" s="7"/>
      <c r="D766" s="7"/>
      <c r="E766" s="7"/>
    </row>
    <row r="767" spans="2:5" ht="14.25" customHeight="1" x14ac:dyDescent="0.35">
      <c r="B767" s="7"/>
      <c r="C767" s="7"/>
      <c r="D767" s="7"/>
      <c r="E767" s="7"/>
    </row>
    <row r="768" spans="2:5" ht="14.25" customHeight="1" x14ac:dyDescent="0.35">
      <c r="B768" s="7"/>
      <c r="C768" s="7"/>
      <c r="D768" s="7"/>
      <c r="E768" s="7"/>
    </row>
    <row r="769" spans="2:5" ht="14.25" customHeight="1" x14ac:dyDescent="0.35">
      <c r="B769" s="7"/>
      <c r="C769" s="7"/>
      <c r="D769" s="7"/>
      <c r="E769" s="7"/>
    </row>
    <row r="770" spans="2:5" ht="14.25" customHeight="1" x14ac:dyDescent="0.35">
      <c r="B770" s="7"/>
      <c r="C770" s="7"/>
      <c r="D770" s="7"/>
      <c r="E770" s="7"/>
    </row>
    <row r="771" spans="2:5" ht="14.25" customHeight="1" x14ac:dyDescent="0.35">
      <c r="B771" s="7"/>
      <c r="C771" s="7"/>
      <c r="D771" s="7"/>
      <c r="E771" s="7"/>
    </row>
    <row r="772" spans="2:5" ht="14.25" customHeight="1" x14ac:dyDescent="0.35">
      <c r="B772" s="7"/>
      <c r="C772" s="7"/>
      <c r="D772" s="7"/>
      <c r="E772" s="7"/>
    </row>
    <row r="773" spans="2:5" ht="14.25" customHeight="1" x14ac:dyDescent="0.35">
      <c r="B773" s="7"/>
      <c r="C773" s="7"/>
      <c r="D773" s="7"/>
      <c r="E773" s="7"/>
    </row>
    <row r="774" spans="2:5" ht="14.25" customHeight="1" x14ac:dyDescent="0.35">
      <c r="B774" s="7"/>
      <c r="C774" s="7"/>
      <c r="D774" s="7"/>
      <c r="E774" s="7"/>
    </row>
    <row r="775" spans="2:5" ht="14.25" customHeight="1" x14ac:dyDescent="0.35">
      <c r="B775" s="7"/>
      <c r="C775" s="7"/>
      <c r="D775" s="7"/>
      <c r="E775" s="7"/>
    </row>
    <row r="776" spans="2:5" ht="14.25" customHeight="1" x14ac:dyDescent="0.35">
      <c r="B776" s="7"/>
      <c r="C776" s="7"/>
      <c r="D776" s="7"/>
      <c r="E776" s="7"/>
    </row>
    <row r="777" spans="2:5" ht="14.25" customHeight="1" x14ac:dyDescent="0.35">
      <c r="B777" s="7"/>
      <c r="C777" s="7"/>
      <c r="D777" s="7"/>
      <c r="E777" s="7"/>
    </row>
    <row r="778" spans="2:5" ht="14.25" customHeight="1" x14ac:dyDescent="0.35">
      <c r="B778" s="7"/>
      <c r="C778" s="7"/>
      <c r="D778" s="7"/>
      <c r="E778" s="7"/>
    </row>
    <row r="779" spans="2:5" ht="14.25" customHeight="1" x14ac:dyDescent="0.35">
      <c r="B779" s="7"/>
      <c r="C779" s="7"/>
      <c r="D779" s="7"/>
      <c r="E779" s="7"/>
    </row>
    <row r="780" spans="2:5" ht="14.25" customHeight="1" x14ac:dyDescent="0.35">
      <c r="B780" s="7"/>
      <c r="C780" s="7"/>
      <c r="D780" s="7"/>
      <c r="E780" s="7"/>
    </row>
    <row r="781" spans="2:5" ht="14.25" customHeight="1" x14ac:dyDescent="0.35">
      <c r="B781" s="7"/>
      <c r="C781" s="7"/>
      <c r="D781" s="7"/>
      <c r="E781" s="7"/>
    </row>
    <row r="782" spans="2:5" ht="14.25" customHeight="1" x14ac:dyDescent="0.35">
      <c r="B782" s="7"/>
      <c r="C782" s="7"/>
      <c r="D782" s="7"/>
      <c r="E782" s="7"/>
    </row>
    <row r="783" spans="2:5" ht="14.25" customHeight="1" x14ac:dyDescent="0.35">
      <c r="B783" s="7"/>
      <c r="C783" s="7"/>
      <c r="D783" s="7"/>
      <c r="E783" s="7"/>
    </row>
    <row r="784" spans="2:5" ht="14.25" customHeight="1" x14ac:dyDescent="0.35">
      <c r="B784" s="7"/>
      <c r="C784" s="7"/>
      <c r="D784" s="7"/>
      <c r="E784" s="7"/>
    </row>
    <row r="785" spans="2:5" ht="14.25" customHeight="1" x14ac:dyDescent="0.35">
      <c r="B785" s="7"/>
      <c r="C785" s="7"/>
      <c r="D785" s="7"/>
      <c r="E785" s="7"/>
    </row>
    <row r="786" spans="2:5" ht="14.25" customHeight="1" x14ac:dyDescent="0.35">
      <c r="B786" s="7"/>
      <c r="C786" s="7"/>
      <c r="D786" s="7"/>
      <c r="E786" s="7"/>
    </row>
    <row r="787" spans="2:5" ht="14.25" customHeight="1" x14ac:dyDescent="0.35">
      <c r="B787" s="7"/>
      <c r="C787" s="7"/>
      <c r="D787" s="7"/>
      <c r="E787" s="7"/>
    </row>
    <row r="788" spans="2:5" ht="14.25" customHeight="1" x14ac:dyDescent="0.35">
      <c r="B788" s="7"/>
      <c r="C788" s="7"/>
      <c r="D788" s="7"/>
      <c r="E788" s="7"/>
    </row>
    <row r="789" spans="2:5" ht="14.25" customHeight="1" x14ac:dyDescent="0.35">
      <c r="B789" s="7"/>
      <c r="C789" s="7"/>
      <c r="D789" s="7"/>
      <c r="E789" s="7"/>
    </row>
    <row r="790" spans="2:5" ht="14.25" customHeight="1" x14ac:dyDescent="0.35">
      <c r="B790" s="7"/>
      <c r="C790" s="7"/>
      <c r="D790" s="7"/>
      <c r="E790" s="7"/>
    </row>
    <row r="791" spans="2:5" ht="14.25" customHeight="1" x14ac:dyDescent="0.35">
      <c r="B791" s="7"/>
      <c r="C791" s="7"/>
      <c r="D791" s="7"/>
      <c r="E791" s="7"/>
    </row>
    <row r="792" spans="2:5" ht="14.25" customHeight="1" x14ac:dyDescent="0.35">
      <c r="B792" s="7"/>
      <c r="C792" s="7"/>
      <c r="D792" s="7"/>
      <c r="E792" s="7"/>
    </row>
    <row r="793" spans="2:5" ht="14.25" customHeight="1" x14ac:dyDescent="0.35">
      <c r="B793" s="7"/>
      <c r="C793" s="7"/>
      <c r="D793" s="7"/>
      <c r="E793" s="7"/>
    </row>
    <row r="794" spans="2:5" ht="14.25" customHeight="1" x14ac:dyDescent="0.35">
      <c r="B794" s="7"/>
      <c r="C794" s="7"/>
      <c r="D794" s="7"/>
      <c r="E794" s="7"/>
    </row>
    <row r="795" spans="2:5" ht="14.25" customHeight="1" x14ac:dyDescent="0.35">
      <c r="B795" s="7"/>
      <c r="C795" s="7"/>
      <c r="D795" s="7"/>
      <c r="E795" s="7"/>
    </row>
    <row r="796" spans="2:5" ht="14.25" customHeight="1" x14ac:dyDescent="0.35">
      <c r="B796" s="7"/>
      <c r="C796" s="7"/>
      <c r="D796" s="7"/>
      <c r="E796" s="7"/>
    </row>
    <row r="797" spans="2:5" ht="14.25" customHeight="1" x14ac:dyDescent="0.35">
      <c r="B797" s="7"/>
      <c r="C797" s="7"/>
      <c r="D797" s="7"/>
      <c r="E797" s="7"/>
    </row>
    <row r="798" spans="2:5" ht="14.25" customHeight="1" x14ac:dyDescent="0.35">
      <c r="B798" s="7"/>
      <c r="C798" s="7"/>
      <c r="D798" s="7"/>
      <c r="E798" s="7"/>
    </row>
    <row r="799" spans="2:5" ht="14.25" customHeight="1" x14ac:dyDescent="0.35">
      <c r="B799" s="7"/>
      <c r="C799" s="7"/>
      <c r="D799" s="7"/>
      <c r="E799" s="7"/>
    </row>
    <row r="800" spans="2:5" ht="14.25" customHeight="1" x14ac:dyDescent="0.35">
      <c r="B800" s="7"/>
      <c r="C800" s="7"/>
      <c r="D800" s="7"/>
      <c r="E800" s="7"/>
    </row>
    <row r="801" spans="2:5" ht="14.25" customHeight="1" x14ac:dyDescent="0.35">
      <c r="B801" s="7"/>
      <c r="C801" s="7"/>
      <c r="D801" s="7"/>
      <c r="E801" s="7"/>
    </row>
    <row r="802" spans="2:5" ht="14.25" customHeight="1" x14ac:dyDescent="0.35">
      <c r="B802" s="7"/>
      <c r="C802" s="7"/>
      <c r="D802" s="7"/>
      <c r="E802" s="7"/>
    </row>
    <row r="803" spans="2:5" ht="14.25" customHeight="1" x14ac:dyDescent="0.35">
      <c r="B803" s="7"/>
      <c r="C803" s="7"/>
      <c r="D803" s="7"/>
      <c r="E803" s="7"/>
    </row>
    <row r="804" spans="2:5" ht="14.25" customHeight="1" x14ac:dyDescent="0.35">
      <c r="B804" s="7"/>
      <c r="C804" s="7"/>
      <c r="D804" s="7"/>
      <c r="E804" s="7"/>
    </row>
    <row r="805" spans="2:5" ht="14.25" customHeight="1" x14ac:dyDescent="0.35">
      <c r="B805" s="7"/>
      <c r="C805" s="7"/>
      <c r="D805" s="7"/>
      <c r="E805" s="7"/>
    </row>
    <row r="806" spans="2:5" ht="14.25" customHeight="1" x14ac:dyDescent="0.35">
      <c r="B806" s="7"/>
      <c r="C806" s="7"/>
      <c r="D806" s="7"/>
      <c r="E806" s="7"/>
    </row>
    <row r="807" spans="2:5" ht="14.25" customHeight="1" x14ac:dyDescent="0.35">
      <c r="B807" s="7"/>
      <c r="C807" s="7"/>
      <c r="D807" s="7"/>
      <c r="E807" s="7"/>
    </row>
    <row r="808" spans="2:5" ht="14.25" customHeight="1" x14ac:dyDescent="0.35">
      <c r="B808" s="7"/>
      <c r="C808" s="7"/>
      <c r="D808" s="7"/>
      <c r="E808" s="7"/>
    </row>
    <row r="809" spans="2:5" ht="14.25" customHeight="1" x14ac:dyDescent="0.35">
      <c r="B809" s="7"/>
      <c r="C809" s="7"/>
      <c r="D809" s="7"/>
      <c r="E809" s="7"/>
    </row>
    <row r="810" spans="2:5" ht="14.25" customHeight="1" x14ac:dyDescent="0.35">
      <c r="B810" s="7"/>
      <c r="C810" s="7"/>
      <c r="D810" s="7"/>
      <c r="E810" s="7"/>
    </row>
    <row r="811" spans="2:5" ht="14.25" customHeight="1" x14ac:dyDescent="0.35">
      <c r="B811" s="7"/>
      <c r="C811" s="7"/>
      <c r="D811" s="7"/>
      <c r="E811" s="7"/>
    </row>
    <row r="812" spans="2:5" ht="14.25" customHeight="1" x14ac:dyDescent="0.35">
      <c r="B812" s="7"/>
      <c r="C812" s="7"/>
      <c r="D812" s="7"/>
      <c r="E812" s="7"/>
    </row>
    <row r="813" spans="2:5" ht="14.25" customHeight="1" x14ac:dyDescent="0.35">
      <c r="B813" s="7"/>
      <c r="C813" s="7"/>
      <c r="D813" s="7"/>
      <c r="E813" s="7"/>
    </row>
    <row r="814" spans="2:5" ht="14.25" customHeight="1" x14ac:dyDescent="0.35">
      <c r="B814" s="7"/>
      <c r="C814" s="7"/>
      <c r="D814" s="7"/>
      <c r="E814" s="7"/>
    </row>
    <row r="815" spans="2:5" ht="14.25" customHeight="1" x14ac:dyDescent="0.35">
      <c r="B815" s="7"/>
      <c r="C815" s="7"/>
      <c r="D815" s="7"/>
      <c r="E815" s="7"/>
    </row>
    <row r="816" spans="2:5" ht="14.25" customHeight="1" x14ac:dyDescent="0.35">
      <c r="B816" s="7"/>
      <c r="C816" s="7"/>
      <c r="D816" s="7"/>
      <c r="E816" s="7"/>
    </row>
    <row r="817" spans="2:5" ht="14.25" customHeight="1" x14ac:dyDescent="0.35">
      <c r="B817" s="7"/>
      <c r="C817" s="7"/>
      <c r="D817" s="7"/>
      <c r="E817" s="7"/>
    </row>
    <row r="818" spans="2:5" ht="14.25" customHeight="1" x14ac:dyDescent="0.35">
      <c r="B818" s="7"/>
      <c r="C818" s="7"/>
      <c r="D818" s="7"/>
      <c r="E818" s="7"/>
    </row>
    <row r="819" spans="2:5" ht="14.25" customHeight="1" x14ac:dyDescent="0.35">
      <c r="B819" s="7"/>
      <c r="C819" s="7"/>
      <c r="D819" s="7"/>
      <c r="E819" s="7"/>
    </row>
    <row r="820" spans="2:5" ht="14.25" customHeight="1" x14ac:dyDescent="0.35">
      <c r="B820" s="7"/>
      <c r="C820" s="7"/>
      <c r="D820" s="7"/>
      <c r="E820" s="7"/>
    </row>
    <row r="821" spans="2:5" ht="14.25" customHeight="1" x14ac:dyDescent="0.35">
      <c r="B821" s="7"/>
      <c r="C821" s="7"/>
      <c r="D821" s="7"/>
      <c r="E821" s="7"/>
    </row>
    <row r="822" spans="2:5" ht="14.25" customHeight="1" x14ac:dyDescent="0.35">
      <c r="B822" s="7"/>
      <c r="C822" s="7"/>
      <c r="D822" s="7"/>
      <c r="E822" s="7"/>
    </row>
    <row r="823" spans="2:5" ht="14.25" customHeight="1" x14ac:dyDescent="0.35">
      <c r="B823" s="7"/>
      <c r="C823" s="7"/>
      <c r="D823" s="7"/>
      <c r="E823" s="7"/>
    </row>
    <row r="824" spans="2:5" ht="14.25" customHeight="1" x14ac:dyDescent="0.35">
      <c r="B824" s="7"/>
      <c r="C824" s="7"/>
      <c r="D824" s="7"/>
      <c r="E824" s="7"/>
    </row>
    <row r="825" spans="2:5" ht="14.25" customHeight="1" x14ac:dyDescent="0.35">
      <c r="B825" s="7"/>
      <c r="C825" s="7"/>
      <c r="D825" s="7"/>
      <c r="E825" s="7"/>
    </row>
    <row r="826" spans="2:5" ht="14.25" customHeight="1" x14ac:dyDescent="0.35">
      <c r="B826" s="7"/>
      <c r="C826" s="7"/>
      <c r="D826" s="7"/>
      <c r="E826" s="7"/>
    </row>
    <row r="827" spans="2:5" ht="14.25" customHeight="1" x14ac:dyDescent="0.35">
      <c r="B827" s="7"/>
      <c r="C827" s="7"/>
      <c r="D827" s="7"/>
      <c r="E827" s="7"/>
    </row>
    <row r="828" spans="2:5" ht="14.25" customHeight="1" x14ac:dyDescent="0.35">
      <c r="B828" s="7"/>
      <c r="C828" s="7"/>
      <c r="D828" s="7"/>
      <c r="E828" s="7"/>
    </row>
    <row r="829" spans="2:5" ht="14.25" customHeight="1" x14ac:dyDescent="0.35">
      <c r="B829" s="7"/>
      <c r="C829" s="7"/>
      <c r="D829" s="7"/>
      <c r="E829" s="7"/>
    </row>
    <row r="830" spans="2:5" ht="14.25" customHeight="1" x14ac:dyDescent="0.35">
      <c r="B830" s="7"/>
      <c r="C830" s="7"/>
      <c r="D830" s="7"/>
      <c r="E830" s="7"/>
    </row>
    <row r="831" spans="2:5" ht="14.25" customHeight="1" x14ac:dyDescent="0.35">
      <c r="B831" s="7"/>
      <c r="C831" s="7"/>
      <c r="D831" s="7"/>
      <c r="E831" s="7"/>
    </row>
    <row r="832" spans="2:5" ht="14.25" customHeight="1" x14ac:dyDescent="0.35">
      <c r="B832" s="7"/>
      <c r="C832" s="7"/>
      <c r="D832" s="7"/>
      <c r="E832" s="7"/>
    </row>
    <row r="833" spans="2:5" ht="14.25" customHeight="1" x14ac:dyDescent="0.35">
      <c r="B833" s="7"/>
      <c r="C833" s="7"/>
      <c r="D833" s="7"/>
      <c r="E833" s="7"/>
    </row>
    <row r="834" spans="2:5" ht="14.25" customHeight="1" x14ac:dyDescent="0.35">
      <c r="B834" s="7"/>
      <c r="C834" s="7"/>
      <c r="D834" s="7"/>
      <c r="E834" s="7"/>
    </row>
    <row r="835" spans="2:5" ht="14.25" customHeight="1" x14ac:dyDescent="0.35">
      <c r="B835" s="7"/>
      <c r="C835" s="7"/>
      <c r="D835" s="7"/>
      <c r="E835" s="7"/>
    </row>
    <row r="836" spans="2:5" ht="14.25" customHeight="1" x14ac:dyDescent="0.35">
      <c r="B836" s="7"/>
      <c r="C836" s="7"/>
      <c r="D836" s="7"/>
      <c r="E836" s="7"/>
    </row>
    <row r="837" spans="2:5" ht="14.25" customHeight="1" x14ac:dyDescent="0.35">
      <c r="B837" s="7"/>
      <c r="C837" s="7"/>
      <c r="D837" s="7"/>
      <c r="E837" s="7"/>
    </row>
    <row r="838" spans="2:5" ht="14.25" customHeight="1" x14ac:dyDescent="0.35">
      <c r="B838" s="7"/>
      <c r="C838" s="7"/>
      <c r="D838" s="7"/>
      <c r="E838" s="7"/>
    </row>
    <row r="839" spans="2:5" ht="14.25" customHeight="1" x14ac:dyDescent="0.35">
      <c r="B839" s="7"/>
      <c r="C839" s="7"/>
      <c r="D839" s="7"/>
      <c r="E839" s="7"/>
    </row>
    <row r="840" spans="2:5" ht="14.25" customHeight="1" x14ac:dyDescent="0.35">
      <c r="B840" s="7"/>
      <c r="C840" s="7"/>
      <c r="D840" s="7"/>
      <c r="E840" s="7"/>
    </row>
    <row r="841" spans="2:5" ht="14.25" customHeight="1" x14ac:dyDescent="0.35">
      <c r="B841" s="7"/>
      <c r="C841" s="7"/>
      <c r="D841" s="7"/>
      <c r="E841" s="7"/>
    </row>
    <row r="842" spans="2:5" ht="14.25" customHeight="1" x14ac:dyDescent="0.35">
      <c r="B842" s="7"/>
      <c r="C842" s="7"/>
      <c r="D842" s="7"/>
      <c r="E842" s="7"/>
    </row>
    <row r="843" spans="2:5" ht="14.25" customHeight="1" x14ac:dyDescent="0.35">
      <c r="B843" s="7"/>
      <c r="C843" s="7"/>
      <c r="D843" s="7"/>
      <c r="E843" s="7"/>
    </row>
    <row r="844" spans="2:5" ht="14.25" customHeight="1" x14ac:dyDescent="0.35">
      <c r="B844" s="7"/>
      <c r="C844" s="7"/>
      <c r="D844" s="7"/>
      <c r="E844" s="7"/>
    </row>
    <row r="845" spans="2:5" ht="14.25" customHeight="1" x14ac:dyDescent="0.35">
      <c r="B845" s="7"/>
      <c r="C845" s="7"/>
      <c r="D845" s="7"/>
      <c r="E845" s="7"/>
    </row>
    <row r="846" spans="2:5" ht="14.25" customHeight="1" x14ac:dyDescent="0.35">
      <c r="B846" s="7"/>
      <c r="C846" s="7"/>
      <c r="D846" s="7"/>
      <c r="E846" s="7"/>
    </row>
    <row r="847" spans="2:5" ht="14.25" customHeight="1" x14ac:dyDescent="0.35">
      <c r="B847" s="7"/>
      <c r="C847" s="7"/>
      <c r="D847" s="7"/>
      <c r="E847" s="7"/>
    </row>
    <row r="848" spans="2:5" ht="14.25" customHeight="1" x14ac:dyDescent="0.35">
      <c r="B848" s="7"/>
      <c r="C848" s="7"/>
      <c r="D848" s="7"/>
      <c r="E848" s="7"/>
    </row>
    <row r="849" spans="2:5" ht="14.25" customHeight="1" x14ac:dyDescent="0.35">
      <c r="B849" s="7"/>
      <c r="C849" s="7"/>
      <c r="D849" s="7"/>
      <c r="E849" s="7"/>
    </row>
    <row r="850" spans="2:5" ht="14.25" customHeight="1" x14ac:dyDescent="0.35">
      <c r="B850" s="7"/>
      <c r="C850" s="7"/>
      <c r="D850" s="7"/>
      <c r="E850" s="7"/>
    </row>
    <row r="851" spans="2:5" ht="14.25" customHeight="1" x14ac:dyDescent="0.35">
      <c r="B851" s="7"/>
      <c r="C851" s="7"/>
      <c r="D851" s="7"/>
      <c r="E851" s="7"/>
    </row>
    <row r="852" spans="2:5" ht="14.25" customHeight="1" x14ac:dyDescent="0.35">
      <c r="B852" s="7"/>
      <c r="C852" s="7"/>
      <c r="D852" s="7"/>
      <c r="E852" s="7"/>
    </row>
    <row r="853" spans="2:5" ht="14.25" customHeight="1" x14ac:dyDescent="0.35">
      <c r="B853" s="7"/>
      <c r="C853" s="7"/>
      <c r="D853" s="7"/>
      <c r="E853" s="7"/>
    </row>
    <row r="854" spans="2:5" ht="14.25" customHeight="1" x14ac:dyDescent="0.35">
      <c r="B854" s="7"/>
      <c r="C854" s="7"/>
      <c r="D854" s="7"/>
      <c r="E854" s="7"/>
    </row>
    <row r="855" spans="2:5" ht="14.25" customHeight="1" x14ac:dyDescent="0.35">
      <c r="B855" s="7"/>
      <c r="C855" s="7"/>
      <c r="D855" s="7"/>
      <c r="E855" s="7"/>
    </row>
    <row r="856" spans="2:5" ht="14.25" customHeight="1" x14ac:dyDescent="0.35">
      <c r="B856" s="7"/>
      <c r="C856" s="7"/>
      <c r="D856" s="7"/>
      <c r="E856" s="7"/>
    </row>
    <row r="857" spans="2:5" ht="14.25" customHeight="1" x14ac:dyDescent="0.35">
      <c r="B857" s="7"/>
      <c r="C857" s="7"/>
      <c r="D857" s="7"/>
      <c r="E857" s="7"/>
    </row>
    <row r="858" spans="2:5" ht="14.25" customHeight="1" x14ac:dyDescent="0.35">
      <c r="B858" s="7"/>
      <c r="C858" s="7"/>
      <c r="D858" s="7"/>
      <c r="E858" s="7"/>
    </row>
    <row r="859" spans="2:5" ht="14.25" customHeight="1" x14ac:dyDescent="0.35">
      <c r="B859" s="7"/>
      <c r="C859" s="7"/>
      <c r="D859" s="7"/>
      <c r="E859" s="7"/>
    </row>
    <row r="860" spans="2:5" ht="14.25" customHeight="1" x14ac:dyDescent="0.35">
      <c r="B860" s="7"/>
      <c r="C860" s="7"/>
      <c r="D860" s="7"/>
      <c r="E860" s="7"/>
    </row>
    <row r="861" spans="2:5" ht="14.25" customHeight="1" x14ac:dyDescent="0.35">
      <c r="B861" s="7"/>
      <c r="C861" s="7"/>
      <c r="D861" s="7"/>
      <c r="E861" s="7"/>
    </row>
    <row r="862" spans="2:5" ht="14.25" customHeight="1" x14ac:dyDescent="0.35">
      <c r="B862" s="7"/>
      <c r="C862" s="7"/>
      <c r="D862" s="7"/>
      <c r="E862" s="7"/>
    </row>
    <row r="863" spans="2:5" ht="14.25" customHeight="1" x14ac:dyDescent="0.35">
      <c r="B863" s="7"/>
      <c r="C863" s="7"/>
      <c r="D863" s="7"/>
      <c r="E863" s="7"/>
    </row>
    <row r="864" spans="2:5" ht="14.25" customHeight="1" x14ac:dyDescent="0.35">
      <c r="B864" s="7"/>
      <c r="C864" s="7"/>
      <c r="D864" s="7"/>
      <c r="E864" s="7"/>
    </row>
    <row r="865" spans="2:5" ht="14.25" customHeight="1" x14ac:dyDescent="0.35">
      <c r="B865" s="7"/>
      <c r="C865" s="7"/>
      <c r="D865" s="7"/>
      <c r="E865" s="7"/>
    </row>
    <row r="866" spans="2:5" ht="14.25" customHeight="1" x14ac:dyDescent="0.35">
      <c r="B866" s="7"/>
      <c r="C866" s="7"/>
      <c r="D866" s="7"/>
      <c r="E866" s="7"/>
    </row>
    <row r="867" spans="2:5" ht="14.25" customHeight="1" x14ac:dyDescent="0.35">
      <c r="B867" s="7"/>
      <c r="C867" s="7"/>
      <c r="D867" s="7"/>
      <c r="E867" s="7"/>
    </row>
    <row r="868" spans="2:5" ht="14.25" customHeight="1" x14ac:dyDescent="0.35">
      <c r="B868" s="7"/>
      <c r="C868" s="7"/>
      <c r="D868" s="7"/>
      <c r="E868" s="7"/>
    </row>
    <row r="869" spans="2:5" ht="14.25" customHeight="1" x14ac:dyDescent="0.35">
      <c r="B869" s="7"/>
      <c r="C869" s="7"/>
      <c r="D869" s="7"/>
      <c r="E869" s="7"/>
    </row>
    <row r="870" spans="2:5" ht="14.25" customHeight="1" x14ac:dyDescent="0.35">
      <c r="B870" s="7"/>
      <c r="C870" s="7"/>
      <c r="D870" s="7"/>
      <c r="E870" s="7"/>
    </row>
    <row r="871" spans="2:5" ht="14.25" customHeight="1" x14ac:dyDescent="0.35">
      <c r="B871" s="7"/>
      <c r="C871" s="7"/>
      <c r="D871" s="7"/>
      <c r="E871" s="7"/>
    </row>
    <row r="872" spans="2:5" ht="14.25" customHeight="1" x14ac:dyDescent="0.35">
      <c r="B872" s="7"/>
      <c r="C872" s="7"/>
      <c r="D872" s="7"/>
      <c r="E872" s="7"/>
    </row>
    <row r="873" spans="2:5" ht="14.25" customHeight="1" x14ac:dyDescent="0.35">
      <c r="B873" s="7"/>
      <c r="C873" s="7"/>
      <c r="D873" s="7"/>
      <c r="E873" s="7"/>
    </row>
    <row r="874" spans="2:5" ht="14.25" customHeight="1" x14ac:dyDescent="0.35">
      <c r="B874" s="7"/>
      <c r="C874" s="7"/>
      <c r="D874" s="7"/>
      <c r="E874" s="7"/>
    </row>
    <row r="875" spans="2:5" ht="14.25" customHeight="1" x14ac:dyDescent="0.35">
      <c r="B875" s="7"/>
      <c r="C875" s="7"/>
      <c r="D875" s="7"/>
      <c r="E875" s="7"/>
    </row>
    <row r="876" spans="2:5" ht="14.25" customHeight="1" x14ac:dyDescent="0.35">
      <c r="B876" s="7"/>
      <c r="C876" s="7"/>
      <c r="D876" s="7"/>
      <c r="E876" s="7"/>
    </row>
    <row r="877" spans="2:5" ht="14.25" customHeight="1" x14ac:dyDescent="0.35">
      <c r="B877" s="7"/>
      <c r="C877" s="7"/>
      <c r="D877" s="7"/>
      <c r="E877" s="7"/>
    </row>
    <row r="878" spans="2:5" ht="14.25" customHeight="1" x14ac:dyDescent="0.35">
      <c r="B878" s="7"/>
      <c r="C878" s="7"/>
      <c r="D878" s="7"/>
      <c r="E878" s="7"/>
    </row>
    <row r="879" spans="2:5" ht="14.25" customHeight="1" x14ac:dyDescent="0.35">
      <c r="B879" s="7"/>
      <c r="C879" s="7"/>
      <c r="D879" s="7"/>
      <c r="E879" s="7"/>
    </row>
    <row r="880" spans="2:5" ht="14.25" customHeight="1" x14ac:dyDescent="0.35">
      <c r="B880" s="7"/>
      <c r="C880" s="7"/>
      <c r="D880" s="7"/>
      <c r="E880" s="7"/>
    </row>
    <row r="881" spans="2:5" ht="14.25" customHeight="1" x14ac:dyDescent="0.35">
      <c r="B881" s="7"/>
      <c r="C881" s="7"/>
      <c r="D881" s="7"/>
      <c r="E881" s="7"/>
    </row>
    <row r="882" spans="2:5" ht="14.25" customHeight="1" x14ac:dyDescent="0.35">
      <c r="B882" s="7"/>
      <c r="C882" s="7"/>
      <c r="D882" s="7"/>
      <c r="E882" s="7"/>
    </row>
    <row r="883" spans="2:5" ht="14.25" customHeight="1" x14ac:dyDescent="0.35">
      <c r="B883" s="7"/>
      <c r="C883" s="7"/>
      <c r="D883" s="7"/>
      <c r="E883" s="7"/>
    </row>
    <row r="884" spans="2:5" ht="14.25" customHeight="1" x14ac:dyDescent="0.35">
      <c r="B884" s="7"/>
      <c r="C884" s="7"/>
      <c r="D884" s="7"/>
      <c r="E884" s="7"/>
    </row>
    <row r="885" spans="2:5" ht="14.25" customHeight="1" x14ac:dyDescent="0.35">
      <c r="B885" s="7"/>
      <c r="C885" s="7"/>
      <c r="D885" s="7"/>
      <c r="E885" s="7"/>
    </row>
    <row r="886" spans="2:5" ht="14.25" customHeight="1" x14ac:dyDescent="0.35">
      <c r="B886" s="7"/>
      <c r="C886" s="7"/>
      <c r="D886" s="7"/>
      <c r="E886" s="7"/>
    </row>
    <row r="887" spans="2:5" ht="14.25" customHeight="1" x14ac:dyDescent="0.35">
      <c r="B887" s="7"/>
      <c r="C887" s="7"/>
      <c r="D887" s="7"/>
      <c r="E887" s="7"/>
    </row>
    <row r="888" spans="2:5" ht="14.25" customHeight="1" x14ac:dyDescent="0.35">
      <c r="B888" s="7"/>
      <c r="C888" s="7"/>
      <c r="D888" s="7"/>
      <c r="E888" s="7"/>
    </row>
    <row r="889" spans="2:5" ht="14.25" customHeight="1" x14ac:dyDescent="0.35">
      <c r="B889" s="7"/>
      <c r="C889" s="7"/>
      <c r="D889" s="7"/>
      <c r="E889" s="7"/>
    </row>
    <row r="890" spans="2:5" ht="14.25" customHeight="1" x14ac:dyDescent="0.35">
      <c r="B890" s="7"/>
      <c r="C890" s="7"/>
      <c r="D890" s="7"/>
      <c r="E890" s="7"/>
    </row>
    <row r="891" spans="2:5" ht="14.25" customHeight="1" x14ac:dyDescent="0.35">
      <c r="B891" s="7"/>
      <c r="C891" s="7"/>
      <c r="D891" s="7"/>
      <c r="E891" s="7"/>
    </row>
    <row r="892" spans="2:5" ht="14.25" customHeight="1" x14ac:dyDescent="0.35">
      <c r="B892" s="7"/>
      <c r="C892" s="7"/>
      <c r="D892" s="7"/>
      <c r="E892" s="7"/>
    </row>
    <row r="893" spans="2:5" ht="14.25" customHeight="1" x14ac:dyDescent="0.35">
      <c r="B893" s="7"/>
      <c r="C893" s="7"/>
      <c r="D893" s="7"/>
      <c r="E893" s="7"/>
    </row>
    <row r="894" spans="2:5" ht="14.25" customHeight="1" x14ac:dyDescent="0.35">
      <c r="B894" s="7"/>
      <c r="C894" s="7"/>
      <c r="D894" s="7"/>
      <c r="E894" s="7"/>
    </row>
    <row r="895" spans="2:5" ht="14.25" customHeight="1" x14ac:dyDescent="0.35">
      <c r="B895" s="7"/>
      <c r="C895" s="7"/>
      <c r="D895" s="7"/>
      <c r="E895" s="7"/>
    </row>
    <row r="896" spans="2:5" ht="14.25" customHeight="1" x14ac:dyDescent="0.35">
      <c r="B896" s="7"/>
      <c r="C896" s="7"/>
      <c r="D896" s="7"/>
      <c r="E896" s="7"/>
    </row>
    <row r="897" spans="2:5" ht="14.25" customHeight="1" x14ac:dyDescent="0.35">
      <c r="B897" s="7"/>
      <c r="C897" s="7"/>
      <c r="D897" s="7"/>
      <c r="E897" s="7"/>
    </row>
    <row r="898" spans="2:5" ht="14.25" customHeight="1" x14ac:dyDescent="0.35">
      <c r="B898" s="7"/>
      <c r="C898" s="7"/>
      <c r="D898" s="7"/>
      <c r="E898" s="7"/>
    </row>
    <row r="899" spans="2:5" ht="14.25" customHeight="1" x14ac:dyDescent="0.35">
      <c r="B899" s="7"/>
      <c r="C899" s="7"/>
      <c r="D899" s="7"/>
      <c r="E899" s="7"/>
    </row>
    <row r="900" spans="2:5" ht="14.25" customHeight="1" x14ac:dyDescent="0.35">
      <c r="B900" s="7"/>
      <c r="C900" s="7"/>
      <c r="D900" s="7"/>
      <c r="E900" s="7"/>
    </row>
    <row r="901" spans="2:5" ht="14.25" customHeight="1" x14ac:dyDescent="0.35">
      <c r="B901" s="7"/>
      <c r="C901" s="7"/>
      <c r="D901" s="7"/>
      <c r="E901" s="7"/>
    </row>
    <row r="902" spans="2:5" ht="14.25" customHeight="1" x14ac:dyDescent="0.35">
      <c r="B902" s="7"/>
      <c r="C902" s="7"/>
      <c r="D902" s="7"/>
      <c r="E902" s="7"/>
    </row>
    <row r="903" spans="2:5" ht="14.25" customHeight="1" x14ac:dyDescent="0.35">
      <c r="B903" s="7"/>
      <c r="C903" s="7"/>
      <c r="D903" s="7"/>
      <c r="E903" s="7"/>
    </row>
    <row r="904" spans="2:5" ht="14.25" customHeight="1" x14ac:dyDescent="0.35">
      <c r="B904" s="7"/>
      <c r="C904" s="7"/>
      <c r="D904" s="7"/>
      <c r="E904" s="7"/>
    </row>
    <row r="905" spans="2:5" ht="14.25" customHeight="1" x14ac:dyDescent="0.35">
      <c r="B905" s="7"/>
      <c r="C905" s="7"/>
      <c r="D905" s="7"/>
      <c r="E905" s="7"/>
    </row>
    <row r="906" spans="2:5" ht="14.25" customHeight="1" x14ac:dyDescent="0.35">
      <c r="B906" s="7"/>
      <c r="C906" s="7"/>
      <c r="D906" s="7"/>
      <c r="E906" s="7"/>
    </row>
    <row r="907" spans="2:5" ht="14.25" customHeight="1" x14ac:dyDescent="0.35">
      <c r="B907" s="7"/>
      <c r="C907" s="7"/>
      <c r="D907" s="7"/>
      <c r="E907" s="7"/>
    </row>
    <row r="908" spans="2:5" ht="14.25" customHeight="1" x14ac:dyDescent="0.35">
      <c r="B908" s="7"/>
      <c r="C908" s="7"/>
      <c r="D908" s="7"/>
      <c r="E908" s="7"/>
    </row>
    <row r="909" spans="2:5" ht="14.25" customHeight="1" x14ac:dyDescent="0.35">
      <c r="B909" s="7"/>
      <c r="C909" s="7"/>
      <c r="D909" s="7"/>
      <c r="E909" s="7"/>
    </row>
    <row r="910" spans="2:5" ht="14.25" customHeight="1" x14ac:dyDescent="0.35">
      <c r="B910" s="7"/>
      <c r="C910" s="7"/>
      <c r="D910" s="7"/>
      <c r="E910" s="7"/>
    </row>
    <row r="911" spans="2:5" ht="14.25" customHeight="1" x14ac:dyDescent="0.35">
      <c r="B911" s="7"/>
      <c r="C911" s="7"/>
      <c r="D911" s="7"/>
      <c r="E911" s="7"/>
    </row>
    <row r="912" spans="2:5" ht="14.25" customHeight="1" x14ac:dyDescent="0.35">
      <c r="B912" s="7"/>
      <c r="C912" s="7"/>
      <c r="D912" s="7"/>
      <c r="E912" s="7"/>
    </row>
    <row r="913" spans="2:5" ht="14.25" customHeight="1" x14ac:dyDescent="0.35">
      <c r="B913" s="7"/>
      <c r="C913" s="7"/>
      <c r="D913" s="7"/>
      <c r="E913" s="7"/>
    </row>
    <row r="914" spans="2:5" ht="14.25" customHeight="1" x14ac:dyDescent="0.35">
      <c r="B914" s="7"/>
      <c r="C914" s="7"/>
      <c r="D914" s="7"/>
      <c r="E914" s="7"/>
    </row>
    <row r="915" spans="2:5" ht="14.25" customHeight="1" x14ac:dyDescent="0.35">
      <c r="B915" s="7"/>
      <c r="C915" s="7"/>
      <c r="D915" s="7"/>
      <c r="E915" s="7"/>
    </row>
    <row r="916" spans="2:5" ht="14.25" customHeight="1" x14ac:dyDescent="0.35">
      <c r="B916" s="7"/>
      <c r="C916" s="7"/>
      <c r="D916" s="7"/>
      <c r="E916" s="7"/>
    </row>
    <row r="917" spans="2:5" ht="14.25" customHeight="1" x14ac:dyDescent="0.35">
      <c r="B917" s="7"/>
      <c r="C917" s="7"/>
      <c r="D917" s="7"/>
      <c r="E917" s="7"/>
    </row>
    <row r="918" spans="2:5" ht="14.25" customHeight="1" x14ac:dyDescent="0.35">
      <c r="B918" s="7"/>
      <c r="C918" s="7"/>
      <c r="D918" s="7"/>
      <c r="E918" s="7"/>
    </row>
    <row r="919" spans="2:5" ht="14.25" customHeight="1" x14ac:dyDescent="0.35">
      <c r="B919" s="7"/>
      <c r="C919" s="7"/>
      <c r="D919" s="7"/>
      <c r="E919" s="7"/>
    </row>
    <row r="920" spans="2:5" ht="14.25" customHeight="1" x14ac:dyDescent="0.35">
      <c r="B920" s="7"/>
      <c r="C920" s="7"/>
      <c r="D920" s="7"/>
      <c r="E920" s="7"/>
    </row>
    <row r="921" spans="2:5" ht="14.25" customHeight="1" x14ac:dyDescent="0.35">
      <c r="B921" s="7"/>
      <c r="C921" s="7"/>
      <c r="D921" s="7"/>
      <c r="E921" s="7"/>
    </row>
    <row r="922" spans="2:5" ht="14.25" customHeight="1" x14ac:dyDescent="0.35">
      <c r="B922" s="7"/>
      <c r="C922" s="7"/>
      <c r="D922" s="7"/>
      <c r="E922" s="7"/>
    </row>
    <row r="923" spans="2:5" ht="14.25" customHeight="1" x14ac:dyDescent="0.35">
      <c r="B923" s="7"/>
      <c r="C923" s="7"/>
      <c r="D923" s="7"/>
      <c r="E923" s="7"/>
    </row>
    <row r="924" spans="2:5" ht="14.25" customHeight="1" x14ac:dyDescent="0.35">
      <c r="B924" s="7"/>
      <c r="C924" s="7"/>
      <c r="D924" s="7"/>
      <c r="E924" s="7"/>
    </row>
    <row r="925" spans="2:5" ht="14.25" customHeight="1" x14ac:dyDescent="0.35">
      <c r="B925" s="7"/>
      <c r="C925" s="7"/>
      <c r="D925" s="7"/>
      <c r="E925" s="7"/>
    </row>
    <row r="926" spans="2:5" ht="14.25" customHeight="1" x14ac:dyDescent="0.35">
      <c r="B926" s="7"/>
      <c r="C926" s="7"/>
      <c r="D926" s="7"/>
      <c r="E926" s="7"/>
    </row>
    <row r="927" spans="2:5" ht="14.25" customHeight="1" x14ac:dyDescent="0.35">
      <c r="B927" s="7"/>
      <c r="C927" s="7"/>
      <c r="D927" s="7"/>
      <c r="E927" s="7"/>
    </row>
    <row r="928" spans="2:5" ht="14.25" customHeight="1" x14ac:dyDescent="0.35">
      <c r="B928" s="7"/>
      <c r="C928" s="7"/>
      <c r="D928" s="7"/>
      <c r="E928" s="7"/>
    </row>
    <row r="929" spans="2:5" ht="14.25" customHeight="1" x14ac:dyDescent="0.35">
      <c r="B929" s="7"/>
      <c r="C929" s="7"/>
      <c r="D929" s="7"/>
      <c r="E929" s="7"/>
    </row>
    <row r="930" spans="2:5" ht="14.25" customHeight="1" x14ac:dyDescent="0.35">
      <c r="B930" s="7"/>
      <c r="C930" s="7"/>
      <c r="D930" s="7"/>
      <c r="E930" s="7"/>
    </row>
    <row r="931" spans="2:5" ht="14.25" customHeight="1" x14ac:dyDescent="0.35">
      <c r="B931" s="7"/>
      <c r="C931" s="7"/>
      <c r="D931" s="7"/>
      <c r="E931" s="7"/>
    </row>
    <row r="932" spans="2:5" ht="14.25" customHeight="1" x14ac:dyDescent="0.35">
      <c r="B932" s="7"/>
      <c r="C932" s="7"/>
      <c r="D932" s="7"/>
      <c r="E932" s="7"/>
    </row>
    <row r="933" spans="2:5" ht="14.25" customHeight="1" x14ac:dyDescent="0.35">
      <c r="B933" s="7"/>
      <c r="C933" s="7"/>
      <c r="D933" s="7"/>
      <c r="E933" s="7"/>
    </row>
    <row r="934" spans="2:5" ht="14.25" customHeight="1" x14ac:dyDescent="0.35">
      <c r="B934" s="7"/>
      <c r="C934" s="7"/>
      <c r="D934" s="7"/>
      <c r="E934" s="7"/>
    </row>
    <row r="935" spans="2:5" ht="14.25" customHeight="1" x14ac:dyDescent="0.35">
      <c r="B935" s="7"/>
      <c r="C935" s="7"/>
      <c r="D935" s="7"/>
      <c r="E935" s="7"/>
    </row>
    <row r="936" spans="2:5" ht="14.25" customHeight="1" x14ac:dyDescent="0.35">
      <c r="B936" s="7"/>
      <c r="C936" s="7"/>
      <c r="D936" s="7"/>
      <c r="E936" s="7"/>
    </row>
    <row r="937" spans="2:5" ht="14.25" customHeight="1" x14ac:dyDescent="0.35">
      <c r="B937" s="7"/>
      <c r="C937" s="7"/>
      <c r="D937" s="7"/>
      <c r="E937" s="7"/>
    </row>
    <row r="938" spans="2:5" ht="14.25" customHeight="1" x14ac:dyDescent="0.35">
      <c r="B938" s="7"/>
      <c r="C938" s="7"/>
      <c r="D938" s="7"/>
      <c r="E938" s="7"/>
    </row>
    <row r="939" spans="2:5" ht="14.25" customHeight="1" x14ac:dyDescent="0.35">
      <c r="B939" s="7"/>
      <c r="C939" s="7"/>
      <c r="D939" s="7"/>
      <c r="E939" s="7"/>
    </row>
    <row r="940" spans="2:5" ht="14.25" customHeight="1" x14ac:dyDescent="0.35">
      <c r="B940" s="7"/>
      <c r="C940" s="7"/>
      <c r="D940" s="7"/>
      <c r="E940" s="7"/>
    </row>
    <row r="941" spans="2:5" ht="14.25" customHeight="1" x14ac:dyDescent="0.35">
      <c r="B941" s="7"/>
      <c r="C941" s="7"/>
      <c r="D941" s="7"/>
      <c r="E941" s="7"/>
    </row>
    <row r="942" spans="2:5" ht="14.25" customHeight="1" x14ac:dyDescent="0.35">
      <c r="B942" s="7"/>
      <c r="C942" s="7"/>
      <c r="D942" s="7"/>
      <c r="E942" s="7"/>
    </row>
    <row r="943" spans="2:5" ht="14.25" customHeight="1" x14ac:dyDescent="0.35">
      <c r="B943" s="7"/>
      <c r="C943" s="7"/>
      <c r="D943" s="7"/>
      <c r="E943" s="7"/>
    </row>
    <row r="944" spans="2:5" ht="14.25" customHeight="1" x14ac:dyDescent="0.35">
      <c r="B944" s="7"/>
      <c r="C944" s="7"/>
      <c r="D944" s="7"/>
      <c r="E944" s="7"/>
    </row>
    <row r="945" spans="2:5" ht="14.25" customHeight="1" x14ac:dyDescent="0.35">
      <c r="B945" s="7"/>
      <c r="C945" s="7"/>
      <c r="D945" s="7"/>
      <c r="E945" s="7"/>
    </row>
    <row r="946" spans="2:5" ht="14.25" customHeight="1" x14ac:dyDescent="0.35">
      <c r="B946" s="7"/>
      <c r="C946" s="7"/>
      <c r="D946" s="7"/>
      <c r="E946" s="7"/>
    </row>
    <row r="947" spans="2:5" ht="14.25" customHeight="1" x14ac:dyDescent="0.35">
      <c r="B947" s="7"/>
      <c r="C947" s="7"/>
      <c r="D947" s="7"/>
      <c r="E947" s="7"/>
    </row>
    <row r="948" spans="2:5" ht="14.25" customHeight="1" x14ac:dyDescent="0.35">
      <c r="B948" s="7"/>
      <c r="C948" s="7"/>
      <c r="D948" s="7"/>
      <c r="E948" s="7"/>
    </row>
    <row r="949" spans="2:5" ht="14.25" customHeight="1" x14ac:dyDescent="0.35">
      <c r="B949" s="7"/>
      <c r="C949" s="7"/>
      <c r="D949" s="7"/>
      <c r="E949" s="7"/>
    </row>
    <row r="950" spans="2:5" ht="14.25" customHeight="1" x14ac:dyDescent="0.35">
      <c r="B950" s="7"/>
      <c r="C950" s="7"/>
      <c r="D950" s="7"/>
      <c r="E950" s="7"/>
    </row>
    <row r="951" spans="2:5" ht="14.25" customHeight="1" x14ac:dyDescent="0.35">
      <c r="B951" s="7"/>
      <c r="C951" s="7"/>
      <c r="D951" s="7"/>
      <c r="E951" s="7"/>
    </row>
    <row r="952" spans="2:5" ht="14.25" customHeight="1" x14ac:dyDescent="0.35">
      <c r="B952" s="7"/>
      <c r="C952" s="7"/>
      <c r="D952" s="7"/>
      <c r="E952" s="7"/>
    </row>
    <row r="953" spans="2:5" ht="14.25" customHeight="1" x14ac:dyDescent="0.35">
      <c r="B953" s="7"/>
      <c r="C953" s="7"/>
      <c r="D953" s="7"/>
      <c r="E953" s="7"/>
    </row>
    <row r="954" spans="2:5" ht="14.25" customHeight="1" x14ac:dyDescent="0.35">
      <c r="B954" s="7"/>
      <c r="C954" s="7"/>
      <c r="D954" s="7"/>
      <c r="E954" s="7"/>
    </row>
    <row r="955" spans="2:5" ht="14.25" customHeight="1" x14ac:dyDescent="0.35">
      <c r="B955" s="7"/>
      <c r="C955" s="7"/>
      <c r="D955" s="7"/>
      <c r="E955" s="7"/>
    </row>
    <row r="956" spans="2:5" ht="14.25" customHeight="1" x14ac:dyDescent="0.35">
      <c r="B956" s="7"/>
      <c r="C956" s="7"/>
      <c r="D956" s="7"/>
      <c r="E956" s="7"/>
    </row>
    <row r="957" spans="2:5" ht="14.25" customHeight="1" x14ac:dyDescent="0.35">
      <c r="B957" s="7"/>
      <c r="C957" s="7"/>
      <c r="D957" s="7"/>
      <c r="E957" s="7"/>
    </row>
    <row r="958" spans="2:5" ht="14.25" customHeight="1" x14ac:dyDescent="0.35">
      <c r="B958" s="7"/>
      <c r="C958" s="7"/>
      <c r="D958" s="7"/>
      <c r="E958" s="7"/>
    </row>
    <row r="959" spans="2:5" ht="14.25" customHeight="1" x14ac:dyDescent="0.35">
      <c r="B959" s="7"/>
      <c r="C959" s="7"/>
      <c r="D959" s="7"/>
      <c r="E959" s="7"/>
    </row>
    <row r="960" spans="2:5" ht="14.25" customHeight="1" x14ac:dyDescent="0.35">
      <c r="B960" s="7"/>
      <c r="C960" s="7"/>
      <c r="D960" s="7"/>
      <c r="E960" s="7"/>
    </row>
    <row r="961" spans="2:5" ht="14.25" customHeight="1" x14ac:dyDescent="0.35">
      <c r="B961" s="7"/>
      <c r="C961" s="7"/>
      <c r="D961" s="7"/>
      <c r="E961" s="7"/>
    </row>
    <row r="962" spans="2:5" ht="14.25" customHeight="1" x14ac:dyDescent="0.35">
      <c r="B962" s="7"/>
      <c r="C962" s="7"/>
      <c r="D962" s="7"/>
      <c r="E962" s="7"/>
    </row>
    <row r="963" spans="2:5" ht="14.25" customHeight="1" x14ac:dyDescent="0.35">
      <c r="B963" s="7"/>
      <c r="C963" s="7"/>
      <c r="D963" s="7"/>
      <c r="E963" s="7"/>
    </row>
    <row r="964" spans="2:5" ht="14.25" customHeight="1" x14ac:dyDescent="0.35">
      <c r="B964" s="7"/>
      <c r="C964" s="7"/>
      <c r="D964" s="7"/>
      <c r="E964" s="7"/>
    </row>
    <row r="965" spans="2:5" ht="14.25" customHeight="1" x14ac:dyDescent="0.35">
      <c r="B965" s="7"/>
      <c r="C965" s="7"/>
      <c r="D965" s="7"/>
      <c r="E965" s="7"/>
    </row>
    <row r="966" spans="2:5" ht="14.25" customHeight="1" x14ac:dyDescent="0.35">
      <c r="B966" s="7"/>
      <c r="C966" s="7"/>
      <c r="D966" s="7"/>
      <c r="E966" s="7"/>
    </row>
    <row r="967" spans="2:5" ht="14.25" customHeight="1" x14ac:dyDescent="0.35">
      <c r="B967" s="7"/>
      <c r="C967" s="7"/>
      <c r="D967" s="7"/>
      <c r="E967" s="7"/>
    </row>
    <row r="968" spans="2:5" ht="14.25" customHeight="1" x14ac:dyDescent="0.35">
      <c r="B968" s="7"/>
      <c r="C968" s="7"/>
      <c r="D968" s="7"/>
      <c r="E968" s="7"/>
    </row>
    <row r="969" spans="2:5" ht="14.25" customHeight="1" x14ac:dyDescent="0.35">
      <c r="B969" s="7"/>
      <c r="C969" s="7"/>
      <c r="D969" s="7"/>
      <c r="E969" s="7"/>
    </row>
    <row r="970" spans="2:5" ht="14.25" customHeight="1" x14ac:dyDescent="0.35">
      <c r="B970" s="7"/>
      <c r="C970" s="7"/>
      <c r="D970" s="7"/>
      <c r="E970" s="7"/>
    </row>
    <row r="971" spans="2:5" ht="14.25" customHeight="1" x14ac:dyDescent="0.35">
      <c r="B971" s="7"/>
      <c r="C971" s="7"/>
      <c r="D971" s="7"/>
      <c r="E971" s="7"/>
    </row>
    <row r="972" spans="2:5" ht="14.25" customHeight="1" x14ac:dyDescent="0.35">
      <c r="B972" s="7"/>
      <c r="C972" s="7"/>
      <c r="D972" s="7"/>
      <c r="E972" s="7"/>
    </row>
    <row r="973" spans="2:5" ht="14.25" customHeight="1" x14ac:dyDescent="0.35">
      <c r="B973" s="7"/>
      <c r="C973" s="7"/>
      <c r="D973" s="7"/>
      <c r="E973" s="7"/>
    </row>
    <row r="974" spans="2:5" ht="14.25" customHeight="1" x14ac:dyDescent="0.35">
      <c r="B974" s="7"/>
      <c r="C974" s="7"/>
      <c r="D974" s="7"/>
      <c r="E974" s="7"/>
    </row>
    <row r="975" spans="2:5" ht="14.25" customHeight="1" x14ac:dyDescent="0.35">
      <c r="B975" s="7"/>
      <c r="C975" s="7"/>
      <c r="D975" s="7"/>
      <c r="E975" s="7"/>
    </row>
    <row r="976" spans="2:5" ht="14.25" customHeight="1" x14ac:dyDescent="0.35">
      <c r="B976" s="7"/>
      <c r="C976" s="7"/>
      <c r="D976" s="7"/>
      <c r="E976" s="7"/>
    </row>
    <row r="977" spans="2:5" ht="14.25" customHeight="1" x14ac:dyDescent="0.35">
      <c r="B977" s="7"/>
      <c r="C977" s="7"/>
      <c r="D977" s="7"/>
      <c r="E977" s="7"/>
    </row>
    <row r="978" spans="2:5" ht="14.25" customHeight="1" x14ac:dyDescent="0.35">
      <c r="B978" s="7"/>
      <c r="C978" s="7"/>
      <c r="D978" s="7"/>
      <c r="E978" s="7"/>
    </row>
    <row r="979" spans="2:5" ht="14.25" customHeight="1" x14ac:dyDescent="0.35">
      <c r="B979" s="7"/>
      <c r="C979" s="7"/>
      <c r="D979" s="7"/>
      <c r="E979" s="7"/>
    </row>
    <row r="980" spans="2:5" ht="14.25" customHeight="1" x14ac:dyDescent="0.35">
      <c r="B980" s="7"/>
      <c r="C980" s="7"/>
      <c r="D980" s="7"/>
      <c r="E980" s="7"/>
    </row>
    <row r="981" spans="2:5" ht="14.25" customHeight="1" x14ac:dyDescent="0.35">
      <c r="B981" s="7"/>
      <c r="C981" s="7"/>
      <c r="D981" s="7"/>
      <c r="E981" s="7"/>
    </row>
    <row r="982" spans="2:5" ht="14.25" customHeight="1" x14ac:dyDescent="0.35">
      <c r="B982" s="7"/>
      <c r="C982" s="7"/>
      <c r="D982" s="7"/>
      <c r="E982" s="7"/>
    </row>
    <row r="983" spans="2:5" ht="14.25" customHeight="1" x14ac:dyDescent="0.35">
      <c r="B983" s="7"/>
      <c r="C983" s="7"/>
      <c r="D983" s="7"/>
      <c r="E983" s="7"/>
    </row>
    <row r="984" spans="2:5" ht="14.25" customHeight="1" x14ac:dyDescent="0.35">
      <c r="B984" s="7"/>
      <c r="C984" s="7"/>
      <c r="D984" s="7"/>
      <c r="E984" s="7"/>
    </row>
    <row r="985" spans="2:5" ht="14.25" customHeight="1" x14ac:dyDescent="0.35">
      <c r="B985" s="7"/>
      <c r="C985" s="7"/>
      <c r="D985" s="7"/>
      <c r="E985" s="7"/>
    </row>
    <row r="986" spans="2:5" ht="14.25" customHeight="1" x14ac:dyDescent="0.35">
      <c r="B986" s="7"/>
      <c r="C986" s="7"/>
      <c r="D986" s="7"/>
      <c r="E986" s="7"/>
    </row>
    <row r="987" spans="2:5" ht="14.25" customHeight="1" x14ac:dyDescent="0.35">
      <c r="B987" s="7"/>
      <c r="C987" s="7"/>
      <c r="D987" s="7"/>
      <c r="E987" s="7"/>
    </row>
    <row r="988" spans="2:5" ht="14.25" customHeight="1" x14ac:dyDescent="0.35">
      <c r="B988" s="7"/>
      <c r="C988" s="7"/>
      <c r="D988" s="7"/>
      <c r="E988" s="7"/>
    </row>
    <row r="989" spans="2:5" ht="14.25" customHeight="1" x14ac:dyDescent="0.35">
      <c r="B989" s="7"/>
      <c r="C989" s="7"/>
      <c r="D989" s="7"/>
      <c r="E989" s="7"/>
    </row>
    <row r="990" spans="2:5" ht="14.25" customHeight="1" x14ac:dyDescent="0.35">
      <c r="B990" s="7"/>
      <c r="C990" s="7"/>
      <c r="D990" s="7"/>
      <c r="E990" s="7"/>
    </row>
    <row r="991" spans="2:5" ht="14.25" customHeight="1" x14ac:dyDescent="0.35">
      <c r="B991" s="7"/>
      <c r="C991" s="7"/>
      <c r="D991" s="7"/>
      <c r="E991" s="7"/>
    </row>
    <row r="992" spans="2:5" ht="14.25" customHeight="1" x14ac:dyDescent="0.35">
      <c r="B992" s="7"/>
      <c r="C992" s="7"/>
      <c r="D992" s="7"/>
      <c r="E992" s="7"/>
    </row>
    <row r="993" spans="2:5" ht="14.25" customHeight="1" x14ac:dyDescent="0.35">
      <c r="B993" s="7"/>
      <c r="C993" s="7"/>
      <c r="D993" s="7"/>
      <c r="E993" s="7"/>
    </row>
    <row r="994" spans="2:5" ht="14.25" customHeight="1" x14ac:dyDescent="0.35">
      <c r="B994" s="7"/>
      <c r="C994" s="7"/>
      <c r="D994" s="7"/>
      <c r="E994" s="7"/>
    </row>
    <row r="995" spans="2:5" ht="14.25" customHeight="1" x14ac:dyDescent="0.35">
      <c r="B995" s="7"/>
      <c r="C995" s="7"/>
      <c r="D995" s="7"/>
      <c r="E995" s="7"/>
    </row>
    <row r="996" spans="2:5" ht="14.25" customHeight="1" x14ac:dyDescent="0.35">
      <c r="B996" s="7"/>
      <c r="C996" s="7"/>
      <c r="D996" s="7"/>
      <c r="E996" s="7"/>
    </row>
    <row r="997" spans="2:5" ht="14.25" customHeight="1" x14ac:dyDescent="0.35">
      <c r="B997" s="7"/>
      <c r="C997" s="7"/>
      <c r="D997" s="7"/>
      <c r="E997" s="7"/>
    </row>
    <row r="998" spans="2:5" ht="14.25" customHeight="1" x14ac:dyDescent="0.35">
      <c r="B998" s="7"/>
      <c r="C998" s="7"/>
      <c r="D998" s="7"/>
      <c r="E998" s="7"/>
    </row>
    <row r="999" spans="2:5" ht="14.25" customHeight="1" x14ac:dyDescent="0.35">
      <c r="B999" s="7"/>
      <c r="C999" s="7"/>
      <c r="D999" s="7"/>
      <c r="E999" s="7"/>
    </row>
    <row r="1000" spans="2:5" ht="14.25" customHeight="1" x14ac:dyDescent="0.35">
      <c r="B1000" s="7"/>
      <c r="C1000" s="7"/>
      <c r="D1000" s="7"/>
      <c r="E1000" s="7"/>
    </row>
  </sheetData>
  <pageMargins left="0.51180555555555596" right="0.51180555555555596" top="0.78749999999999998" bottom="0.78749999999999998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1" topLeftCell="A145" activePane="bottomLeft" state="frozen"/>
      <selection pane="bottomLeft" activeCell="B157" sqref="B157:D160"/>
    </sheetView>
  </sheetViews>
  <sheetFormatPr defaultColWidth="14.453125" defaultRowHeight="15" customHeight="1" x14ac:dyDescent="0.35"/>
  <cols>
    <col min="1" max="1" width="2.90625" customWidth="1"/>
    <col min="2" max="2" width="20.6328125" customWidth="1"/>
    <col min="3" max="3" width="26.54296875" customWidth="1"/>
    <col min="4" max="4" width="51.6328125" customWidth="1"/>
    <col min="5" max="5" width="8.90625" customWidth="1"/>
    <col min="6" max="6" width="8.984375E-2" customWidth="1"/>
    <col min="7" max="7" width="10" customWidth="1"/>
    <col min="8" max="8" width="11" customWidth="1"/>
    <col min="9" max="9" width="9.36328125" hidden="1" customWidth="1"/>
    <col min="10" max="10" width="11.54296875" hidden="1" customWidth="1"/>
    <col min="11" max="11" width="49.54296875" hidden="1" customWidth="1"/>
    <col min="12" max="12" width="9.453125" customWidth="1"/>
    <col min="13" max="13" width="11.453125" customWidth="1"/>
    <col min="14" max="14" width="9.36328125" customWidth="1"/>
    <col min="15" max="26" width="8.90625" customWidth="1"/>
  </cols>
  <sheetData>
    <row r="1" spans="1:26" ht="26.25" customHeight="1" x14ac:dyDescent="0.35">
      <c r="A1" s="18"/>
      <c r="B1" s="19" t="s">
        <v>57</v>
      </c>
      <c r="C1" s="20" t="s">
        <v>58</v>
      </c>
      <c r="D1" s="20" t="s">
        <v>59</v>
      </c>
      <c r="E1" s="20" t="s">
        <v>232</v>
      </c>
      <c r="F1" s="20" t="s">
        <v>233</v>
      </c>
      <c r="G1" s="20" t="s">
        <v>234</v>
      </c>
      <c r="H1" s="20" t="s">
        <v>235</v>
      </c>
      <c r="I1" s="20" t="s">
        <v>236</v>
      </c>
      <c r="J1" s="20" t="s">
        <v>237</v>
      </c>
      <c r="K1" s="21" t="s">
        <v>238</v>
      </c>
      <c r="L1" s="20" t="s">
        <v>239</v>
      </c>
      <c r="M1" s="20" t="s">
        <v>240</v>
      </c>
      <c r="N1" s="20" t="s">
        <v>241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4.25" customHeight="1" x14ac:dyDescent="0.35">
      <c r="A2" s="18"/>
      <c r="B2" s="22" t="s">
        <v>242</v>
      </c>
      <c r="C2" s="23" t="s">
        <v>142</v>
      </c>
      <c r="D2" s="23"/>
      <c r="E2" s="24"/>
      <c r="F2" s="25"/>
      <c r="G2" s="25">
        <v>0.65</v>
      </c>
      <c r="H2" s="26" t="s">
        <v>243</v>
      </c>
      <c r="I2" s="27"/>
      <c r="J2" s="28"/>
      <c r="K2" s="29"/>
      <c r="L2" s="30"/>
      <c r="M2" s="30"/>
      <c r="N2" s="30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4.25" customHeight="1" x14ac:dyDescent="0.35">
      <c r="A3" s="18"/>
      <c r="B3" s="22" t="s">
        <v>242</v>
      </c>
      <c r="C3" s="23" t="s">
        <v>244</v>
      </c>
      <c r="D3" s="23"/>
      <c r="E3" s="24"/>
      <c r="F3" s="25"/>
      <c r="G3" s="25">
        <f>4.1+1.5</f>
        <v>5.6</v>
      </c>
      <c r="H3" s="26" t="s">
        <v>243</v>
      </c>
      <c r="I3" s="27"/>
      <c r="J3" s="28"/>
      <c r="K3" s="29"/>
      <c r="L3" s="30"/>
      <c r="M3" s="30"/>
      <c r="N3" s="30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4.25" customHeight="1" x14ac:dyDescent="0.35">
      <c r="A4" s="18"/>
      <c r="B4" s="22" t="s">
        <v>245</v>
      </c>
      <c r="C4" s="23" t="s">
        <v>144</v>
      </c>
      <c r="D4" s="23"/>
      <c r="E4" s="24">
        <v>1</v>
      </c>
      <c r="F4" s="25"/>
      <c r="G4" s="25">
        <v>0.65</v>
      </c>
      <c r="H4" s="26" t="s">
        <v>243</v>
      </c>
      <c r="I4" s="31">
        <f t="shared" ref="I4:I85" si="0">G4/E4</f>
        <v>0.65</v>
      </c>
      <c r="J4" s="28"/>
      <c r="K4" s="29"/>
      <c r="L4" s="30">
        <f t="shared" ref="L4:L23" si="1">G4-M4-N4</f>
        <v>0.65</v>
      </c>
      <c r="M4" s="30">
        <f>IF(B4="Texion Textil",0,IF(C4="Malha",'Custos insumos'!$B$24,IF(C4="Dublagem Cretone",'Custos insumos'!$D$7,IF(C4="Dublagem Spun",'Custos insumos'!$D$4,IF(C4="Espelhamento",'Custos insumos'!$B$11,IF(C4="Espelhamento 2x",2*'Custos insumos'!$B$11,IF(C4="Esp. + Pel.",'Custos insumos'!$B$11,IF(C4="Pel. + Spun",'Custos insumos'!$D$4,IF(C4="Dublagem Cretone PES",'Custos insumos'!$D$7,IF(C4="Dublagem Barreira",'Custos insumos'!$D$11,IF(C4="Dublagem - MO + Filme",'Custos insumos'!$D$4,)))))))))))</f>
        <v>0</v>
      </c>
      <c r="N4" s="30">
        <f>IF(B4="Texion Textil",0,IF(B4="Três Elos",0,IF(C4="Malha",0,IF(C4="Dublagem Cretone",'Custos insumos'!$D$23,IF(C4="Dublagem Spun",'Custos insumos'!$D$19,IF(C4="Espelhamento",0,IF(C4="Espelhamento 2x",0,IF(C4="Esp. + Pel.",0,IF(C4="Pel. + Spun",'Custos insumos'!$D$19,IF(C4="Dublagem Cretone PES",'Custos insumos'!$F$25,IF(C4="Dublagem Barreira",'Custos insumos'!$D$22,)))))))))))</f>
        <v>0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4.25" customHeight="1" x14ac:dyDescent="0.35">
      <c r="A5" s="18"/>
      <c r="B5" s="22" t="s">
        <v>67</v>
      </c>
      <c r="C5" s="23" t="s">
        <v>68</v>
      </c>
      <c r="D5" s="23"/>
      <c r="E5" s="24">
        <v>1</v>
      </c>
      <c r="F5" s="25">
        <v>18.899999999999999</v>
      </c>
      <c r="G5" s="25">
        <v>20.9</v>
      </c>
      <c r="H5" s="24" t="s">
        <v>246</v>
      </c>
      <c r="I5" s="27">
        <f t="shared" si="0"/>
        <v>20.9</v>
      </c>
      <c r="J5" s="28">
        <v>45301</v>
      </c>
      <c r="K5" s="29"/>
      <c r="L5" s="30">
        <f t="shared" si="1"/>
        <v>8.3999999999999986</v>
      </c>
      <c r="M5" s="30">
        <f>IF(B5="Texion Textil",0,IF(C5="Malha",'Custos insumos'!$B$24,IF(C5="Dublagem Cretone",'Custos insumos'!$D$7,IF(C5="Dublagem Spun",'Custos insumos'!$D$4,IF(C5="Espelhamento",'Custos insumos'!$B$11,IF(C5="Espelhamento 2x",2*'Custos insumos'!$B$11,IF(C5="Esp. + Pel.",'Custos insumos'!$B$11,IF(C5="Pel. + Spun",'Custos insumos'!$D$4,IF(C5="Dublagem Cretone PES",'Custos insumos'!$D$7,IF(C5="Dublagem Barreira",'Custos insumos'!$D$11,IF(C5="Dublagem - MO + Filme",'Custos insumos'!$D$4,)))))))))))</f>
        <v>12.5</v>
      </c>
      <c r="N5" s="30">
        <f>IF(B5="Texion Textil",0,IF(B5="Três Elos",0,IF(C5="Malha",0,IF(C5="Dublagem Cretone",'Custos insumos'!$D$23,IF(C5="Dublagem Spun",'Custos insumos'!$D$19,IF(C5="Espelhamento",0,IF(C5="Espelhamento 2x",0,IF(C5="Esp. + Pel.",0,IF(C5="Pel. + Spun",'Custos insumos'!$D$19,IF(C5="Dublagem Cretone PES",'Custos insumos'!$F$25,IF(C5="Dublagem Barreira",'Custos insumos'!$D$22,)))))))))))</f>
        <v>0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4.25" customHeight="1" x14ac:dyDescent="0.35">
      <c r="A6" s="18"/>
      <c r="B6" s="22" t="s">
        <v>74</v>
      </c>
      <c r="C6" s="23" t="s">
        <v>247</v>
      </c>
      <c r="D6" s="23"/>
      <c r="E6" s="24">
        <v>1</v>
      </c>
      <c r="F6" s="25"/>
      <c r="G6" s="25">
        <v>6.5</v>
      </c>
      <c r="H6" s="26" t="s">
        <v>243</v>
      </c>
      <c r="I6" s="27">
        <f t="shared" si="0"/>
        <v>6.5</v>
      </c>
      <c r="J6" s="28">
        <v>45301</v>
      </c>
      <c r="K6" s="29" t="s">
        <v>248</v>
      </c>
      <c r="L6" s="30">
        <f t="shared" si="1"/>
        <v>2.2100000000000004</v>
      </c>
      <c r="M6" s="30">
        <f>IF(B6="Texion Textil",0,IF(C6="Malha",'Custos insumos'!$B$24,IF(C6="Dublagem Cretone",'Custos insumos'!$D$7,IF(C6="Dublagem Spun",'Custos insumos'!$D$4,IF(C6="Espelhamento",'Custos insumos'!$B$11,IF(C6="Espelhamento 2x",2*'Custos insumos'!$B$11,IF(C6="Esp. + Pel.",'Custos insumos'!$B$11,IF(C6="Pel. + Spun",'Custos insumos'!$D$4,IF(C6="Dublagem Cretone PES",'Custos insumos'!$D$7,IF(C6="Dublagem Barreira",'Custos insumos'!$D$11,IF(C6="Dublagem - MO + Filme",'Custos insumos'!$D$4,IF(C6="Dublagem Cretone HM50",'Custos insumos'!$D$26,IF(C6="Dublagem Cretone HM70",'Custos insumos'!$F$10,)))))))))))))</f>
        <v>1.962</v>
      </c>
      <c r="N6" s="30">
        <f>IF(B6="Texion Textil",0,IF(B6="Três Elos",0,IF(C6="Malha",0,IF(C6="Dublagem Cretone",'Custos insumos'!$D$23,IF(C6="Dublagem Spun",'Custos insumos'!$D$19,IF(C6="Espelhamento",0,IF(C6="Espelhamento 2x",0,IF(C6="Esp. + Pel.",0,IF(C6="Pel. + Spun",'Custos insumos'!$D$19,IF(C6="Dublagem Cretone PES",'Custos insumos'!$F$25,IF(C6="Dublagem Barreira",'Custos insumos'!$D$22,)))))))))))</f>
        <v>2.3279999999999998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4.25" customHeight="1" x14ac:dyDescent="0.35">
      <c r="A7" s="18"/>
      <c r="B7" s="22" t="s">
        <v>74</v>
      </c>
      <c r="C7" s="23" t="s">
        <v>249</v>
      </c>
      <c r="D7" s="23" t="s">
        <v>250</v>
      </c>
      <c r="E7" s="24">
        <v>1</v>
      </c>
      <c r="F7" s="25"/>
      <c r="G7" s="25">
        <v>6.5</v>
      </c>
      <c r="H7" s="26" t="s">
        <v>243</v>
      </c>
      <c r="I7" s="27">
        <f t="shared" si="0"/>
        <v>6.5</v>
      </c>
      <c r="J7" s="28">
        <v>45301</v>
      </c>
      <c r="K7" s="29" t="s">
        <v>248</v>
      </c>
      <c r="L7" s="30">
        <f t="shared" si="1"/>
        <v>4.4858000000000002</v>
      </c>
      <c r="M7" s="30">
        <f>IF(B7="Texion Textil",0,IF(C7="Malha",'Custos insumos'!$B$24,IF(C7="Dublagem Cretone",'Custos insumos'!$D$7,IF(C7="Dublagem Spun",'Custos insumos'!$D$4,IF(C7="Espelhamento",'Custos insumos'!$B$11,IF(C7="Espelhamento 2x",2*'Custos insumos'!$B$11,IF(C7="Esp. + Pel.",'Custos insumos'!$B$11,IF(C7="Pel. + Spun",'Custos insumos'!$D$4,IF(C7="Dublagem Cretone PES",'Custos insumos'!$D$7,IF(C7="Dublagem Barreira",'Custos insumos'!$D$11,IF(C7="Dublagem - MO + Filme",'Custos insumos'!$D$4,IF(C7="Dublagem Cretone HM50",'Custos insumos'!$D$26,IF(C7="Dublagem Cretone HM70",'Custos insumos'!$F$10,)))))))))))))</f>
        <v>1.1232</v>
      </c>
      <c r="N7" s="30">
        <f>IF(B7="Texion Textil",0,IF(B7="Três Elos",0,IF(C7="Malha",0,IF(C7="Dublagem Cretone",'Custos insumos'!$D$23,IF(C7="Dublagem Spun",'Custos insumos'!$D$19,IF(C7="Espelhamento",0,IF(C7="Espelhamento 2x",0,IF(C7="Esp. + Pel.",0,IF(C7="Pel. + Spun",'Custos insumos'!$D$19,IF(C7="Dublagem Cretone PES",'Custos insumos'!$F$25,IF(C7="Dublagem Barreira",'Custos insumos'!$D$22,)))))))))))</f>
        <v>0.89100000000000001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4.25" customHeight="1" x14ac:dyDescent="0.35">
      <c r="A8" s="18"/>
      <c r="B8" s="22" t="s">
        <v>74</v>
      </c>
      <c r="C8" s="23" t="s">
        <v>251</v>
      </c>
      <c r="D8" s="23"/>
      <c r="E8" s="24">
        <v>1</v>
      </c>
      <c r="F8" s="25">
        <v>10.7</v>
      </c>
      <c r="G8" s="25">
        <f t="shared" ref="G8:G10" si="2">F8+(F8*0.1)</f>
        <v>11.77</v>
      </c>
      <c r="H8" s="26" t="s">
        <v>243</v>
      </c>
      <c r="I8" s="27">
        <f t="shared" si="0"/>
        <v>11.77</v>
      </c>
      <c r="J8" s="28">
        <v>45301</v>
      </c>
      <c r="K8" s="29" t="s">
        <v>252</v>
      </c>
      <c r="L8" s="30">
        <f t="shared" si="1"/>
        <v>7.48</v>
      </c>
      <c r="M8" s="30">
        <f>IF(B8="Texion Textil",0,IF(C8="Malha",'Custos insumos'!$B$24,IF(C8="Dublagem Cretone",'Custos insumos'!$D$7,IF(C8="Dublagem Spun",'Custos insumos'!$D$4,IF(C8="Espelhamento",'Custos insumos'!$B$11,IF(C8="Espelhamento 2x",2*'Custos insumos'!$B$11,IF(C8="Esp. + Pel.",'Custos insumos'!$B$11,IF(C8="Pel. + Spun",'Custos insumos'!$D$4,IF(C8="Dublagem Cretone PES",'Custos insumos'!$D$7,IF(C8="Dublagem Barreira",'Custos insumos'!$D$11,IF(C8="Dublagem - MO + Filme",'Custos insumos'!$D$4,IF(C8="Dublagem Cretone HM50",'Custos insumos'!$D$26,IF(C8="Dublagem Cretone HM70",'Custos insumos'!$F$10,)))))))))))))</f>
        <v>1.962</v>
      </c>
      <c r="N8" s="30">
        <f>IF(B8="Texion Textil",0,IF(B8="Três Elos",0,IF(C8="Malha",0,IF(C8="Dublagem Cretone",'Custos insumos'!$D$23,IF(C8="Dublagem Spun",'Custos insumos'!$D$19,IF(C8="Espelhamento",0,IF(C8="Espelhamento 2x",0,IF(C8="Esp. + Pel.",0,IF(C8="Pel. + Spun",'Custos insumos'!$D$19,IF(C8="Dublagem Cretone PES",'Custos insumos'!$F$25,IF(C8="Dublagem Barreira",'Custos insumos'!$D$22,)))))))))))</f>
        <v>2.3279999999999998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4.25" customHeight="1" x14ac:dyDescent="0.35">
      <c r="A9" s="18"/>
      <c r="B9" s="22" t="s">
        <v>74</v>
      </c>
      <c r="C9" s="23" t="s">
        <v>249</v>
      </c>
      <c r="D9" s="23"/>
      <c r="E9" s="24">
        <v>1</v>
      </c>
      <c r="F9" s="25">
        <v>10.7</v>
      </c>
      <c r="G9" s="25">
        <f t="shared" si="2"/>
        <v>11.77</v>
      </c>
      <c r="H9" s="26" t="s">
        <v>243</v>
      </c>
      <c r="I9" s="27">
        <f t="shared" si="0"/>
        <v>11.77</v>
      </c>
      <c r="J9" s="28">
        <v>45301</v>
      </c>
      <c r="K9" s="29" t="s">
        <v>248</v>
      </c>
      <c r="L9" s="30">
        <f t="shared" si="1"/>
        <v>9.7557999999999989</v>
      </c>
      <c r="M9" s="30">
        <f>IF(B9="Texion Textil",0,IF(C9="Malha",'Custos insumos'!$B$24,IF(C9="Dublagem Cretone",'Custos insumos'!$D$7,IF(C9="Dublagem Spun",'Custos insumos'!$D$4,IF(C9="Espelhamento",'Custos insumos'!$B$11,IF(C9="Espelhamento 2x",2*'Custos insumos'!$B$11,IF(C9="Esp. + Pel.",'Custos insumos'!$B$11,IF(C9="Pel. + Spun",'Custos insumos'!$D$4,IF(C9="Dublagem Cretone PES",'Custos insumos'!$D$7,IF(C9="Dublagem Barreira",'Custos insumos'!$D$11,IF(C9="Dublagem - MO + Filme",'Custos insumos'!$D$4,IF(C9="Dublagem Cretone HM50",'Custos insumos'!$D$26,IF(C9="Dublagem Cretone HM70",'Custos insumos'!$F$10,)))))))))))))</f>
        <v>1.1232</v>
      </c>
      <c r="N9" s="30">
        <f>IF(B9="Texion Textil",0,IF(B9="Três Elos",0,IF(C9="Malha",0,IF(C9="Dublagem Cretone",'Custos insumos'!$D$23,IF(C9="Dublagem Spun",'Custos insumos'!$D$19,IF(C9="Espelhamento",0,IF(C9="Espelhamento 2x",0,IF(C9="Esp. + Pel.",0,IF(C9="Pel. + Spun",'Custos insumos'!$D$19,IF(C9="Dublagem Cretone PES",'Custos insumos'!$F$25,IF(C9="Dublagem Barreira",'Custos insumos'!$D$22,)))))))))))</f>
        <v>0.89100000000000001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4.25" customHeight="1" x14ac:dyDescent="0.35">
      <c r="A10" s="18"/>
      <c r="B10" s="22" t="s">
        <v>74</v>
      </c>
      <c r="C10" s="23" t="s">
        <v>106</v>
      </c>
      <c r="D10" s="23"/>
      <c r="E10" s="24">
        <v>1</v>
      </c>
      <c r="F10" s="25">
        <v>6.7</v>
      </c>
      <c r="G10" s="25">
        <f t="shared" si="2"/>
        <v>7.37</v>
      </c>
      <c r="H10" s="26" t="s">
        <v>243</v>
      </c>
      <c r="I10" s="27">
        <f t="shared" si="0"/>
        <v>7.37</v>
      </c>
      <c r="J10" s="28">
        <v>45301</v>
      </c>
      <c r="K10" s="29" t="s">
        <v>248</v>
      </c>
      <c r="L10" s="30">
        <f t="shared" si="1"/>
        <v>6.3114997101449273</v>
      </c>
      <c r="M10" s="30">
        <f>IF(B10="Texion Textil",0,IF(C10="Malha",'Custos insumos'!$B$24,IF(C10="Dublagem Cretone",'Custos insumos'!$D$7,IF(C10="Dublagem Spun",'Custos insumos'!$D$4,IF(C10="Espelhamento",'Custos insumos'!$B$11,IF(C10="Espelhamento 2x",2*'Custos insumos'!$B$11,IF(C10="Esp. + Pel.",'Custos insumos'!$B$11,IF(C10="Pel. + Spun",'Custos insumos'!$D$4,IF(C10="Dublagem Cretone PES",'Custos insumos'!$D$7,IF(C10="Dublagem Barreira",'Custos insumos'!$D$11,IF(C10="Dublagem - MO + Filme",'Custos insumos'!$D$4,IF(C10="Dublagem Cretone HM50",'Custos insumos'!$D$26,IF(C10="Dublagem Cretone HM70",'Custos insumos'!$F$10,)))))))))))))</f>
        <v>1.0585002898550726</v>
      </c>
      <c r="N10" s="30">
        <f>IF(B10="Texion Textil",0,IF(B10="Três Elos",0,IF(C10="Malha",0,IF(C10="Dublagem Cretone",'Custos insumos'!$D$23,IF(C10="Dublagem Spun",'Custos insumos'!$D$19,IF(C10="Espelhamento",0,IF(C10="Espelhamento 2x",0,IF(C10="Esp. + Pel.",0,IF(C10="Pel. + Spun",'Custos insumos'!$D$19,IF(C10="Dublagem Cretone PES",'Custos insumos'!$F$25,IF(C10="Dublagem Barreira",'Custos insumos'!$D$22,)))))))))))</f>
        <v>0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25" customHeight="1" x14ac:dyDescent="0.35">
      <c r="A11" s="18"/>
      <c r="B11" s="22" t="s">
        <v>253</v>
      </c>
      <c r="C11" s="23" t="s">
        <v>254</v>
      </c>
      <c r="D11" s="23" t="s">
        <v>255</v>
      </c>
      <c r="E11" s="24">
        <v>2</v>
      </c>
      <c r="F11" s="25">
        <v>0.5</v>
      </c>
      <c r="G11" s="25">
        <v>0.5</v>
      </c>
      <c r="H11" s="26" t="s">
        <v>243</v>
      </c>
      <c r="I11" s="27">
        <f t="shared" si="0"/>
        <v>0.25</v>
      </c>
      <c r="J11" s="28">
        <v>45301</v>
      </c>
      <c r="K11" s="29"/>
      <c r="L11" s="30">
        <f t="shared" si="1"/>
        <v>0.5</v>
      </c>
      <c r="M11" s="30">
        <f>IF(B11="Texion Textil",0,IF(C11="Malha",'Custos insumos'!$B$24,IF(C11="Dublagem Cretone",'Custos insumos'!$D$7,IF(C11="Dublagem Spun",'Custos insumos'!$D$4,IF(C11="Espelhamento",'Custos insumos'!$B$11,IF(C11="Espelhamento 2x",2*'Custos insumos'!$B$11,IF(C11="Esp. + Pel.",'Custos insumos'!$B$11,IF(C11="Pel. + Spun",'Custos insumos'!$D$4,IF(C11="Dublagem Cretone PES",'Custos insumos'!$D$7,IF(C11="Dublagem Barreira",'Custos insumos'!$D$11,IF(C11="Dublagem - MO + Filme",'Custos insumos'!$D$4,IF(C11="Dublagem Cretone HM50",'Custos insumos'!$D$26,IF(C11="Dublagem Cretone HM70",'Custos insumos'!$F$10,)))))))))))))</f>
        <v>0</v>
      </c>
      <c r="N11" s="30">
        <f>IF(B11="Texion Textil",0,IF(B11="Três Elos",0,IF(C11="Malha",0,IF(C11="Dublagem Cretone",'Custos insumos'!$D$23,IF(C11="Dublagem Spun",'Custos insumos'!$D$19,IF(C11="Espelhamento",0,IF(C11="Espelhamento 2x",0,IF(C11="Esp. + Pel.",0,IF(C11="Pel. + Spun",'Custos insumos'!$D$19,IF(C11="Dublagem Cretone PES",'Custos insumos'!$F$25,IF(C11="Dublagem Barreira",'Custos insumos'!$D$22,)))))))))))</f>
        <v>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4.25" customHeight="1" x14ac:dyDescent="0.35">
      <c r="A12" s="18" t="s">
        <v>256</v>
      </c>
      <c r="B12" s="22" t="s">
        <v>253</v>
      </c>
      <c r="C12" s="23" t="s">
        <v>254</v>
      </c>
      <c r="D12" s="23">
        <v>12142</v>
      </c>
      <c r="E12" s="24">
        <v>2</v>
      </c>
      <c r="F12" s="25">
        <v>0.35</v>
      </c>
      <c r="G12" s="25">
        <v>0.35</v>
      </c>
      <c r="H12" s="26" t="s">
        <v>243</v>
      </c>
      <c r="I12" s="27">
        <f t="shared" si="0"/>
        <v>0.17499999999999999</v>
      </c>
      <c r="J12" s="28">
        <v>45301</v>
      </c>
      <c r="K12" s="29"/>
      <c r="L12" s="30">
        <f t="shared" si="1"/>
        <v>0.35</v>
      </c>
      <c r="M12" s="30">
        <f>IF(B12="Texion Textil",0,IF(C12="Malha",'Custos insumos'!$B$24,IF(C12="Dublagem Cretone",'Custos insumos'!$D$7,IF(C12="Dublagem Spun",'Custos insumos'!$D$4,IF(C12="Espelhamento",'Custos insumos'!$B$11,IF(C12="Espelhamento 2x",2*'Custos insumos'!$B$11,IF(C12="Esp. + Pel.",'Custos insumos'!$B$11,IF(C12="Pel. + Spun",'Custos insumos'!$D$4,IF(C12="Dublagem Cretone PES",'Custos insumos'!$D$7,IF(C12="Dublagem Barreira",'Custos insumos'!$D$11,IF(C12="Dublagem - MO + Filme",'Custos insumos'!$D$4,IF(C12="Dublagem Cretone HM50",'Custos insumos'!$D$26,IF(C12="Dublagem Cretone HM70",'Custos insumos'!$F$10,)))))))))))))</f>
        <v>0</v>
      </c>
      <c r="N12" s="30">
        <f>IF(B12="Texion Textil",0,IF(B12="Três Elos",0,IF(C12="Malha",0,IF(C12="Dublagem Cretone",'Custos insumos'!$D$23,IF(C12="Dublagem Spun",'Custos insumos'!$D$19,IF(C12="Espelhamento",0,IF(C12="Espelhamento 2x",0,IF(C12="Esp. + Pel.",0,IF(C12="Pel. + Spun",'Custos insumos'!$D$19,IF(C12="Dublagem Cretone PES",'Custos insumos'!$F$25,IF(C12="Dublagem Barreira",'Custos insumos'!$D$22,)))))))))))</f>
        <v>0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4.25" customHeight="1" x14ac:dyDescent="0.35">
      <c r="A13" s="18" t="s">
        <v>256</v>
      </c>
      <c r="B13" s="22" t="s">
        <v>253</v>
      </c>
      <c r="C13" s="23" t="s">
        <v>144</v>
      </c>
      <c r="D13" s="23"/>
      <c r="E13" s="24">
        <v>1</v>
      </c>
      <c r="F13" s="25"/>
      <c r="G13" s="25">
        <v>0.45</v>
      </c>
      <c r="H13" s="26" t="s">
        <v>243</v>
      </c>
      <c r="I13" s="27">
        <f t="shared" si="0"/>
        <v>0.45</v>
      </c>
      <c r="J13" s="28">
        <v>45301</v>
      </c>
      <c r="K13" s="29"/>
      <c r="L13" s="30">
        <f t="shared" si="1"/>
        <v>0.45</v>
      </c>
      <c r="M13" s="30">
        <f>IF(B13="Texion Textil",0,IF(C13="Malha",'Custos insumos'!$B$24,IF(C13="Dublagem Cretone",'Custos insumos'!$D$7,IF(C13="Dublagem Spun",'Custos insumos'!$D$4,IF(C13="Espelhamento",'Custos insumos'!$B$11,IF(C13="Espelhamento 2x",2*'Custos insumos'!$B$11,IF(C13="Esp. + Pel.",'Custos insumos'!$B$11,IF(C13="Pel. + Spun",'Custos insumos'!$D$4,IF(C13="Dublagem Cretone PES",'Custos insumos'!$D$7,IF(C13="Dublagem Barreira",'Custos insumos'!$D$11,IF(C13="Dublagem - MO + Filme",'Custos insumos'!$D$4,IF(C13="Dublagem Cretone HM50",'Custos insumos'!$D$26,IF(C13="Dublagem Cretone HM70",'Custos insumos'!$F$10,)))))))))))))</f>
        <v>0</v>
      </c>
      <c r="N13" s="30">
        <f>IF(B13="Texion Textil",0,IF(B13="Três Elos",0,IF(C13="Malha",0,IF(C13="Dublagem Cretone",'Custos insumos'!$D$23,IF(C13="Dublagem Spun",'Custos insumos'!$D$19,IF(C13="Espelhamento",0,IF(C13="Espelhamento 2x",0,IF(C13="Esp. + Pel.",0,IF(C13="Pel. + Spun",'Custos insumos'!$D$19,IF(C13="Dublagem Cretone PES",'Custos insumos'!$F$25,IF(C13="Dublagem Barreira",'Custos insumos'!$D$22,)))))))))))</f>
        <v>0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25" customHeight="1" x14ac:dyDescent="0.35">
      <c r="A14" s="18" t="s">
        <v>256</v>
      </c>
      <c r="B14" s="22" t="s">
        <v>253</v>
      </c>
      <c r="C14" s="23" t="s">
        <v>142</v>
      </c>
      <c r="D14" s="23"/>
      <c r="E14" s="24">
        <v>1</v>
      </c>
      <c r="F14" s="25"/>
      <c r="G14" s="27">
        <v>0.65</v>
      </c>
      <c r="H14" s="26" t="s">
        <v>243</v>
      </c>
      <c r="I14" s="27">
        <f t="shared" si="0"/>
        <v>0.65</v>
      </c>
      <c r="J14" s="28">
        <v>45301</v>
      </c>
      <c r="K14" s="29"/>
      <c r="L14" s="30">
        <f t="shared" si="1"/>
        <v>0.65</v>
      </c>
      <c r="M14" s="30">
        <f>IF(B14="Texion Textil",0,IF(C14="Malha",'Custos insumos'!$B$24,IF(C14="Dublagem Cretone",'Custos insumos'!$D$7,IF(C14="Dublagem Spun",'Custos insumos'!$D$4,IF(C14="Espelhamento",'Custos insumos'!$B$11,IF(C14="Espelhamento 2x",2*'Custos insumos'!$B$11,IF(C14="Esp. + Pel.",'Custos insumos'!$B$11,IF(C14="Pel. + Spun",'Custos insumos'!$D$4,IF(C14="Dublagem Cretone PES",'Custos insumos'!$D$7,IF(C14="Dublagem Barreira",'Custos insumos'!$D$11,IF(C14="Dublagem - MO + Filme",'Custos insumos'!$D$4,IF(C14="Dublagem Cretone HM50",'Custos insumos'!$D$26,IF(C14="Dublagem Cretone HM70",'Custos insumos'!$F$10,)))))))))))))</f>
        <v>0</v>
      </c>
      <c r="N14" s="30">
        <f>IF(B14="Texion Textil",0,IF(B14="Três Elos",0,IF(C14="Malha",0,IF(C14="Dublagem Cretone",'Custos insumos'!$D$23,IF(C14="Dublagem Spun",'Custos insumos'!$D$19,IF(C14="Espelhamento",0,IF(C14="Espelhamento 2x",0,IF(C14="Esp. + Pel.",0,IF(C14="Pel. + Spun",'Custos insumos'!$D$19,IF(C14="Dublagem Cretone PES",'Custos insumos'!$F$25,IF(C14="Dublagem Barreira",'Custos insumos'!$D$22,)))))))))))</f>
        <v>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25" customHeight="1" x14ac:dyDescent="0.35">
      <c r="A15" s="18" t="s">
        <v>256</v>
      </c>
      <c r="B15" s="22" t="s">
        <v>253</v>
      </c>
      <c r="C15" s="32" t="s">
        <v>257</v>
      </c>
      <c r="D15" s="32"/>
      <c r="E15" s="33">
        <v>1</v>
      </c>
      <c r="F15" s="34"/>
      <c r="G15" s="35">
        <v>1.1499999999999999</v>
      </c>
      <c r="H15" s="26" t="s">
        <v>243</v>
      </c>
      <c r="I15" s="27">
        <f t="shared" si="0"/>
        <v>1.1499999999999999</v>
      </c>
      <c r="J15" s="28">
        <v>45301</v>
      </c>
      <c r="K15" s="36" t="s">
        <v>258</v>
      </c>
      <c r="L15" s="30">
        <f t="shared" si="1"/>
        <v>1.1499999999999999</v>
      </c>
      <c r="M15" s="30">
        <f>IF(B15="Texion Textil",0,IF(C15="Malha",'Custos insumos'!$B$24,IF(C15="Dublagem Cretone",'Custos insumos'!$D$7,IF(C15="Dublagem Spun",'Custos insumos'!$D$4,IF(C15="Espelhamento",'Custos insumos'!$B$11,IF(C15="Espelhamento 2x",2*'Custos insumos'!$B$11,IF(C15="Esp. + Pel.",'Custos insumos'!$B$11,IF(C15="Pel. + Spun",'Custos insumos'!$D$4,IF(C15="Dublagem Cretone PES",'Custos insumos'!$D$7,IF(C15="Dublagem Barreira",'Custos insumos'!$D$11,IF(C15="Dublagem - MO + Filme",'Custos insumos'!$D$4,IF(C15="Dublagem Cretone HM50",'Custos insumos'!$D$26,IF(C15="Dublagem Cretone HM70",'Custos insumos'!$F$10,)))))))))))))</f>
        <v>0</v>
      </c>
      <c r="N15" s="30">
        <f>IF(B15="Texion Textil",0,IF(B15="Três Elos",0,IF(C15="Malha",0,IF(C15="Dublagem Cretone",'Custos insumos'!$D$23,IF(C15="Dublagem Spun",'Custos insumos'!$D$19,IF(C15="Espelhamento",0,IF(C15="Espelhamento 2x",0,IF(C15="Esp. + Pel.",0,IF(C15="Pel. + Spun",'Custos insumos'!$D$19,IF(C15="Dublagem Cretone PES",'Custos insumos'!$F$25,IF(C15="Dublagem Barreira",'Custos insumos'!$D$22,)))))))))))</f>
        <v>0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25" customHeight="1" x14ac:dyDescent="0.35">
      <c r="A16" s="18" t="s">
        <v>256</v>
      </c>
      <c r="B16" s="22" t="s">
        <v>253</v>
      </c>
      <c r="C16" s="32" t="s">
        <v>106</v>
      </c>
      <c r="D16" s="32"/>
      <c r="E16" s="33">
        <v>1</v>
      </c>
      <c r="F16" s="34"/>
      <c r="G16" s="35">
        <v>2.35</v>
      </c>
      <c r="H16" s="26" t="s">
        <v>243</v>
      </c>
      <c r="I16" s="27">
        <f t="shared" si="0"/>
        <v>2.35</v>
      </c>
      <c r="J16" s="28">
        <v>45301</v>
      </c>
      <c r="K16" s="36" t="s">
        <v>259</v>
      </c>
      <c r="L16" s="30">
        <f t="shared" si="1"/>
        <v>1.2914997101449275</v>
      </c>
      <c r="M16" s="30">
        <f>IF(B16="Texion Textil",0,IF(C16="Malha",'Custos insumos'!$B$24,IF(C16="Dublagem Cretone",'Custos insumos'!$D$7,IF(C16="Dublagem Spun",'Custos insumos'!$D$4,IF(C16="Espelhamento",'Custos insumos'!$B$11,IF(C16="Espelhamento 2x",2*'Custos insumos'!$B$11,IF(C16="Esp. + Pel.",'Custos insumos'!$B$11,IF(C16="Pel. + Spun",'Custos insumos'!$D$4,IF(C16="Dublagem Cretone PES",'Custos insumos'!$D$7,IF(C16="Dublagem Barreira",'Custos insumos'!$D$11,IF(C16="Dublagem - MO + Filme",'Custos insumos'!$D$4,IF(C16="Dublagem Cretone HM50",'Custos insumos'!$D$26,IF(C16="Dublagem Cretone HM70",'Custos insumos'!$F$10,)))))))))))))</f>
        <v>1.0585002898550726</v>
      </c>
      <c r="N16" s="30">
        <f>IF(B16="Texion Textil",0,IF(B16="Três Elos",0,IF(C16="Malha",0,IF(C16="Dublagem Cretone",'Custos insumos'!$D$23,IF(C16="Dublagem Spun",'Custos insumos'!$D$19,IF(C16="Espelhamento",0,IF(C16="Espelhamento 2x",0,IF(C16="Esp. + Pel.",0,IF(C16="Pel. + Spun",'Custos insumos'!$D$19,IF(C16="Dublagem Cretone PES",'Custos insumos'!$F$25,IF(C16="Dublagem Barreira",'Custos insumos'!$D$22,)))))))))))</f>
        <v>0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25" customHeight="1" x14ac:dyDescent="0.35">
      <c r="A17" s="18" t="s">
        <v>256</v>
      </c>
      <c r="B17" s="22" t="s">
        <v>253</v>
      </c>
      <c r="C17" s="32" t="s">
        <v>260</v>
      </c>
      <c r="D17" s="32"/>
      <c r="E17" s="33">
        <v>1</v>
      </c>
      <c r="F17" s="34"/>
      <c r="G17" s="35">
        <v>1.1499999999999999</v>
      </c>
      <c r="H17" s="26" t="s">
        <v>243</v>
      </c>
      <c r="I17" s="27">
        <f t="shared" si="0"/>
        <v>1.1499999999999999</v>
      </c>
      <c r="J17" s="28">
        <v>45301</v>
      </c>
      <c r="K17" s="36" t="s">
        <v>258</v>
      </c>
      <c r="L17" s="30">
        <f t="shared" si="1"/>
        <v>1.1499999999999999</v>
      </c>
      <c r="M17" s="30">
        <f>IF(B17="Texion Textil",0,IF(C17="Malha",'Custos insumos'!$B$24,IF(C17="Dublagem Cretone",'Custos insumos'!$D$7,IF(C17="Dublagem Spun",'Custos insumos'!$D$4,IF(C17="Espelhamento",'Custos insumos'!$B$11,IF(C17="Espelhamento 2x",2*'Custos insumos'!$B$11,IF(C17="Esp. + Pel.",'Custos insumos'!$B$11,IF(C17="Pel. + Spun",'Custos insumos'!$D$4,IF(C17="Dublagem Cretone PES",'Custos insumos'!$D$7,IF(C17="Dublagem Barreira",'Custos insumos'!$D$11,IF(C17="Dublagem - MO + Filme",'Custos insumos'!$D$4,IF(C17="Dublagem Cretone HM50",'Custos insumos'!$D$26,IF(C17="Dublagem Cretone HM70",'Custos insumos'!$F$10,)))))))))))))</f>
        <v>0</v>
      </c>
      <c r="N17" s="30">
        <f>IF(B17="Texion Textil",0,IF(B17="Três Elos",0,IF(C17="Malha",0,IF(C17="Dublagem Cretone",'Custos insumos'!$D$23,IF(C17="Dublagem Spun",'Custos insumos'!$D$19,IF(C17="Espelhamento",0,IF(C17="Espelhamento 2x",0,IF(C17="Esp. + Pel.",0,IF(C17="Pel. + Spun",'Custos insumos'!$D$19,IF(C17="Dublagem Cretone PES",'Custos insumos'!$F$25,IF(C17="Dublagem Barreira",'Custos insumos'!$D$22,)))))))))))</f>
        <v>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25" customHeight="1" x14ac:dyDescent="0.35">
      <c r="A18" s="18" t="s">
        <v>256</v>
      </c>
      <c r="B18" s="22" t="s">
        <v>253</v>
      </c>
      <c r="C18" s="32" t="s">
        <v>249</v>
      </c>
      <c r="D18" s="32"/>
      <c r="E18" s="33">
        <v>1</v>
      </c>
      <c r="F18" s="34"/>
      <c r="G18" s="35">
        <v>4.5</v>
      </c>
      <c r="H18" s="26" t="s">
        <v>243</v>
      </c>
      <c r="I18" s="27">
        <f t="shared" si="0"/>
        <v>4.5</v>
      </c>
      <c r="J18" s="28">
        <v>45301</v>
      </c>
      <c r="K18" s="36" t="s">
        <v>259</v>
      </c>
      <c r="L18" s="30">
        <f t="shared" si="1"/>
        <v>2.4858000000000002</v>
      </c>
      <c r="M18" s="30">
        <f>IF(B18="Texion Textil",0,IF(C18="Malha",'Custos insumos'!$B$24,IF(C18="Dublagem Cretone",'Custos insumos'!$D$7,IF(C18="Dublagem Spun",'Custos insumos'!$D$4,IF(C18="Espelhamento",'Custos insumos'!$B$11,IF(C18="Espelhamento 2x",2*'Custos insumos'!$B$11,IF(C18="Esp. + Pel.",'Custos insumos'!$B$11,IF(C18="Pel. + Spun",'Custos insumos'!$D$4,IF(C18="Dublagem Cretone PES",'Custos insumos'!$D$7,IF(C18="Dublagem Barreira",'Custos insumos'!$D$11,IF(C18="Dublagem - MO + Filme",'Custos insumos'!$D$4,IF(C18="Dublagem Cretone HM50",'Custos insumos'!$D$26,IF(C18="Dublagem Cretone HM70",'Custos insumos'!$F$10,)))))))))))))</f>
        <v>1.1232</v>
      </c>
      <c r="N18" s="30">
        <f>IF(B18="Texion Textil",0,IF(B18="Três Elos",0,IF(C18="Malha",0,IF(C18="Dublagem Cretone",'Custos insumos'!$D$23,IF(C18="Dublagem Spun",'Custos insumos'!$D$19,IF(C18="Espelhamento",0,IF(C18="Espelhamento 2x",0,IF(C18="Esp. + Pel.",0,IF(C18="Pel. + Spun",'Custos insumos'!$D$19,IF(C18="Dublagem Cretone PES",'Custos insumos'!$F$25,IF(C18="Dublagem Barreira",'Custos insumos'!$D$22,)))))))))))</f>
        <v>0.89100000000000001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25" customHeight="1" x14ac:dyDescent="0.35">
      <c r="A19" s="18" t="s">
        <v>256</v>
      </c>
      <c r="B19" s="22" t="s">
        <v>253</v>
      </c>
      <c r="C19" s="32" t="s">
        <v>261</v>
      </c>
      <c r="D19" s="32"/>
      <c r="E19" s="33">
        <v>1</v>
      </c>
      <c r="F19" s="34"/>
      <c r="G19" s="35">
        <v>1.1499999999999999</v>
      </c>
      <c r="H19" s="26" t="s">
        <v>243</v>
      </c>
      <c r="I19" s="27">
        <f t="shared" si="0"/>
        <v>1.1499999999999999</v>
      </c>
      <c r="J19" s="28">
        <v>45301</v>
      </c>
      <c r="K19" s="36" t="s">
        <v>258</v>
      </c>
      <c r="L19" s="30">
        <f t="shared" si="1"/>
        <v>1.1499999999999999</v>
      </c>
      <c r="M19" s="30">
        <f>IF(B19="Texion Textil",0,IF(C19="Malha",'Custos insumos'!$B$24,IF(C19="Dublagem Cretone",'Custos insumos'!$D$7,IF(C19="Dublagem Spun",'Custos insumos'!$D$4,IF(C19="Espelhamento",'Custos insumos'!$B$11,IF(C19="Espelhamento 2x",2*'Custos insumos'!$B$11,IF(C19="Esp. + Pel.",'Custos insumos'!$B$11,IF(C19="Pel. + Spun",'Custos insumos'!$D$4,IF(C19="Dublagem Cretone PES",'Custos insumos'!$D$7,IF(C19="Dublagem Barreira",'Custos insumos'!$D$11,IF(C19="Dublagem - MO + Filme",'Custos insumos'!$D$4,IF(C19="Dublagem Cretone HM50",'Custos insumos'!$D$26,IF(C19="Dublagem Cretone HM70",'Custos insumos'!$F$10,)))))))))))))</f>
        <v>0</v>
      </c>
      <c r="N19" s="30">
        <f>IF(B19="Texion Textil",0,IF(B19="Três Elos",0,IF(C19="Malha",0,IF(C19="Dublagem Cretone",'Custos insumos'!$D$23,IF(C19="Dublagem Spun",'Custos insumos'!$D$19,IF(C19="Espelhamento",0,IF(C19="Espelhamento 2x",0,IF(C19="Esp. + Pel.",0,IF(C19="Pel. + Spun",'Custos insumos'!$D$19,IF(C19="Dublagem Cretone PES",'Custos insumos'!$F$25,IF(C19="Dublagem Barreira",'Custos insumos'!$D$22,)))))))))))</f>
        <v>0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25" customHeight="1" x14ac:dyDescent="0.35">
      <c r="A20" s="18" t="s">
        <v>256</v>
      </c>
      <c r="B20" s="22" t="s">
        <v>262</v>
      </c>
      <c r="C20" s="32" t="s">
        <v>254</v>
      </c>
      <c r="D20" s="32"/>
      <c r="E20" s="33">
        <v>1</v>
      </c>
      <c r="F20" s="34"/>
      <c r="G20" s="35">
        <v>1.1000000000000001</v>
      </c>
      <c r="H20" s="26" t="s">
        <v>243</v>
      </c>
      <c r="I20" s="27">
        <f t="shared" si="0"/>
        <v>1.1000000000000001</v>
      </c>
      <c r="J20" s="28"/>
      <c r="K20" s="36"/>
      <c r="L20" s="30">
        <f t="shared" si="1"/>
        <v>1.1000000000000001</v>
      </c>
      <c r="M20" s="30">
        <f>IF(B20="Texion Textil",0,IF(C20="Malha",'Custos insumos'!$B$24,IF(C20="Dublagem Cretone",'Custos insumos'!$D$7,IF(C20="Dublagem Spun",'Custos insumos'!$D$4,IF(C20="Espelhamento",'Custos insumos'!$B$11,IF(C20="Espelhamento 2x",2*'Custos insumos'!$B$11,IF(C20="Esp. + Pel.",'Custos insumos'!$B$11,IF(C20="Pel. + Spun",'Custos insumos'!$D$4,IF(C20="Dublagem Cretone PES",'Custos insumos'!$D$7,IF(C20="Dublagem Barreira",'Custos insumos'!$D$11,IF(C20="Dublagem - MO + Filme",'Custos insumos'!$D$4,IF(C20="Dublagem Cretone HM50",'Custos insumos'!$D$26,IF(C20="Dublagem Cretone HM70",'Custos insumos'!$F$10,)))))))))))))</f>
        <v>0</v>
      </c>
      <c r="N20" s="30">
        <f>IF(B20="Texion Textil",0,IF(B20="Três Elos",0,IF(C20="Malha",0,IF(C20="Dublagem Cretone",'Custos insumos'!$D$23,IF(C20="Dublagem Spun",'Custos insumos'!$D$19,IF(C20="Espelhamento",0,IF(C20="Espelhamento 2x",0,IF(C20="Esp. + Pel.",0,IF(C20="Pel. + Spun",'Custos insumos'!$D$19,IF(C20="Dublagem Cretone PES",'Custos insumos'!$F$25,IF(C20="Dublagem Barreira",'Custos insumos'!$D$22,)))))))))))</f>
        <v>0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4.25" customHeight="1" x14ac:dyDescent="0.35">
      <c r="A21" s="18"/>
      <c r="B21" s="22" t="s">
        <v>81</v>
      </c>
      <c r="C21" s="32" t="s">
        <v>144</v>
      </c>
      <c r="D21" s="32"/>
      <c r="E21" s="33">
        <v>1</v>
      </c>
      <c r="F21" s="34">
        <v>0.6</v>
      </c>
      <c r="G21" s="34">
        <v>0.65</v>
      </c>
      <c r="H21" s="26" t="s">
        <v>243</v>
      </c>
      <c r="I21" s="27">
        <f t="shared" si="0"/>
        <v>0.65</v>
      </c>
      <c r="J21" s="28">
        <v>45301</v>
      </c>
      <c r="K21" s="36"/>
      <c r="L21" s="30">
        <f t="shared" si="1"/>
        <v>0.65</v>
      </c>
      <c r="M21" s="30">
        <f>IF(B21="Texion Textil",0,IF(C21="Malha",'Custos insumos'!$B$24,IF(C21="Dublagem Cretone",'Custos insumos'!$D$7,IF(C21="Dublagem Spun",'Custos insumos'!$D$4,IF(C21="Espelhamento",'Custos insumos'!$B$11,IF(C21="Espelhamento 2x",2*'Custos insumos'!$B$11,IF(C21="Esp. + Pel.",'Custos insumos'!$B$11,IF(C21="Pel. + Spun",'Custos insumos'!$D$4,IF(C21="Dublagem Cretone PES",'Custos insumos'!$D$7,IF(C21="Dublagem Barreira",'Custos insumos'!$D$11,IF(C21="Dublagem - MO + Filme",'Custos insumos'!$D$4,IF(C21="Dublagem Cretone HM50",'Custos insumos'!$D$26,IF(C21="Dublagem Cretone HM70",'Custos insumos'!$F$10,)))))))))))))</f>
        <v>0</v>
      </c>
      <c r="N21" s="30">
        <f>IF(B21="Texion Textil",0,IF(B21="Três Elos",0,IF(C21="Malha",0,IF(C21="Dublagem Cretone",'Custos insumos'!$D$23,IF(C21="Dublagem Spun",'Custos insumos'!$D$19,IF(C21="Espelhamento",0,IF(C21="Espelhamento 2x",0,IF(C21="Esp. + Pel.",0,IF(C21="Pel. + Spun",'Custos insumos'!$D$19,IF(C21="Dublagem Cretone PES",'Custos insumos'!$F$25,IF(C21="Dublagem Barreira",'Custos insumos'!$D$22,)))))))))))</f>
        <v>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4.25" customHeight="1" x14ac:dyDescent="0.35">
      <c r="A22" s="18" t="s">
        <v>256</v>
      </c>
      <c r="B22" s="22" t="s">
        <v>81</v>
      </c>
      <c r="C22" s="23" t="s">
        <v>261</v>
      </c>
      <c r="D22" s="23"/>
      <c r="E22" s="24">
        <v>1</v>
      </c>
      <c r="F22" s="25">
        <v>2.14</v>
      </c>
      <c r="G22" s="25">
        <f>1.19+1.15</f>
        <v>2.34</v>
      </c>
      <c r="H22" s="26" t="s">
        <v>243</v>
      </c>
      <c r="I22" s="27">
        <f t="shared" si="0"/>
        <v>2.34</v>
      </c>
      <c r="J22" s="28">
        <v>45301</v>
      </c>
      <c r="K22" s="29" t="s">
        <v>263</v>
      </c>
      <c r="L22" s="30">
        <f t="shared" si="1"/>
        <v>0.37799999999999989</v>
      </c>
      <c r="M22" s="37">
        <f>'Custos insumos'!D7</f>
        <v>1.962</v>
      </c>
      <c r="N22" s="37">
        <v>0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4.25" customHeight="1" x14ac:dyDescent="0.35">
      <c r="A23" s="18" t="s">
        <v>256</v>
      </c>
      <c r="B23" s="22" t="s">
        <v>264</v>
      </c>
      <c r="C23" s="23" t="s">
        <v>254</v>
      </c>
      <c r="D23" s="23"/>
      <c r="E23" s="24">
        <v>3</v>
      </c>
      <c r="F23" s="25">
        <v>1</v>
      </c>
      <c r="G23" s="25">
        <v>1.1000000000000001</v>
      </c>
      <c r="H23" s="26" t="s">
        <v>243</v>
      </c>
      <c r="I23" s="27">
        <f t="shared" si="0"/>
        <v>0.3666666666666667</v>
      </c>
      <c r="J23" s="28">
        <v>45301</v>
      </c>
      <c r="K23" s="29"/>
      <c r="L23" s="30">
        <f t="shared" si="1"/>
        <v>1.1000000000000001</v>
      </c>
      <c r="M23" s="30">
        <f>IF(B23="Texion Textil",0,IF(C23="Malha",'Custos insumos'!$B$24,IF(C23="Dublagem Cretone",'Custos insumos'!$D$7,IF(C23="Dublagem Spun",'Custos insumos'!$D$4,IF(C23="Espelhamento",'Custos insumos'!$B$11,IF(C23="Espelhamento 2x",2*'Custos insumos'!$B$11,IF(C23="Esp. + Pel.",'Custos insumos'!$B$11,IF(C23="Pel. + Spun",'Custos insumos'!$D$4,IF(C23="Dublagem Cretone PES",'Custos insumos'!$D$7,IF(C23="Dublagem Barreira",'Custos insumos'!$D$11,IF(C23="Dublagem - MO + Filme",'Custos insumos'!$D$4,IF(C23="Dublagem Cretone HM50",'Custos insumos'!$D$26,IF(C23="Dublagem Cretone HM70",'Custos insumos'!$F$10,)))))))))))))</f>
        <v>0</v>
      </c>
      <c r="N23" s="30">
        <f>IF(B23="Texion Textil",0,IF(B23="Três Elos",0,IF(C23="Malha",0,IF(C23="Dublagem Cretone",'Custos insumos'!$D$23,IF(C23="Dublagem Spun",'Custos insumos'!$D$19,IF(C23="Espelhamento",0,IF(C23="Espelhamento 2x",0,IF(C23="Esp. + Pel.",0,IF(C23="Pel. + Spun",'Custos insumos'!$D$19,IF(C23="Dublagem Cretone PES",'Custos insumos'!$F$25,IF(C23="Dublagem Barreira",'Custos insumos'!$D$22,)))))))))))</f>
        <v>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4.25" customHeight="1" x14ac:dyDescent="0.35">
      <c r="A24" s="18"/>
      <c r="B24" s="22" t="s">
        <v>87</v>
      </c>
      <c r="C24" s="23" t="s">
        <v>144</v>
      </c>
      <c r="D24" s="23"/>
      <c r="E24" s="24">
        <v>1</v>
      </c>
      <c r="F24" s="25">
        <v>0.5</v>
      </c>
      <c r="G24" s="25">
        <v>0.75</v>
      </c>
      <c r="H24" s="26" t="s">
        <v>243</v>
      </c>
      <c r="I24" s="27">
        <f t="shared" si="0"/>
        <v>0.75</v>
      </c>
      <c r="J24" s="28">
        <v>45301</v>
      </c>
      <c r="K24" s="29"/>
      <c r="L24" s="30">
        <v>0.75</v>
      </c>
      <c r="M24" s="30">
        <f>IF(B24="Texion Textil",0,IF(C24="Malha",'Custos insumos'!$B$24,IF(C24="Dublagem Cretone",'Custos insumos'!$D$7,IF(C24="Dublagem Spun",'Custos insumos'!$D$4,IF(C24="Espelhamento",'Custos insumos'!$B$11,IF(C24="Espelhamento 2x",2*'Custos insumos'!$B$11,IF(C24="Esp. + Pel.",'Custos insumos'!$B$11,IF(C24="Pel. + Spun",'Custos insumos'!$D$4,IF(C24="Dublagem Cretone PES",'Custos insumos'!$D$7,IF(C24="Dublagem Barreira",'Custos insumos'!$D$11,IF(C24="Dublagem - MO + Filme",'Custos insumos'!$D$4,IF(C24="Dublagem Cretone HM50",'Custos insumos'!$D$26,IF(C24="Dublagem Cretone HM70",'Custos insumos'!$F$10,)))))))))))))</f>
        <v>0</v>
      </c>
      <c r="N24" s="30">
        <f>IF(B24="Texion Textil",0,IF(B24="Três Elos",0,IF(C24="Malha",0,IF(C24="Dublagem Cretone",'Custos insumos'!$D$23,IF(C24="Dublagem Spun",'Custos insumos'!$D$19,IF(C24="Espelhamento",0,IF(C24="Espelhamento 2x",0,IF(C24="Esp. + Pel.",0,IF(C24="Pel. + Spun",'Custos insumos'!$D$19,IF(C24="Dublagem Cretone PES",'Custos insumos'!$F$25,IF(C24="Dublagem Barreira",'Custos insumos'!$D$22,)))))))))))</f>
        <v>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4.25" customHeight="1" x14ac:dyDescent="0.35">
      <c r="A25" s="18"/>
      <c r="B25" s="22" t="s">
        <v>87</v>
      </c>
      <c r="C25" s="23" t="s">
        <v>144</v>
      </c>
      <c r="D25" s="23" t="s">
        <v>265</v>
      </c>
      <c r="E25" s="24">
        <v>2</v>
      </c>
      <c r="F25" s="25">
        <v>0.5</v>
      </c>
      <c r="G25" s="25">
        <v>1.25</v>
      </c>
      <c r="H25" s="26" t="s">
        <v>243</v>
      </c>
      <c r="I25" s="27">
        <f t="shared" si="0"/>
        <v>0.625</v>
      </c>
      <c r="J25" s="28">
        <v>45301</v>
      </c>
      <c r="K25" s="29"/>
      <c r="L25" s="30">
        <f t="shared" ref="L25:L67" si="3">G25-M25-N25</f>
        <v>1.25</v>
      </c>
      <c r="M25" s="30">
        <f>IF(B25="Texion Textil",0,IF(C25="Malha",'Custos insumos'!$B$24,IF(C25="Dublagem Cretone",'Custos insumos'!$D$7,IF(C25="Dublagem Spun",'Custos insumos'!$D$4,IF(C25="Espelhamento",'Custos insumos'!$B$11,IF(C25="Espelhamento 2x",2*'Custos insumos'!$B$11,IF(C25="Esp. + Pel.",'Custos insumos'!$B$11,IF(C25="Pel. + Spun",'Custos insumos'!$D$4,IF(C25="Dublagem Cretone PES",'Custos insumos'!$D$7,IF(C25="Dublagem Barreira",'Custos insumos'!$D$11,IF(C25="Dublagem - MO + Filme",'Custos insumos'!$D$4,IF(C25="Dublagem Cretone HM50",'Custos insumos'!$D$26,IF(C25="Dublagem Cretone HM70",'Custos insumos'!$F$10,)))))))))))))</f>
        <v>0</v>
      </c>
      <c r="N25" s="30">
        <f>IF(B25="Texion Textil",0,IF(B25="Três Elos",0,IF(C25="Malha",0,IF(C25="Dublagem Cretone",'Custos insumos'!$D$23,IF(C25="Dublagem Spun",'Custos insumos'!$D$19,IF(C25="Espelhamento",0,IF(C25="Espelhamento 2x",0,IF(C25="Esp. + Pel.",0,IF(C25="Pel. + Spun",'Custos insumos'!$D$19,IF(C25="Dublagem Cretone PES",'Custos insumos'!$F$25,IF(C25="Dublagem Barreira",'Custos insumos'!$D$22,)))))))))))</f>
        <v>0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4.25" customHeight="1" x14ac:dyDescent="0.35">
      <c r="A26" s="18"/>
      <c r="B26" s="22" t="s">
        <v>89</v>
      </c>
      <c r="C26" s="23" t="s">
        <v>254</v>
      </c>
      <c r="D26" s="23"/>
      <c r="E26" s="24">
        <v>3</v>
      </c>
      <c r="F26" s="25">
        <v>0.3</v>
      </c>
      <c r="G26" s="25">
        <v>0.4</v>
      </c>
      <c r="H26" s="26" t="s">
        <v>243</v>
      </c>
      <c r="I26" s="27">
        <f t="shared" si="0"/>
        <v>0.13333333333333333</v>
      </c>
      <c r="J26" s="28">
        <v>45301</v>
      </c>
      <c r="K26" s="29"/>
      <c r="L26" s="30">
        <f t="shared" si="3"/>
        <v>0.4</v>
      </c>
      <c r="M26" s="30">
        <f>IF(B26="Texion Textil",0,IF(C26="Malha",'Custos insumos'!$B$24,IF(C26="Dublagem Cretone",'Custos insumos'!$D$7,IF(C26="Dublagem Spun",'Custos insumos'!$D$4,IF(C26="Espelhamento",'Custos insumos'!$B$11,IF(C26="Espelhamento 2x",2*'Custos insumos'!$B$11,IF(C26="Esp. + Pel.",'Custos insumos'!$B$11,IF(C26="Pel. + Spun",'Custos insumos'!$D$4,IF(C26="Dublagem Cretone PES",'Custos insumos'!$D$7,IF(C26="Dublagem Barreira",'Custos insumos'!$D$11,IF(C26="Dublagem - MO + Filme",'Custos insumos'!$D$4,IF(C26="Dublagem Cretone HM50",'Custos insumos'!$D$26,IF(C26="Dublagem Cretone HM70",'Custos insumos'!$F$10,)))))))))))))</f>
        <v>0</v>
      </c>
      <c r="N26" s="30">
        <f>IF(B26="Texion Textil",0,IF(B26="Três Elos",0,IF(C26="Malha",0,IF(C26="Dublagem Cretone",'Custos insumos'!$D$23,IF(C26="Dublagem Spun",'Custos insumos'!$D$19,IF(C26="Espelhamento",0,IF(C26="Espelhamento 2x",0,IF(C26="Esp. + Pel.",0,IF(C26="Pel. + Spun",'Custos insumos'!$D$19,IF(C26="Dublagem Cretone PES",'Custos insumos'!$F$25,IF(C26="Dublagem Barreira",'Custos insumos'!$D$22,)))))))))))</f>
        <v>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4.25" customHeight="1" x14ac:dyDescent="0.35">
      <c r="A27" s="18"/>
      <c r="B27" s="22" t="s">
        <v>90</v>
      </c>
      <c r="C27" s="23" t="s">
        <v>144</v>
      </c>
      <c r="D27" s="23"/>
      <c r="E27" s="24">
        <v>1</v>
      </c>
      <c r="F27" s="25">
        <v>0.5</v>
      </c>
      <c r="G27" s="25">
        <v>0.55000000000000004</v>
      </c>
      <c r="H27" s="26" t="s">
        <v>243</v>
      </c>
      <c r="I27" s="27">
        <f t="shared" si="0"/>
        <v>0.55000000000000004</v>
      </c>
      <c r="J27" s="28">
        <v>45301</v>
      </c>
      <c r="K27" s="29"/>
      <c r="L27" s="30">
        <f t="shared" si="3"/>
        <v>0.55000000000000004</v>
      </c>
      <c r="M27" s="30">
        <f>IF(B27="Texion Textil",0,IF(C27="Malha",'Custos insumos'!$B$24,IF(C27="Dublagem Cretone",'Custos insumos'!$D$7,IF(C27="Dublagem Spun",'Custos insumos'!$D$4,IF(C27="Espelhamento",'Custos insumos'!$B$11,IF(C27="Espelhamento 2x",2*'Custos insumos'!$B$11,IF(C27="Esp. + Pel.",'Custos insumos'!$B$11,IF(C27="Pel. + Spun",'Custos insumos'!$D$4,IF(C27="Dublagem Cretone PES",'Custos insumos'!$D$7,IF(C27="Dublagem Barreira",'Custos insumos'!$D$11,IF(C27="Dublagem - MO + Filme",'Custos insumos'!$D$4,IF(C27="Dublagem Cretone HM50",'Custos insumos'!$D$26,IF(C27="Dublagem Cretone HM70",'Custos insumos'!$F$10,)))))))))))))</f>
        <v>0</v>
      </c>
      <c r="N27" s="30">
        <f>IF(B27="Texion Textil",0,IF(B27="Três Elos",0,IF(C27="Malha",0,IF(C27="Dublagem Cretone",'Custos insumos'!$D$23,IF(C27="Dublagem Spun",'Custos insumos'!$D$19,IF(C27="Espelhamento",0,IF(C27="Espelhamento 2x",0,IF(C27="Esp. + Pel.",0,IF(C27="Pel. + Spun",'Custos insumos'!$D$19,IF(C27="Dublagem Cretone PES",'Custos insumos'!$F$25,IF(C27="Dublagem Barreira",'Custos insumos'!$D$22,)))))))))))</f>
        <v>0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4.25" customHeight="1" x14ac:dyDescent="0.35">
      <c r="A28" s="18"/>
      <c r="B28" s="22" t="s">
        <v>90</v>
      </c>
      <c r="C28" s="23" t="s">
        <v>68</v>
      </c>
      <c r="D28" s="23"/>
      <c r="E28" s="24">
        <v>1</v>
      </c>
      <c r="F28" s="25">
        <v>18.899999999999999</v>
      </c>
      <c r="G28" s="25">
        <v>20.9</v>
      </c>
      <c r="H28" s="26" t="s">
        <v>246</v>
      </c>
      <c r="I28" s="27">
        <f t="shared" si="0"/>
        <v>20.9</v>
      </c>
      <c r="J28" s="28">
        <v>45301</v>
      </c>
      <c r="K28" s="29"/>
      <c r="L28" s="30">
        <f t="shared" si="3"/>
        <v>8.3999999999999986</v>
      </c>
      <c r="M28" s="30">
        <f>IF(B28="Texion Textil",0,IF(C28="Malha",'Custos insumos'!$B$24,IF(C28="Dublagem Cretone",'Custos insumos'!$D$7,IF(C28="Dublagem Spun",'Custos insumos'!$D$4,IF(C28="Espelhamento",'Custos insumos'!$B$11,IF(C28="Espelhamento 2x",2*'Custos insumos'!$B$11,IF(C28="Esp. + Pel.",'Custos insumos'!$B$11,IF(C28="Pel. + Spun",'Custos insumos'!$D$4,IF(C28="Dublagem Cretone PES",'Custos insumos'!$D$7,IF(C28="Dublagem Barreira",'Custos insumos'!$D$11,IF(C28="Dublagem - MO + Filme",'Custos insumos'!$D$4,IF(C28="Dublagem Cretone HM50",'Custos insumos'!$D$26,IF(C28="Dublagem Cretone HM70",'Custos insumos'!$F$10,)))))))))))))</f>
        <v>12.5</v>
      </c>
      <c r="N28" s="30">
        <f>IF(B28="Texion Textil",0,IF(B28="Três Elos",0,IF(C28="Malha",0,IF(C28="Dublagem Cretone",'Custos insumos'!$D$23,IF(C28="Dublagem Spun",'Custos insumos'!$D$19,IF(C28="Espelhamento",0,IF(C28="Espelhamento 2x",0,IF(C28="Esp. + Pel.",0,IF(C28="Pel. + Spun",'Custos insumos'!$D$19,IF(C28="Dublagem Cretone PES",'Custos insumos'!$F$25,IF(C28="Dublagem Barreira",'Custos insumos'!$D$22,)))))))))))</f>
        <v>0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4.25" customHeight="1" x14ac:dyDescent="0.35">
      <c r="A29" s="18"/>
      <c r="B29" s="22" t="s">
        <v>91</v>
      </c>
      <c r="C29" s="23" t="s">
        <v>83</v>
      </c>
      <c r="D29" s="23"/>
      <c r="E29" s="24">
        <v>1</v>
      </c>
      <c r="F29" s="25">
        <v>0.86</v>
      </c>
      <c r="G29" s="25" t="s">
        <v>266</v>
      </c>
      <c r="H29" s="26" t="s">
        <v>243</v>
      </c>
      <c r="I29" s="27" t="e">
        <f t="shared" si="0"/>
        <v>#VALUE!</v>
      </c>
      <c r="J29" s="28">
        <v>45301</v>
      </c>
      <c r="K29" s="29"/>
      <c r="L29" s="30" t="e">
        <f t="shared" si="3"/>
        <v>#VALUE!</v>
      </c>
      <c r="M29" s="30">
        <f>IF(B29="Texion Textil",0,IF(C29="Malha",'Custos insumos'!$B$24,IF(C29="Dublagem Cretone",'Custos insumos'!$D$7,IF(C29="Dublagem Spun",'Custos insumos'!$D$4,IF(C29="Espelhamento",'Custos insumos'!$B$11,IF(C29="Espelhamento 2x",2*'Custos insumos'!$B$11,IF(C29="Esp. + Pel.",'Custos insumos'!$B$11,IF(C29="Pel. + Spun",'Custos insumos'!$D$4,IF(C29="Dublagem Cretone PES",'Custos insumos'!$D$7,IF(C29="Dublagem Barreira",'Custos insumos'!$D$11,IF(C29="Dublagem - MO + Filme",'Custos insumos'!$D$4,IF(C29="Dublagem Cretone HM50",'Custos insumos'!$D$26,IF(C29="Dublagem Cretone HM70",'Custos insumos'!$F$10,)))))))))))))</f>
        <v>0</v>
      </c>
      <c r="N29" s="30">
        <f>IF(B29="Texion Textil",0,IF(B29="Três Elos",0,IF(C29="Malha",0,IF(C29="Dublagem Cretone",'Custos insumos'!$D$23,IF(C29="Dublagem Spun",'Custos insumos'!$D$19,IF(C29="Espelhamento",0,IF(C29="Espelhamento 2x",0,IF(C29="Esp. + Pel.",0,IF(C29="Pel. + Spun",'Custos insumos'!$D$19,IF(C29="Dublagem Cretone PES",'Custos insumos'!$F$25,IF(C29="Dublagem Barreira",'Custos insumos'!$D$22,)))))))))))</f>
        <v>0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4.25" customHeight="1" x14ac:dyDescent="0.35">
      <c r="A30" s="18" t="s">
        <v>256</v>
      </c>
      <c r="B30" s="22" t="s">
        <v>91</v>
      </c>
      <c r="C30" s="23" t="s">
        <v>254</v>
      </c>
      <c r="D30" s="23"/>
      <c r="E30" s="24">
        <v>1</v>
      </c>
      <c r="F30" s="25">
        <v>0.34</v>
      </c>
      <c r="G30" s="25" t="s">
        <v>266</v>
      </c>
      <c r="H30" s="26" t="s">
        <v>243</v>
      </c>
      <c r="I30" s="27" t="e">
        <f t="shared" si="0"/>
        <v>#VALUE!</v>
      </c>
      <c r="J30" s="28">
        <v>45301</v>
      </c>
      <c r="K30" s="29"/>
      <c r="L30" s="30" t="e">
        <f t="shared" si="3"/>
        <v>#VALUE!</v>
      </c>
      <c r="M30" s="30">
        <f>IF(B30="Texion Textil",0,IF(C30="Malha",'Custos insumos'!$B$24,IF(C30="Dublagem Cretone",'Custos insumos'!$D$7,IF(C30="Dublagem Spun",'Custos insumos'!$D$4,IF(C30="Espelhamento",'Custos insumos'!$B$11,IF(C30="Espelhamento 2x",2*'Custos insumos'!$B$11,IF(C30="Esp. + Pel.",'Custos insumos'!$B$11,IF(C30="Pel. + Spun",'Custos insumos'!$D$4,IF(C30="Dublagem Cretone PES",'Custos insumos'!$D$7,IF(C30="Dublagem Barreira",'Custos insumos'!$D$11,IF(C30="Dublagem - MO + Filme",'Custos insumos'!$D$4,IF(C30="Dublagem Cretone HM50",'Custos insumos'!$D$26,IF(C30="Dublagem Cretone HM70",'Custos insumos'!$F$10,)))))))))))))</f>
        <v>0</v>
      </c>
      <c r="N30" s="30">
        <f>IF(B30="Texion Textil",0,IF(B30="Três Elos",0,IF(C30="Malha",0,IF(C30="Dublagem Cretone",'Custos insumos'!$D$23,IF(C30="Dublagem Spun",'Custos insumos'!$D$19,IF(C30="Espelhamento",0,IF(C30="Espelhamento 2x",0,IF(C30="Esp. + Pel.",0,IF(C30="Pel. + Spun",'Custos insumos'!$D$19,IF(C30="Dublagem Cretone PES",'Custos insumos'!$F$25,IF(C30="Dublagem Barreira",'Custos insumos'!$D$22,)))))))))))</f>
        <v>0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4.25" customHeight="1" x14ac:dyDescent="0.35">
      <c r="A31" s="18" t="s">
        <v>256</v>
      </c>
      <c r="B31" s="22" t="s">
        <v>91</v>
      </c>
      <c r="C31" s="23" t="s">
        <v>144</v>
      </c>
      <c r="D31" s="23"/>
      <c r="E31" s="24">
        <v>1</v>
      </c>
      <c r="F31" s="25">
        <v>0.34</v>
      </c>
      <c r="G31" s="25" t="s">
        <v>266</v>
      </c>
      <c r="H31" s="26" t="s">
        <v>243</v>
      </c>
      <c r="I31" s="27" t="e">
        <f t="shared" si="0"/>
        <v>#VALUE!</v>
      </c>
      <c r="J31" s="28">
        <v>45301</v>
      </c>
      <c r="K31" s="29"/>
      <c r="L31" s="30" t="e">
        <f t="shared" si="3"/>
        <v>#VALUE!</v>
      </c>
      <c r="M31" s="30">
        <f>IF(B31="Texion Textil",0,IF(C31="Malha",'Custos insumos'!$B$24,IF(C31="Dublagem Cretone",'Custos insumos'!$D$7,IF(C31="Dublagem Spun",'Custos insumos'!$D$4,IF(C31="Espelhamento",'Custos insumos'!$B$11,IF(C31="Espelhamento 2x",2*'Custos insumos'!$B$11,IF(C31="Esp. + Pel.",'Custos insumos'!$B$11,IF(C31="Pel. + Spun",'Custos insumos'!$D$4,IF(C31="Dublagem Cretone PES",'Custos insumos'!$D$7,IF(C31="Dublagem Barreira",'Custos insumos'!$D$11,IF(C31="Dublagem - MO + Filme",'Custos insumos'!$D$4,IF(C31="Dublagem Cretone HM50",'Custos insumos'!$D$26,IF(C31="Dublagem Cretone HM70",'Custos insumos'!$F$10,)))))))))))))</f>
        <v>0</v>
      </c>
      <c r="N31" s="30">
        <f>IF(B31="Texion Textil",0,IF(B31="Três Elos",0,IF(C31="Malha",0,IF(C31="Dublagem Cretone",'Custos insumos'!$D$23,IF(C31="Dublagem Spun",'Custos insumos'!$D$19,IF(C31="Espelhamento",0,IF(C31="Espelhamento 2x",0,IF(C31="Esp. + Pel.",0,IF(C31="Pel. + Spun",'Custos insumos'!$D$19,IF(C31="Dublagem Cretone PES",'Custos insumos'!$F$25,IF(C31="Dublagem Barreira",'Custos insumos'!$D$22,)))))))))))</f>
        <v>0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4.25" customHeight="1" x14ac:dyDescent="0.35">
      <c r="A32" s="18" t="s">
        <v>256</v>
      </c>
      <c r="B32" s="22" t="s">
        <v>92</v>
      </c>
      <c r="C32" s="23" t="s">
        <v>267</v>
      </c>
      <c r="D32" s="23" t="s">
        <v>268</v>
      </c>
      <c r="E32" s="24">
        <v>4</v>
      </c>
      <c r="F32" s="25">
        <v>4.25</v>
      </c>
      <c r="G32" s="25">
        <v>4.2</v>
      </c>
      <c r="H32" s="26" t="s">
        <v>243</v>
      </c>
      <c r="I32" s="27">
        <f t="shared" si="0"/>
        <v>1.05</v>
      </c>
      <c r="J32" s="28">
        <v>45260</v>
      </c>
      <c r="K32" s="29" t="s">
        <v>269</v>
      </c>
      <c r="L32" s="30">
        <f t="shared" si="3"/>
        <v>4.2</v>
      </c>
      <c r="M32" s="30">
        <f>IF(B32="Texion Textil",0,IF(C32="Malha",'Custos insumos'!$B$24,IF(C32="Dublagem Cretone",'Custos insumos'!$D$7,IF(C32="Dublagem Spun",'Custos insumos'!$D$4,IF(C32="Espelhamento",'Custos insumos'!$B$11,IF(C32="Espelhamento 2x",2*'Custos insumos'!$B$11,IF(C32="Esp. + Pel.",'Custos insumos'!$B$11,IF(C32="Pel. + Spun",'Custos insumos'!$D$4,IF(C32="Dublagem Cretone PES",'Custos insumos'!$D$7,IF(C32="Dublagem Barreira",'Custos insumos'!$D$11,IF(C32="Dublagem - MO + Filme",'Custos insumos'!$D$4,IF(C32="Dublagem Cretone HM50",'Custos insumos'!$D$26,IF(C32="Dublagem Cretone HM70",'Custos insumos'!$F$10,)))))))))))))</f>
        <v>0</v>
      </c>
      <c r="N32" s="30">
        <f>IF(B32="Texion Textil",0,IF(B32="Três Elos",0,IF(C32="Malha",0,IF(C32="Dublagem Cretone",'Custos insumos'!$D$23,IF(C32="Dublagem Spun",'Custos insumos'!$D$19,IF(C32="Espelhamento",0,IF(C32="Espelhamento 2x",0,IF(C32="Esp. + Pel.",0,IF(C32="Pel. + Spun",'Custos insumos'!$D$19,IF(C32="Dublagem Cretone PES",'Custos insumos'!$F$25,IF(C32="Dublagem Barreira",'Custos insumos'!$D$22,)))))))))))</f>
        <v>0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4.25" customHeight="1" x14ac:dyDescent="0.35">
      <c r="A33" s="18" t="s">
        <v>256</v>
      </c>
      <c r="B33" s="22" t="s">
        <v>92</v>
      </c>
      <c r="C33" s="23" t="s">
        <v>270</v>
      </c>
      <c r="D33" s="23" t="s">
        <v>271</v>
      </c>
      <c r="E33" s="24">
        <v>1</v>
      </c>
      <c r="F33" s="25"/>
      <c r="G33" s="25">
        <v>4.55</v>
      </c>
      <c r="H33" s="26" t="s">
        <v>243</v>
      </c>
      <c r="I33" s="27">
        <f t="shared" si="0"/>
        <v>4.55</v>
      </c>
      <c r="J33" s="28">
        <v>45260</v>
      </c>
      <c r="K33" s="29" t="s">
        <v>248</v>
      </c>
      <c r="L33" s="30">
        <f t="shared" si="3"/>
        <v>4.05</v>
      </c>
      <c r="M33" s="30">
        <f>IF(B33="Texion Textil",0,IF(C33="Malha",'Custos insumos'!$B$24,IF(C33="Dublagem Cretone",'Custos insumos'!$D$7,IF(C33="Dublagem Spun",'Custos insumos'!$D$4,IF(C33="Espelhamento",'Custos insumos'!$B$11,IF(C33="Espelhamento 2x",2*'Custos insumos'!$B$11,IF(C33="Esp. + Pel.",'Custos insumos'!$B$11,IF(C33="Pel. + Spun",'Custos insumos'!$D$4,IF(C33="Dublagem Cretone PES",'Custos insumos'!$D$7,IF(C33="Dublagem Barreira",'Custos insumos'!$D$11,IF(C33="Dublagem - MO + Filme",'Custos insumos'!$D$4,IF(C33="Dublagem Cretone HM50",'Custos insumos'!$D$26,IF(C33="Dublagem Cretone HM70",'Custos insumos'!$F$10,)))))))))))))</f>
        <v>0</v>
      </c>
      <c r="N33" s="30">
        <v>0.5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4.25" customHeight="1" x14ac:dyDescent="0.35">
      <c r="A34" s="18" t="s">
        <v>256</v>
      </c>
      <c r="B34" s="22" t="s">
        <v>92</v>
      </c>
      <c r="C34" s="23" t="s">
        <v>272</v>
      </c>
      <c r="D34" s="23" t="s">
        <v>273</v>
      </c>
      <c r="E34" s="24">
        <v>1</v>
      </c>
      <c r="F34" s="25">
        <v>6.19</v>
      </c>
      <c r="G34" s="25">
        <v>2.9</v>
      </c>
      <c r="H34" s="26" t="s">
        <v>243</v>
      </c>
      <c r="I34" s="27">
        <f t="shared" si="0"/>
        <v>2.9</v>
      </c>
      <c r="J34" s="28">
        <v>45260</v>
      </c>
      <c r="K34" s="29" t="s">
        <v>248</v>
      </c>
      <c r="L34" s="30">
        <f t="shared" si="3"/>
        <v>2.9</v>
      </c>
      <c r="M34" s="30">
        <f>IF(B34="Texion Textil",0,IF(C34="Malha",'Custos insumos'!$B$24,IF(C34="Dublagem Cretone",'Custos insumos'!$D$7,IF(C34="Dublagem Spun",'Custos insumos'!$D$4,IF(C34="Espelhamento",'Custos insumos'!$B$11,IF(C34="Espelhamento 2x",2*'Custos insumos'!$B$11,IF(C34="Esp. + Pel.",'Custos insumos'!$B$11,IF(C34="Pel. + Spun",'Custos insumos'!$D$4,IF(C34="Dublagem Cretone PES",'Custos insumos'!$D$7,IF(C34="Dublagem Barreira",'Custos insumos'!$D$11,IF(C34="Dublagem - MO + Filme",'Custos insumos'!$D$4,IF(C34="Dublagem Cretone HM50",'Custos insumos'!$D$26,IF(C34="Dublagem Cretone HM70",'Custos insumos'!$F$10,)))))))))))))</f>
        <v>0</v>
      </c>
      <c r="N34" s="30">
        <f>IF(B34="Texion Textil",0,IF(B34="Três Elos",0,IF(C34="Malha",0,IF(C34="Dublagem Cretone",'Custos insumos'!$D$23,IF(C34="Dublagem Spun",'Custos insumos'!$D$19,IF(C34="Espelhamento",0,IF(C34="Espelhamento 2x",0,IF(C34="Esp. + Pel.",0,IF(C34="Pel. + Spun",'Custos insumos'!$D$19,IF(C34="Dublagem Cretone PES",'Custos insumos'!$F$25,IF(C34="Dublagem Barreira",'Custos insumos'!$D$22,)))))))))))</f>
        <v>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4.25" customHeight="1" x14ac:dyDescent="0.35">
      <c r="A35" s="18" t="s">
        <v>256</v>
      </c>
      <c r="B35" s="22" t="s">
        <v>92</v>
      </c>
      <c r="C35" s="23" t="s">
        <v>251</v>
      </c>
      <c r="D35" s="23" t="s">
        <v>96</v>
      </c>
      <c r="E35" s="24">
        <v>1</v>
      </c>
      <c r="F35" s="25">
        <v>6.19</v>
      </c>
      <c r="G35" s="25">
        <v>6.1</v>
      </c>
      <c r="H35" s="26" t="s">
        <v>243</v>
      </c>
      <c r="I35" s="27">
        <f t="shared" si="0"/>
        <v>6.1</v>
      </c>
      <c r="J35" s="28">
        <v>45260</v>
      </c>
      <c r="K35" s="29" t="s">
        <v>248</v>
      </c>
      <c r="L35" s="30">
        <f t="shared" si="3"/>
        <v>1.81</v>
      </c>
      <c r="M35" s="30">
        <f>IF(B35="Texion Textil",0,IF(C35="Malha",'Custos insumos'!$B$24,IF(C35="Dublagem Cretone",'Custos insumos'!$D$7,IF(C35="Dublagem Spun",'Custos insumos'!$D$4,IF(C35="Espelhamento",'Custos insumos'!$B$11,IF(C35="Espelhamento 2x",2*'Custos insumos'!$B$11,IF(C35="Esp. + Pel.",'Custos insumos'!$B$11,IF(C35="Pel. + Spun",'Custos insumos'!$D$4,IF(C35="Dublagem Cretone PES",'Custos insumos'!$D$7,IF(C35="Dublagem Barreira",'Custos insumos'!$D$11,IF(C35="Dublagem - MO + Filme",'Custos insumos'!$D$4,IF(C35="Dublagem Cretone HM50",'Custos insumos'!$D$26,IF(C35="Dublagem Cretone HM70",'Custos insumos'!$F$10,)))))))))))))</f>
        <v>1.962</v>
      </c>
      <c r="N35" s="30">
        <f>IF(B35="Texion Textil",0,IF(B35="Três Elos",0,IF(C35="Malha",0,IF(C35="Dublagem Cretone",'Custos insumos'!$D$23,IF(C35="Dublagem Spun",'Custos insumos'!$D$19,IF(C35="Espelhamento",0,IF(C35="Espelhamento 2x",0,IF(C35="Esp. + Pel.",0,IF(C35="Pel. + Spun",'Custos insumos'!$D$19,IF(C35="Dublagem Cretone PES",'Custos insumos'!$F$25,IF(C35="Dublagem Barreira",'Custos insumos'!$D$22,)))))))))))</f>
        <v>2.3279999999999998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4.25" customHeight="1" x14ac:dyDescent="0.35">
      <c r="A36" s="18" t="s">
        <v>256</v>
      </c>
      <c r="B36" s="22" t="s">
        <v>92</v>
      </c>
      <c r="C36" s="23" t="s">
        <v>274</v>
      </c>
      <c r="D36" s="23" t="s">
        <v>275</v>
      </c>
      <c r="E36" s="24">
        <v>1</v>
      </c>
      <c r="F36" s="25"/>
      <c r="G36" s="25">
        <v>4.5999999999999996</v>
      </c>
      <c r="H36" s="26" t="s">
        <v>243</v>
      </c>
      <c r="I36" s="27">
        <f t="shared" si="0"/>
        <v>4.5999999999999996</v>
      </c>
      <c r="J36" s="28">
        <v>45260</v>
      </c>
      <c r="K36" s="29" t="s">
        <v>248</v>
      </c>
      <c r="L36" s="30">
        <f t="shared" si="3"/>
        <v>1.3311999999999999</v>
      </c>
      <c r="M36" s="37">
        <f>'Custos insumos'!F5</f>
        <v>0.94079999999999997</v>
      </c>
      <c r="N36" s="30">
        <f>'Custos insumos'!F25</f>
        <v>2.3279999999999998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4.25" customHeight="1" x14ac:dyDescent="0.35">
      <c r="A37" s="18" t="s">
        <v>256</v>
      </c>
      <c r="B37" s="22" t="s">
        <v>92</v>
      </c>
      <c r="C37" s="23" t="s">
        <v>247</v>
      </c>
      <c r="D37" s="23"/>
      <c r="E37" s="24">
        <v>1</v>
      </c>
      <c r="F37" s="25"/>
      <c r="G37" s="25">
        <v>4.9000000000000004</v>
      </c>
      <c r="H37" s="26" t="s">
        <v>243</v>
      </c>
      <c r="I37" s="27">
        <f t="shared" si="0"/>
        <v>4.9000000000000004</v>
      </c>
      <c r="J37" s="28">
        <v>45260</v>
      </c>
      <c r="K37" s="29" t="s">
        <v>248</v>
      </c>
      <c r="L37" s="30">
        <f t="shared" si="3"/>
        <v>0.61000000000000076</v>
      </c>
      <c r="M37" s="30">
        <f>IF(B37="Texion Textil",0,IF(C37="Malha",'Custos insumos'!$B$24,IF(C37="Dublagem Cretone",'Custos insumos'!$D$7,IF(C37="Dublagem Spun",'Custos insumos'!$D$4,IF(C37="Espelhamento",'Custos insumos'!$B$11,IF(C37="Espelhamento 2x",2*'Custos insumos'!$B$11,IF(C37="Esp. + Pel.",'Custos insumos'!$B$11,IF(C37="Pel. + Spun",'Custos insumos'!$D$4,IF(C37="Dublagem Cretone PES",'Custos insumos'!$D$7,IF(C37="Dublagem Barreira",'Custos insumos'!$D$11,IF(C37="Dublagem - MO + Filme",'Custos insumos'!$D$4,IF(C37="Dublagem Cretone HM50",'Custos insumos'!$D$26,IF(C37="Dublagem Cretone HM70",'Custos insumos'!$F$10,)))))))))))))</f>
        <v>1.962</v>
      </c>
      <c r="N37" s="30">
        <f>IF(B37="Texion Textil",0,IF(B37="Três Elos",0,IF(C37="Malha",0,IF(C37="Dublagem Cretone",'Custos insumos'!$D$23,IF(C37="Dublagem Spun",'Custos insumos'!$D$19,IF(C37="Espelhamento",0,IF(C37="Espelhamento 2x",0,IF(C37="Esp. + Pel.",0,IF(C37="Pel. + Spun",'Custos insumos'!$D$19,IF(C37="Dublagem Cretone PES",'Custos insumos'!$F$25,IF(C37="Dublagem Barreira",'Custos insumos'!$D$22,)))))))))))</f>
        <v>2.3279999999999998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4.25" customHeight="1" x14ac:dyDescent="0.35">
      <c r="A38" s="18" t="s">
        <v>256</v>
      </c>
      <c r="B38" s="22" t="s">
        <v>92</v>
      </c>
      <c r="C38" s="23" t="s">
        <v>249</v>
      </c>
      <c r="D38" s="23" t="s">
        <v>268</v>
      </c>
      <c r="E38" s="24">
        <v>1</v>
      </c>
      <c r="F38" s="25">
        <v>4.63</v>
      </c>
      <c r="G38" s="25">
        <v>4.5999999999999996</v>
      </c>
      <c r="H38" s="26" t="s">
        <v>243</v>
      </c>
      <c r="I38" s="27">
        <f t="shared" si="0"/>
        <v>4.5999999999999996</v>
      </c>
      <c r="J38" s="28">
        <v>45260</v>
      </c>
      <c r="K38" s="29" t="s">
        <v>248</v>
      </c>
      <c r="L38" s="30">
        <f t="shared" si="3"/>
        <v>2.5857999999999999</v>
      </c>
      <c r="M38" s="30">
        <f>IF(B38="Texion Textil",0,IF(C38="Malha",'Custos insumos'!$B$24,IF(C38="Dublagem Cretone",'Custos insumos'!$D$7,IF(C38="Dublagem Spun",'Custos insumos'!$D$4,IF(C38="Espelhamento",'Custos insumos'!$B$11,IF(C38="Espelhamento 2x",2*'Custos insumos'!$B$11,IF(C38="Esp. + Pel.",'Custos insumos'!$B$11,IF(C38="Pel. + Spun",'Custos insumos'!$D$4,IF(C38="Dublagem Cretone PES",'Custos insumos'!$D$7,IF(C38="Dublagem Barreira",'Custos insumos'!$D$11,IF(C38="Dublagem - MO + Filme",'Custos insumos'!$D$4,IF(C38="Dublagem Cretone HM50",'Custos insumos'!$D$26,IF(C38="Dublagem Cretone HM70",'Custos insumos'!$F$10,)))))))))))))</f>
        <v>1.1232</v>
      </c>
      <c r="N38" s="30">
        <f>IF(B38="Texion Textil",0,IF(B38="Três Elos",0,IF(C38="Malha",0,IF(C38="Dublagem Cretone",'Custos insumos'!$D$23,IF(C38="Dublagem Spun",'Custos insumos'!$D$19,IF(C38="Espelhamento",0,IF(C38="Espelhamento 2x",0,IF(C38="Esp. + Pel.",0,IF(C38="Pel. + Spun",'Custos insumos'!$D$19,IF(C38="Dublagem Cretone PES",'Custos insumos'!$F$25,IF(C38="Dublagem Barreira",'Custos insumos'!$D$22,)))))))))))</f>
        <v>0.89100000000000001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4.25" customHeight="1" x14ac:dyDescent="0.35">
      <c r="A39" s="18" t="s">
        <v>256</v>
      </c>
      <c r="B39" s="22" t="s">
        <v>92</v>
      </c>
      <c r="C39" s="23" t="s">
        <v>106</v>
      </c>
      <c r="D39" s="23" t="s">
        <v>107</v>
      </c>
      <c r="E39" s="24">
        <v>1</v>
      </c>
      <c r="F39" s="25">
        <v>2.76</v>
      </c>
      <c r="G39" s="25">
        <v>2.75</v>
      </c>
      <c r="H39" s="26" t="s">
        <v>243</v>
      </c>
      <c r="I39" s="27">
        <f t="shared" si="0"/>
        <v>2.75</v>
      </c>
      <c r="J39" s="28">
        <v>45260</v>
      </c>
      <c r="K39" s="29" t="s">
        <v>276</v>
      </c>
      <c r="L39" s="30">
        <f t="shared" si="3"/>
        <v>1.6914997101449274</v>
      </c>
      <c r="M39" s="30">
        <f>IF(B39="Texion Textil",0,IF(C39="Malha",'Custos insumos'!$B$24,IF(C39="Dublagem Cretone",'Custos insumos'!$D$7,IF(C39="Dublagem Spun",'Custos insumos'!$D$4,IF(C39="Espelhamento",'Custos insumos'!$B$11,IF(C39="Espelhamento 2x",2*'Custos insumos'!$B$11,IF(C39="Esp. + Pel.",'Custos insumos'!$B$11,IF(C39="Pel. + Spun",'Custos insumos'!$D$4,IF(C39="Dublagem Cretone PES",'Custos insumos'!$D$7,IF(C39="Dublagem Barreira",'Custos insumos'!$D$11,IF(C39="Dublagem - MO + Filme",'Custos insumos'!$D$4,IF(C39="Dublagem Cretone HM50",'Custos insumos'!$D$26,IF(C39="Dublagem Cretone HM70",'Custos insumos'!$F$10,)))))))))))))</f>
        <v>1.0585002898550726</v>
      </c>
      <c r="N39" s="30">
        <f>IF(B39="Texion Textil",0,IF(B39="Três Elos",0,IF(C39="Malha",0,IF(C39="Dublagem Cretone",'Custos insumos'!$D$23,IF(C39="Dublagem Spun",'Custos insumos'!$D$19,IF(C39="Espelhamento",0,IF(C39="Espelhamento 2x",0,IF(C39="Esp. + Pel.",0,IF(C39="Pel. + Spun",'Custos insumos'!$D$19,IF(C39="Dublagem Cretone PES",'Custos insumos'!$F$25,IF(C39="Dublagem Barreira",'Custos insumos'!$D$22,)))))))))))</f>
        <v>0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4.25" customHeight="1" x14ac:dyDescent="0.35">
      <c r="A40" s="18" t="s">
        <v>256</v>
      </c>
      <c r="B40" s="22" t="s">
        <v>92</v>
      </c>
      <c r="C40" s="23" t="s">
        <v>277</v>
      </c>
      <c r="D40" s="23" t="s">
        <v>116</v>
      </c>
      <c r="E40" s="24">
        <v>1</v>
      </c>
      <c r="F40" s="25">
        <v>4.5999999999999996</v>
      </c>
      <c r="G40" s="25">
        <v>4.5999999999999996</v>
      </c>
      <c r="H40" s="26" t="s">
        <v>243</v>
      </c>
      <c r="I40" s="27">
        <f t="shared" si="0"/>
        <v>4.5999999999999996</v>
      </c>
      <c r="J40" s="28">
        <v>45260</v>
      </c>
      <c r="K40" s="29" t="s">
        <v>278</v>
      </c>
      <c r="L40" s="30">
        <f t="shared" si="3"/>
        <v>4.5999999999999996</v>
      </c>
      <c r="M40" s="30">
        <f>IF(B40="Texion Textil",0,IF(C40="Malha",'Custos insumos'!$B$24,IF(C40="Dublagem Cretone",'Custos insumos'!$D$7,IF(C40="Dublagem Spun",'Custos insumos'!$D$4,IF(C40="Espelhamento",'Custos insumos'!$B$11,IF(C40="Espelhamento 2x",2*'Custos insumos'!$B$11,IF(C40="Esp. + Pel.",'Custos insumos'!$B$11,IF(C40="Pel. + Spun",'Custos insumos'!$D$4,IF(C40="Dublagem Cretone PES",'Custos insumos'!$D$7,IF(C40="Dublagem Barreira",'Custos insumos'!$D$11,IF(C40="Dublagem - MO + Filme",'Custos insumos'!$D$4,IF(C40="Dublagem Cretone HM50",'Custos insumos'!$D$26,IF(C40="Dublagem Cretone HM70",'Custos insumos'!$F$10,)))))))))))))</f>
        <v>0</v>
      </c>
      <c r="N40" s="30">
        <f>IF(B40="Texion Textil",0,IF(B40="Três Elos",0,IF(C40="Malha",0,IF(C40="Dublagem Cretone",'Custos insumos'!$D$23,IF(C40="Dublagem Spun",'Custos insumos'!$D$19,IF(C40="Espelhamento",0,IF(C40="Espelhamento 2x",0,IF(C40="Esp. + Pel.",0,IF(C40="Pel. + Spun",'Custos insumos'!$D$19,IF(C40="Dublagem Cretone PES",'Custos insumos'!$F$25,IF(C40="Dublagem Barreira",'Custos insumos'!$D$22,)))))))))))</f>
        <v>0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4.25" customHeight="1" x14ac:dyDescent="0.35">
      <c r="A41" s="18" t="s">
        <v>256</v>
      </c>
      <c r="B41" s="22" t="s">
        <v>92</v>
      </c>
      <c r="C41" s="23" t="s">
        <v>254</v>
      </c>
      <c r="D41" s="23" t="s">
        <v>279</v>
      </c>
      <c r="E41" s="24">
        <v>4</v>
      </c>
      <c r="F41" s="25">
        <v>4.83</v>
      </c>
      <c r="G41" s="25">
        <v>4.8</v>
      </c>
      <c r="H41" s="26" t="s">
        <v>243</v>
      </c>
      <c r="I41" s="27">
        <f t="shared" si="0"/>
        <v>1.2</v>
      </c>
      <c r="J41" s="28">
        <v>45260</v>
      </c>
      <c r="K41" s="29"/>
      <c r="L41" s="30">
        <f t="shared" si="3"/>
        <v>4.8</v>
      </c>
      <c r="M41" s="30">
        <f>IF(B41="Texion Textil",0,IF(C41="Malha",'Custos insumos'!$B$24,IF(C41="Dublagem Cretone",'Custos insumos'!$D$7,IF(C41="Dublagem Spun",'Custos insumos'!$D$4,IF(C41="Espelhamento",'Custos insumos'!$B$11,IF(C41="Espelhamento 2x",2*'Custos insumos'!$B$11,IF(C41="Esp. + Pel.",'Custos insumos'!$B$11,IF(C41="Pel. + Spun",'Custos insumos'!$D$4,IF(C41="Dublagem Cretone PES",'Custos insumos'!$D$7,IF(C41="Dublagem Barreira",'Custos insumos'!$D$11,IF(C41="Dublagem - MO + Filme",'Custos insumos'!$D$4,IF(C41="Dublagem Cretone HM50",'Custos insumos'!$D$26,IF(C41="Dublagem Cretone HM70",'Custos insumos'!$F$10,)))))))))))))</f>
        <v>0</v>
      </c>
      <c r="N41" s="30">
        <f>IF(B41="Texion Textil",0,IF(B41="Três Elos",0,IF(C41="Malha",0,IF(C41="Dublagem Cretone",'Custos insumos'!$D$23,IF(C41="Dublagem Spun",'Custos insumos'!$D$19,IF(C41="Espelhamento",0,IF(C41="Espelhamento 2x",0,IF(C41="Esp. + Pel.",0,IF(C41="Pel. + Spun",'Custos insumos'!$D$19,IF(C41="Dublagem Cretone PES",'Custos insumos'!$F$25,IF(C41="Dublagem Barreira",'Custos insumos'!$D$22,)))))))))))</f>
        <v>0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4.25" customHeight="1" x14ac:dyDescent="0.35">
      <c r="A42" s="18" t="s">
        <v>256</v>
      </c>
      <c r="B42" s="22" t="s">
        <v>92</v>
      </c>
      <c r="C42" s="23" t="s">
        <v>254</v>
      </c>
      <c r="D42" s="23" t="s">
        <v>280</v>
      </c>
      <c r="E42" s="24">
        <v>2</v>
      </c>
      <c r="F42" s="25">
        <v>2.64</v>
      </c>
      <c r="G42" s="25">
        <v>2.6</v>
      </c>
      <c r="H42" s="26" t="s">
        <v>243</v>
      </c>
      <c r="I42" s="27">
        <f t="shared" si="0"/>
        <v>1.3</v>
      </c>
      <c r="J42" s="28">
        <v>45260</v>
      </c>
      <c r="K42" s="29"/>
      <c r="L42" s="30">
        <f t="shared" si="3"/>
        <v>2.6</v>
      </c>
      <c r="M42" s="30">
        <f>IF(B42="Texion Textil",0,IF(C42="Malha",'Custos insumos'!$B$24,IF(C42="Dublagem Cretone",'Custos insumos'!$D$7,IF(C42="Dublagem Spun",'Custos insumos'!$D$4,IF(C42="Espelhamento",'Custos insumos'!$B$11,IF(C42="Espelhamento 2x",2*'Custos insumos'!$B$11,IF(C42="Esp. + Pel.",'Custos insumos'!$B$11,IF(C42="Pel. + Spun",'Custos insumos'!$D$4,IF(C42="Dublagem Cretone PES",'Custos insumos'!$D$7,IF(C42="Dublagem Barreira",'Custos insumos'!$D$11,IF(C42="Dublagem - MO + Filme",'Custos insumos'!$D$4,IF(C42="Dublagem Cretone HM50",'Custos insumos'!$D$26,IF(C42="Dublagem Cretone HM70",'Custos insumos'!$F$10,)))))))))))))</f>
        <v>0</v>
      </c>
      <c r="N42" s="30">
        <f>IF(B42="Texion Textil",0,IF(B42="Três Elos",0,IF(C42="Malha",0,IF(C42="Dublagem Cretone",'Custos insumos'!$D$23,IF(C42="Dublagem Spun",'Custos insumos'!$D$19,IF(C42="Espelhamento",0,IF(C42="Espelhamento 2x",0,IF(C42="Esp. + Pel.",0,IF(C42="Pel. + Spun",'Custos insumos'!$D$19,IF(C42="Dublagem Cretone PES",'Custos insumos'!$F$25,IF(C42="Dublagem Barreira",'Custos insumos'!$D$22,)))))))))))</f>
        <v>0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4.25" customHeight="1" x14ac:dyDescent="0.35">
      <c r="A43" s="18" t="s">
        <v>256</v>
      </c>
      <c r="B43" s="22" t="s">
        <v>92</v>
      </c>
      <c r="C43" s="23" t="s">
        <v>254</v>
      </c>
      <c r="D43" s="23" t="s">
        <v>281</v>
      </c>
      <c r="E43" s="24">
        <v>2</v>
      </c>
      <c r="F43" s="25">
        <v>2.64</v>
      </c>
      <c r="G43" s="25">
        <v>1.7</v>
      </c>
      <c r="H43" s="26" t="s">
        <v>243</v>
      </c>
      <c r="I43" s="27">
        <f t="shared" si="0"/>
        <v>0.85</v>
      </c>
      <c r="J43" s="28">
        <v>45260</v>
      </c>
      <c r="K43" s="29"/>
      <c r="L43" s="30">
        <f t="shared" si="3"/>
        <v>1.7</v>
      </c>
      <c r="M43" s="30">
        <f>IF(B43="Texion Textil",0,IF(C43="Malha",'Custos insumos'!$B$24,IF(C43="Dublagem Cretone",'Custos insumos'!$D$7,IF(C43="Dublagem Spun",'Custos insumos'!$D$4,IF(C43="Espelhamento",'Custos insumos'!$B$11,IF(C43="Espelhamento 2x",2*'Custos insumos'!$B$11,IF(C43="Esp. + Pel.",'Custos insumos'!$B$11,IF(C43="Pel. + Spun",'Custos insumos'!$D$4,IF(C43="Dublagem Cretone PES",'Custos insumos'!$D$7,IF(C43="Dublagem Barreira",'Custos insumos'!$D$11,IF(C43="Dublagem - MO + Filme",'Custos insumos'!$D$4,IF(C43="Dublagem Cretone HM50",'Custos insumos'!$D$26,IF(C43="Dublagem Cretone HM70",'Custos insumos'!$F$10,)))))))))))))</f>
        <v>0</v>
      </c>
      <c r="N43" s="30">
        <f>IF(B43="Texion Textil",0,IF(B43="Três Elos",0,IF(C43="Malha",0,IF(C43="Dublagem Cretone",'Custos insumos'!$D$23,IF(C43="Dublagem Spun",'Custos insumos'!$D$19,IF(C43="Espelhamento",0,IF(C43="Espelhamento 2x",0,IF(C43="Esp. + Pel.",0,IF(C43="Pel. + Spun",'Custos insumos'!$D$19,IF(C43="Dublagem Cretone PES",'Custos insumos'!$F$25,IF(C43="Dublagem Barreira",'Custos insumos'!$D$22,)))))))))))</f>
        <v>0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4.25" customHeight="1" x14ac:dyDescent="0.35">
      <c r="A44" s="18" t="s">
        <v>256</v>
      </c>
      <c r="B44" s="22" t="s">
        <v>92</v>
      </c>
      <c r="C44" s="23" t="s">
        <v>282</v>
      </c>
      <c r="D44" s="23" t="s">
        <v>94</v>
      </c>
      <c r="E44" s="24">
        <v>1</v>
      </c>
      <c r="F44" s="25">
        <v>2.57</v>
      </c>
      <c r="G44" s="25">
        <v>2.5</v>
      </c>
      <c r="H44" s="26" t="s">
        <v>243</v>
      </c>
      <c r="I44" s="27">
        <f t="shared" si="0"/>
        <v>2.5</v>
      </c>
      <c r="J44" s="28">
        <v>45260</v>
      </c>
      <c r="K44" s="29"/>
      <c r="L44" s="30">
        <f t="shared" si="3"/>
        <v>2.5</v>
      </c>
      <c r="M44" s="30">
        <f>IF(B44="Texion Textil",0,IF(C44="Malha",'Custos insumos'!$B$24,IF(C44="Dublagem Cretone",'Custos insumos'!$D$7,IF(C44="Dublagem Spun",'Custos insumos'!$D$4,IF(C44="Espelhamento",'Custos insumos'!$B$11,IF(C44="Espelhamento 2x",2*'Custos insumos'!$B$11,IF(C44="Esp. + Pel.",'Custos insumos'!$B$11,IF(C44="Pel. + Spun",'Custos insumos'!$D$4,IF(C44="Dublagem Cretone PES",'Custos insumos'!$D$7,IF(C44="Dublagem Barreira",'Custos insumos'!$D$11,IF(C44="Dublagem - MO + Filme",'Custos insumos'!$D$4,IF(C44="Dublagem Cretone HM50",'Custos insumos'!$D$26,IF(C44="Dublagem Cretone HM70",'Custos insumos'!$F$10,)))))))))))))</f>
        <v>0</v>
      </c>
      <c r="N44" s="30">
        <f>IF(B44="Texion Textil",0,IF(B44="Três Elos",0,IF(C44="Malha",0,IF(C44="Dublagem Cretone",'Custos insumos'!$D$23,IF(C44="Dublagem Spun",'Custos insumos'!$D$19,IF(C44="Espelhamento",0,IF(C44="Espelhamento 2x",0,IF(C44="Esp. + Pel.",0,IF(C44="Pel. + Spun",'Custos insumos'!$D$19,IF(C44="Dublagem Cretone PES",'Custos insumos'!$F$25,IF(C44="Dublagem Barreira",'Custos insumos'!$D$22,)))))))))))</f>
        <v>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4.25" customHeight="1" x14ac:dyDescent="0.35">
      <c r="A45" s="18" t="s">
        <v>256</v>
      </c>
      <c r="B45" s="22" t="s">
        <v>92</v>
      </c>
      <c r="C45" s="23" t="s">
        <v>144</v>
      </c>
      <c r="D45" s="23" t="s">
        <v>103</v>
      </c>
      <c r="E45" s="24">
        <v>1</v>
      </c>
      <c r="F45" s="25">
        <v>3.22</v>
      </c>
      <c r="G45" s="25">
        <v>0.7</v>
      </c>
      <c r="H45" s="26" t="s">
        <v>243</v>
      </c>
      <c r="I45" s="27">
        <f t="shared" si="0"/>
        <v>0.7</v>
      </c>
      <c r="J45" s="28">
        <v>45260</v>
      </c>
      <c r="K45" s="29" t="s">
        <v>283</v>
      </c>
      <c r="L45" s="30">
        <f t="shared" si="3"/>
        <v>0.7</v>
      </c>
      <c r="M45" s="30">
        <f>IF(B45="Texion Textil",0,IF(C45="Malha",'Custos insumos'!$B$24,IF(C45="Dublagem Cretone",'Custos insumos'!$D$7,IF(C45="Dublagem Spun",'Custos insumos'!$D$4,IF(C45="Espelhamento",'Custos insumos'!$B$11,IF(C45="Espelhamento 2x",2*'Custos insumos'!$B$11,IF(C45="Esp. + Pel.",'Custos insumos'!$B$11,IF(C45="Pel. + Spun",'Custos insumos'!$D$4,IF(C45="Dublagem Cretone PES",'Custos insumos'!$D$7,IF(C45="Dublagem Barreira",'Custos insumos'!$D$11,IF(C45="Dublagem - MO + Filme",'Custos insumos'!$D$4,IF(C45="Dublagem Cretone HM50",'Custos insumos'!$D$26,IF(C45="Dublagem Cretone HM70",'Custos insumos'!$F$10,)))))))))))))</f>
        <v>0</v>
      </c>
      <c r="N45" s="30">
        <f>IF(B45="Texion Textil",0,IF(B45="Três Elos",0,IF(C45="Malha",0,IF(C45="Dublagem Cretone",'Custos insumos'!$D$23,IF(C45="Dublagem Spun",'Custos insumos'!$D$19,IF(C45="Espelhamento",0,IF(C45="Espelhamento 2x",0,IF(C45="Esp. + Pel.",0,IF(C45="Pel. + Spun",'Custos insumos'!$D$19,IF(C45="Dublagem Cretone PES",'Custos insumos'!$F$25,IF(C45="Dublagem Barreira",'Custos insumos'!$D$22,)))))))))))</f>
        <v>0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4.25" customHeight="1" x14ac:dyDescent="0.35">
      <c r="A46" s="18" t="s">
        <v>256</v>
      </c>
      <c r="B46" s="22" t="s">
        <v>92</v>
      </c>
      <c r="C46" s="23" t="s">
        <v>284</v>
      </c>
      <c r="D46" s="23"/>
      <c r="E46" s="24">
        <v>1</v>
      </c>
      <c r="F46" s="25">
        <v>3.6</v>
      </c>
      <c r="G46" s="25">
        <v>1.4</v>
      </c>
      <c r="H46" s="26" t="s">
        <v>243</v>
      </c>
      <c r="I46" s="27">
        <f t="shared" si="0"/>
        <v>1.4</v>
      </c>
      <c r="J46" s="28">
        <v>45260</v>
      </c>
      <c r="K46" s="29" t="s">
        <v>285</v>
      </c>
      <c r="L46" s="30">
        <f t="shared" si="3"/>
        <v>1.4</v>
      </c>
      <c r="M46" s="30">
        <f>IF(B46="Texion Textil",0,IF(C46="Malha",'Custos insumos'!$B$24,IF(C46="Dublagem Cretone",'Custos insumos'!$D$7,IF(C46="Dublagem Spun",'Custos insumos'!$D$4,IF(C46="Espelhamento",'Custos insumos'!$B$11,IF(C46="Espelhamento 2x",2*'Custos insumos'!$B$11,IF(C46="Esp. + Pel.",'Custos insumos'!$B$11,IF(C46="Pel. + Spun",'Custos insumos'!$D$4,IF(C46="Dublagem Cretone PES",'Custos insumos'!$D$7,IF(C46="Dublagem Barreira",'Custos insumos'!$D$11,IF(C46="Dublagem - MO + Filme",'Custos insumos'!$D$4,IF(C46="Dublagem Cretone HM50",'Custos insumos'!$D$26,IF(C46="Dublagem Cretone HM70",'Custos insumos'!$F$10,)))))))))))))</f>
        <v>0</v>
      </c>
      <c r="N46" s="30">
        <f>IF(B46="Texion Textil",0,IF(B46="Três Elos",0,IF(C46="Malha",0,IF(C46="Dublagem Cretone",'Custos insumos'!$D$23,IF(C46="Dublagem Spun",'Custos insumos'!$D$19,IF(C46="Espelhamento",0,IF(C46="Espelhamento 2x",0,IF(C46="Esp. + Pel.",0,IF(C46="Pel. + Spun",'Custos insumos'!$D$19,IF(C46="Dublagem Cretone PES",'Custos insumos'!$F$25,IF(C46="Dublagem Barreira",'Custos insumos'!$D$22,)))))))))))</f>
        <v>0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4.25" customHeight="1" x14ac:dyDescent="0.35">
      <c r="A47" s="18" t="s">
        <v>256</v>
      </c>
      <c r="B47" s="22" t="s">
        <v>92</v>
      </c>
      <c r="C47" s="23" t="s">
        <v>142</v>
      </c>
      <c r="D47" s="23" t="s">
        <v>114</v>
      </c>
      <c r="E47" s="24">
        <v>1</v>
      </c>
      <c r="F47" s="25">
        <v>3.6</v>
      </c>
      <c r="G47" s="25">
        <v>0.7</v>
      </c>
      <c r="H47" s="26" t="s">
        <v>243</v>
      </c>
      <c r="I47" s="27">
        <f t="shared" si="0"/>
        <v>0.7</v>
      </c>
      <c r="J47" s="28">
        <v>45260</v>
      </c>
      <c r="K47" s="29" t="s">
        <v>285</v>
      </c>
      <c r="L47" s="30">
        <f t="shared" si="3"/>
        <v>0.7</v>
      </c>
      <c r="M47" s="30">
        <f>IF(B47="Texion Textil",0,IF(C47="Malha",'Custos insumos'!$B$24,IF(C47="Dublagem Cretone",'Custos insumos'!$D$7,IF(C47="Dublagem Spun",'Custos insumos'!$D$4,IF(C47="Espelhamento",'Custos insumos'!$B$11,IF(C47="Espelhamento 2x",2*'Custos insumos'!$B$11,IF(C47="Esp. + Pel.",'Custos insumos'!$B$11,IF(C47="Pel. + Spun",'Custos insumos'!$D$4,IF(C47="Dublagem Cretone PES",'Custos insumos'!$D$7,IF(C47="Dublagem Barreira",'Custos insumos'!$D$11,IF(C47="Dublagem - MO + Filme",'Custos insumos'!$D$4,IF(C47="Dublagem Cretone HM50",'Custos insumos'!$D$26,IF(C47="Dublagem Cretone HM70",'Custos insumos'!$F$10,)))))))))))))</f>
        <v>0</v>
      </c>
      <c r="N47" s="30">
        <f>IF(B47="Texion Textil",0,IF(B47="Três Elos",0,IF(C47="Malha",0,IF(C47="Dublagem Cretone",'Custos insumos'!$D$23,IF(C47="Dublagem Spun",'Custos insumos'!$D$19,IF(C47="Espelhamento",0,IF(C47="Espelhamento 2x",0,IF(C47="Esp. + Pel.",0,IF(C47="Pel. + Spun",'Custos insumos'!$D$19,IF(C47="Dublagem Cretone PES",'Custos insumos'!$F$25,IF(C47="Dublagem Barreira",'Custos insumos'!$D$22,)))))))))))</f>
        <v>0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4.25" customHeight="1" x14ac:dyDescent="0.35">
      <c r="A48" s="18" t="s">
        <v>256</v>
      </c>
      <c r="B48" s="22" t="s">
        <v>120</v>
      </c>
      <c r="C48" s="23" t="s">
        <v>249</v>
      </c>
      <c r="D48" s="23"/>
      <c r="E48" s="24">
        <v>1</v>
      </c>
      <c r="F48" s="25">
        <v>8.6</v>
      </c>
      <c r="G48" s="25">
        <v>8.6</v>
      </c>
      <c r="H48" s="26" t="s">
        <v>243</v>
      </c>
      <c r="I48" s="27">
        <f t="shared" si="0"/>
        <v>8.6</v>
      </c>
      <c r="J48" s="28">
        <v>45301</v>
      </c>
      <c r="K48" s="29"/>
      <c r="L48" s="30">
        <f t="shared" si="3"/>
        <v>6.5857999999999999</v>
      </c>
      <c r="M48" s="30">
        <f>IF(B48="Texion Textil",0,IF(C48="Malha",'Custos insumos'!$B$24,IF(C48="Dublagem Cretone",'Custos insumos'!$D$7,IF(C48="Dublagem Spun",'Custos insumos'!$D$4,IF(C48="Espelhamento",'Custos insumos'!$B$11,IF(C48="Espelhamento 2x",2*'Custos insumos'!$B$11,IF(C48="Esp. + Pel.",'Custos insumos'!$B$11,IF(C48="Pel. + Spun",'Custos insumos'!$D$4,IF(C48="Dublagem Cretone PES",'Custos insumos'!$D$7,IF(C48="Dublagem Barreira",'Custos insumos'!$D$11,IF(C48="Dublagem - MO + Filme",'Custos insumos'!$D$4,IF(C48="Dublagem Cretone HM50",'Custos insumos'!$D$26,IF(C48="Dublagem Cretone HM70",'Custos insumos'!$F$10,)))))))))))))</f>
        <v>1.1232</v>
      </c>
      <c r="N48" s="30">
        <f>IF(B48="Texion Textil",0,IF(B48="Três Elos",0,IF(C48="Malha",0,IF(C48="Dublagem Cretone",'Custos insumos'!$D$23,IF(C48="Dublagem Spun",'Custos insumos'!$D$19,IF(C48="Espelhamento",0,IF(C48="Espelhamento 2x",0,IF(C48="Esp. + Pel.",0,IF(C48="Pel. + Spun",'Custos insumos'!$D$19,IF(C48="Dublagem Cretone PES",'Custos insumos'!$F$25,IF(C48="Dublagem Barreira",'Custos insumos'!$D$22,)))))))))))</f>
        <v>0.89100000000000001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4.25" customHeight="1" x14ac:dyDescent="0.35">
      <c r="A49" s="18" t="s">
        <v>256</v>
      </c>
      <c r="B49" s="22" t="s">
        <v>121</v>
      </c>
      <c r="C49" s="23" t="s">
        <v>142</v>
      </c>
      <c r="D49" s="23"/>
      <c r="E49" s="24">
        <v>1</v>
      </c>
      <c r="F49" s="25"/>
      <c r="G49" s="25">
        <v>0.75</v>
      </c>
      <c r="H49" s="26" t="s">
        <v>243</v>
      </c>
      <c r="I49" s="27">
        <f t="shared" si="0"/>
        <v>0.75</v>
      </c>
      <c r="J49" s="28">
        <v>45301</v>
      </c>
      <c r="K49" s="29"/>
      <c r="L49" s="30">
        <f t="shared" si="3"/>
        <v>0.75</v>
      </c>
      <c r="M49" s="30">
        <f>IF(B49="Texion Textil",0,IF(C49="Malha",'Custos insumos'!$B$24,IF(C49="Dublagem Cretone",'Custos insumos'!$D$7,IF(C49="Dublagem Spun",'Custos insumos'!$D$4,IF(C49="Espelhamento",'Custos insumos'!$B$11,IF(C49="Espelhamento 2x",2*'Custos insumos'!$B$11,IF(C49="Esp. + Pel.",'Custos insumos'!$B$11,IF(C49="Pel. + Spun",'Custos insumos'!$D$4,IF(C49="Dublagem Cretone PES",'Custos insumos'!$D$7,IF(C49="Dublagem Barreira",'Custos insumos'!$D$11,IF(C49="Dublagem - MO + Filme",'Custos insumos'!$D$4,IF(C49="Dublagem Cretone HM50",'Custos insumos'!$D$26,IF(C49="Dublagem Cretone HM70",'Custos insumos'!$F$10,)))))))))))))</f>
        <v>0</v>
      </c>
      <c r="N49" s="30">
        <f>IF(B49="Texion Textil",0,IF(B49="Três Elos",0,IF(C49="Malha",0,IF(C49="Dublagem Cretone",'Custos insumos'!$D$23,IF(C49="Dublagem Spun",'Custos insumos'!$D$19,IF(C49="Espelhamento",0,IF(C49="Espelhamento 2x",0,IF(C49="Esp. + Pel.",0,IF(C49="Pel. + Spun",'Custos insumos'!$D$19,IF(C49="Dublagem Cretone PES",'Custos insumos'!$F$25,IF(C49="Dublagem Barreira",'Custos insumos'!$D$22,)))))))))))</f>
        <v>0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4.25" customHeight="1" x14ac:dyDescent="0.35">
      <c r="A50" s="18"/>
      <c r="B50" s="22" t="s">
        <v>121</v>
      </c>
      <c r="C50" s="23" t="s">
        <v>286</v>
      </c>
      <c r="D50" s="23"/>
      <c r="E50" s="24">
        <v>1</v>
      </c>
      <c r="F50" s="25">
        <v>2.5</v>
      </c>
      <c r="G50" s="25">
        <v>4.5</v>
      </c>
      <c r="H50" s="26" t="s">
        <v>243</v>
      </c>
      <c r="I50" s="27">
        <f t="shared" si="0"/>
        <v>4.5</v>
      </c>
      <c r="J50" s="28">
        <v>45301</v>
      </c>
      <c r="K50" s="29"/>
      <c r="L50" s="30">
        <f t="shared" si="3"/>
        <v>4.5</v>
      </c>
      <c r="M50" s="30">
        <f>IF(B50="Texion Textil",0,IF(C50="Malha",'Custos insumos'!$B$24,IF(C50="Dublagem Cretone",'Custos insumos'!$D$7,IF(C50="Dublagem Spun",'Custos insumos'!$D$4,IF(C50="Espelhamento",'Custos insumos'!$B$11,IF(C50="Espelhamento 2x",2*'Custos insumos'!$B$11,IF(C50="Esp. + Pel.",'Custos insumos'!$B$11,IF(C50="Pel. + Spun",'Custos insumos'!$D$4,IF(C50="Dublagem Cretone PES",'Custos insumos'!$D$7,IF(C50="Dublagem Barreira",'Custos insumos'!$D$11,IF(C50="Dublagem - MO + Filme",'Custos insumos'!$D$4,IF(C50="Dublagem Cretone HM50",'Custos insumos'!$D$26,IF(C50="Dublagem Cretone HM70",'Custos insumos'!$F$10,)))))))))))))</f>
        <v>0</v>
      </c>
      <c r="N50" s="30">
        <f>IF(B50="Texion Textil",0,IF(B50="Três Elos",0,IF(C50="Malha",0,IF(C50="Dublagem Cretone",'Custos insumos'!$D$23,IF(C50="Dublagem Spun",'Custos insumos'!$D$19,IF(C50="Espelhamento",0,IF(C50="Espelhamento 2x",0,IF(C50="Esp. + Pel.",0,IF(C50="Pel. + Spun",'Custos insumos'!$D$19,IF(C50="Dublagem Cretone PES",'Custos insumos'!$F$25,IF(C50="Dublagem Barreira",'Custos insumos'!$D$22,)))))))))))</f>
        <v>0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4.25" customHeight="1" x14ac:dyDescent="0.35">
      <c r="A51" s="18"/>
      <c r="B51" s="22" t="s">
        <v>121</v>
      </c>
      <c r="C51" s="23" t="s">
        <v>287</v>
      </c>
      <c r="D51" s="23"/>
      <c r="E51" s="24">
        <v>1</v>
      </c>
      <c r="F51" s="25">
        <v>2.5</v>
      </c>
      <c r="G51" s="25">
        <v>4.5</v>
      </c>
      <c r="H51" s="26" t="s">
        <v>243</v>
      </c>
      <c r="I51" s="27">
        <f t="shared" si="0"/>
        <v>4.5</v>
      </c>
      <c r="J51" s="28">
        <v>45301</v>
      </c>
      <c r="K51" s="29"/>
      <c r="L51" s="30">
        <f t="shared" si="3"/>
        <v>4.5</v>
      </c>
      <c r="M51" s="30">
        <f>IF(B51="Texion Textil",0,IF(C51="Malha",'Custos insumos'!$B$24,IF(C51="Dublagem Cretone",'Custos insumos'!$D$7,IF(C51="Dublagem Spun",'Custos insumos'!$D$4,IF(C51="Espelhamento",'Custos insumos'!$B$11,IF(C51="Espelhamento 2x",2*'Custos insumos'!$B$11,IF(C51="Esp. + Pel.",'Custos insumos'!$B$11,IF(C51="Pel. + Spun",'Custos insumos'!$D$4,IF(C51="Dublagem Cretone PES",'Custos insumos'!$D$7,IF(C51="Dublagem Barreira",'Custos insumos'!$D$11,IF(C51="Dublagem - MO + Filme",'Custos insumos'!$D$4,IF(C51="Dublagem Cretone HM50",'Custos insumos'!$D$26,IF(C51="Dublagem Cretone HM70",'Custos insumos'!$F$10,)))))))))))))</f>
        <v>0</v>
      </c>
      <c r="N51" s="30">
        <f>IF(B51="Texion Textil",0,IF(B51="Três Elos",0,IF(C51="Malha",0,IF(C51="Dublagem Cretone",'Custos insumos'!$D$23,IF(C51="Dublagem Spun",'Custos insumos'!$D$19,IF(C51="Espelhamento",0,IF(C51="Espelhamento 2x",0,IF(C51="Esp. + Pel.",0,IF(C51="Pel. + Spun",'Custos insumos'!$D$19,IF(C51="Dublagem Cretone PES",'Custos insumos'!$F$25,IF(C51="Dublagem Barreira",'Custos insumos'!$D$22,)))))))))))</f>
        <v>0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4.25" customHeight="1" x14ac:dyDescent="0.35">
      <c r="A52" s="18"/>
      <c r="B52" s="22" t="s">
        <v>121</v>
      </c>
      <c r="C52" s="23" t="s">
        <v>249</v>
      </c>
      <c r="D52" s="23"/>
      <c r="E52" s="24">
        <v>1</v>
      </c>
      <c r="F52" s="25">
        <v>5.98</v>
      </c>
      <c r="G52" s="25">
        <v>6.1</v>
      </c>
      <c r="H52" s="26" t="s">
        <v>243</v>
      </c>
      <c r="I52" s="27">
        <f t="shared" si="0"/>
        <v>6.1</v>
      </c>
      <c r="J52" s="28">
        <v>45301</v>
      </c>
      <c r="K52" s="29"/>
      <c r="L52" s="30">
        <f t="shared" si="3"/>
        <v>4.0857999999999999</v>
      </c>
      <c r="M52" s="30">
        <f>IF(B52="Texion Textil",0,IF(C52="Malha",'Custos insumos'!$B$24,IF(C52="Dublagem Cretone",'Custos insumos'!$D$7,IF(C52="Dublagem Spun",'Custos insumos'!$D$4,IF(C52="Espelhamento",'Custos insumos'!$B$11,IF(C52="Espelhamento 2x",2*'Custos insumos'!$B$11,IF(C52="Esp. + Pel.",'Custos insumos'!$B$11,IF(C52="Pel. + Spun",'Custos insumos'!$D$4,IF(C52="Dublagem Cretone PES",'Custos insumos'!$D$7,IF(C52="Dublagem Barreira",'Custos insumos'!$D$11,IF(C52="Dublagem - MO + Filme",'Custos insumos'!$D$4,IF(C52="Dublagem Cretone HM50",'Custos insumos'!$D$26,IF(C52="Dublagem Cretone HM70",'Custos insumos'!$F$10,)))))))))))))</f>
        <v>1.1232</v>
      </c>
      <c r="N52" s="30">
        <f>IF(B52="Texion Textil",0,IF(B52="Três Elos",0,IF(C52="Malha",0,IF(C52="Dublagem Cretone",'Custos insumos'!$D$23,IF(C52="Dublagem Spun",'Custos insumos'!$D$19,IF(C52="Espelhamento",0,IF(C52="Espelhamento 2x",0,IF(C52="Esp. + Pel.",0,IF(C52="Pel. + Spun",'Custos insumos'!$D$19,IF(C52="Dublagem Cretone PES",'Custos insumos'!$F$25,IF(C52="Dublagem Barreira",'Custos insumos'!$D$22,)))))))))))</f>
        <v>0.89100000000000001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4.25" customHeight="1" x14ac:dyDescent="0.35">
      <c r="A53" s="18"/>
      <c r="B53" s="22" t="s">
        <v>121</v>
      </c>
      <c r="C53" s="23" t="s">
        <v>254</v>
      </c>
      <c r="D53" s="23"/>
      <c r="E53" s="24">
        <v>2</v>
      </c>
      <c r="F53" s="25">
        <v>0.98</v>
      </c>
      <c r="G53" s="25">
        <v>1.05</v>
      </c>
      <c r="H53" s="26" t="s">
        <v>243</v>
      </c>
      <c r="I53" s="27">
        <f t="shared" si="0"/>
        <v>0.52500000000000002</v>
      </c>
      <c r="J53" s="28">
        <v>45301</v>
      </c>
      <c r="K53" s="29"/>
      <c r="L53" s="30">
        <f t="shared" si="3"/>
        <v>1.05</v>
      </c>
      <c r="M53" s="30">
        <f>IF(B53="Texion Textil",0,IF(C53="Malha",'Custos insumos'!$B$24,IF(C53="Dublagem Cretone",'Custos insumos'!$D$7,IF(C53="Dublagem Spun",'Custos insumos'!$D$4,IF(C53="Espelhamento",'Custos insumos'!$B$11,IF(C53="Espelhamento 2x",2*'Custos insumos'!$B$11,IF(C53="Esp. + Pel.",'Custos insumos'!$B$11,IF(C53="Pel. + Spun",'Custos insumos'!$D$4,IF(C53="Dublagem Cretone PES",'Custos insumos'!$D$7,IF(C53="Dublagem Barreira",'Custos insumos'!$D$11,IF(C53="Dublagem - MO + Filme",'Custos insumos'!$D$4,IF(C53="Dublagem Cretone HM50",'Custos insumos'!$D$26,IF(C53="Dublagem Cretone HM70",'Custos insumos'!$F$10,)))))))))))))</f>
        <v>0</v>
      </c>
      <c r="N53" s="30">
        <f>IF(B53="Texion Textil",0,IF(B53="Três Elos",0,IF(C53="Malha",0,IF(C53="Dublagem Cretone",'Custos insumos'!$D$23,IF(C53="Dublagem Spun",'Custos insumos'!$D$19,IF(C53="Espelhamento",0,IF(C53="Espelhamento 2x",0,IF(C53="Esp. + Pel.",0,IF(C53="Pel. + Spun",'Custos insumos'!$D$19,IF(C53="Dublagem Cretone PES",'Custos insumos'!$F$25,IF(C53="Dublagem Barreira",'Custos insumos'!$D$22,)))))))))))</f>
        <v>0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4.25" customHeight="1" x14ac:dyDescent="0.35">
      <c r="A54" s="18"/>
      <c r="B54" s="22" t="s">
        <v>288</v>
      </c>
      <c r="C54" s="23" t="s">
        <v>254</v>
      </c>
      <c r="D54" s="23"/>
      <c r="E54" s="24">
        <v>1</v>
      </c>
      <c r="F54" s="25"/>
      <c r="G54" s="25">
        <v>0.77</v>
      </c>
      <c r="H54" s="26" t="s">
        <v>243</v>
      </c>
      <c r="I54" s="27">
        <f t="shared" si="0"/>
        <v>0.77</v>
      </c>
      <c r="J54" s="28"/>
      <c r="K54" s="29"/>
      <c r="L54" s="30">
        <f t="shared" si="3"/>
        <v>0.77</v>
      </c>
      <c r="M54" s="30">
        <f>IF(B54="Texion Textil",0,IF(C54="Malha",'Custos insumos'!$B$24,IF(C54="Dublagem Cretone",'Custos insumos'!$D$7,IF(C54="Dublagem Spun",'Custos insumos'!$D$4,IF(C54="Espelhamento",'Custos insumos'!$B$11,IF(C54="Espelhamento 2x",2*'Custos insumos'!$B$11,IF(C54="Esp. + Pel.",'Custos insumos'!$B$11,IF(C54="Pel. + Spun",'Custos insumos'!$D$4,IF(C54="Dublagem Cretone PES",'Custos insumos'!$D$7,IF(C54="Dublagem Barreira",'Custos insumos'!$D$11,IF(C54="Dublagem - MO + Filme",'Custos insumos'!$D$4,IF(C54="Dublagem Cretone HM50",'Custos insumos'!$D$26,IF(C54="Dublagem Cretone HM70",'Custos insumos'!$F$10,)))))))))))))</f>
        <v>0</v>
      </c>
      <c r="N54" s="30">
        <f>IF(B54="Texion Textil",0,IF(B54="Três Elos",0,IF(C54="Malha",0,IF(C54="Dublagem Cretone",'Custos insumos'!$D$23,IF(C54="Dublagem Spun",'Custos insumos'!$D$19,IF(C54="Espelhamento",0,IF(C54="Espelhamento 2x",0,IF(C54="Esp. + Pel.",0,IF(C54="Pel. + Spun",'Custos insumos'!$D$19,IF(C54="Dublagem Cretone PES",'Custos insumos'!$F$25,IF(C54="Dublagem Barreira",'Custos insumos'!$D$22,)))))))))))</f>
        <v>0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3.5" customHeight="1" x14ac:dyDescent="0.35">
      <c r="A55" s="18"/>
      <c r="B55" s="22" t="s">
        <v>124</v>
      </c>
      <c r="C55" s="23" t="s">
        <v>144</v>
      </c>
      <c r="D55" s="23"/>
      <c r="E55" s="24">
        <v>1</v>
      </c>
      <c r="F55" s="25">
        <v>0.6</v>
      </c>
      <c r="G55" s="25">
        <v>0.6</v>
      </c>
      <c r="H55" s="26" t="s">
        <v>243</v>
      </c>
      <c r="I55" s="27">
        <f t="shared" si="0"/>
        <v>0.6</v>
      </c>
      <c r="J55" s="28">
        <v>45301</v>
      </c>
      <c r="K55" s="29"/>
      <c r="L55" s="30">
        <f t="shared" si="3"/>
        <v>0.6</v>
      </c>
      <c r="M55" s="30">
        <f>IF(B55="Texion Textil",0,IF(C55="Malha",'Custos insumos'!$B$24,IF(C55="Dublagem Cretone",'Custos insumos'!$D$7,IF(C55="Dublagem Spun",'Custos insumos'!$D$4,IF(C55="Espelhamento",'Custos insumos'!$B$11,IF(C55="Espelhamento 2x",2*'Custos insumos'!$B$11,IF(C55="Esp. + Pel.",'Custos insumos'!$B$11,IF(C55="Pel. + Spun",'Custos insumos'!$D$4,IF(C55="Dublagem Cretone PES",'Custos insumos'!$D$7,IF(C55="Dublagem Barreira",'Custos insumos'!$D$11,IF(C55="Dublagem - MO + Filme",'Custos insumos'!$D$4,IF(C55="Dublagem Cretone HM50",'Custos insumos'!$D$26,IF(C55="Dublagem Cretone HM70",'Custos insumos'!$F$10,)))))))))))))</f>
        <v>0</v>
      </c>
      <c r="N55" s="30">
        <f>IF(B55="Texion Textil",0,IF(B55="Três Elos",0,IF(C55="Malha",0,IF(C55="Dublagem Cretone",'Custos insumos'!$D$23,IF(C55="Dublagem Spun",'Custos insumos'!$D$19,IF(C55="Espelhamento",0,IF(C55="Espelhamento 2x",0,IF(C55="Esp. + Pel.",0,IF(C55="Pel. + Spun",'Custos insumos'!$D$19,IF(C55="Dublagem Cretone PES",'Custos insumos'!$F$25,IF(C55="Dublagem Barreira",'Custos insumos'!$D$22,)))))))))))</f>
        <v>0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4.25" customHeight="1" x14ac:dyDescent="0.35">
      <c r="A56" s="18" t="s">
        <v>256</v>
      </c>
      <c r="B56" s="22" t="s">
        <v>126</v>
      </c>
      <c r="C56" s="23" t="s">
        <v>254</v>
      </c>
      <c r="D56" s="23"/>
      <c r="E56" s="24">
        <v>2</v>
      </c>
      <c r="F56" s="25">
        <v>1.2</v>
      </c>
      <c r="G56" s="25">
        <v>1.2</v>
      </c>
      <c r="H56" s="26" t="s">
        <v>243</v>
      </c>
      <c r="I56" s="27">
        <f t="shared" si="0"/>
        <v>0.6</v>
      </c>
      <c r="J56" s="28">
        <v>45301</v>
      </c>
      <c r="K56" s="29"/>
      <c r="L56" s="30">
        <f t="shared" si="3"/>
        <v>1.2</v>
      </c>
      <c r="M56" s="30">
        <f>IF(B56="Texion Textil",0,IF(C56="Malha",'Custos insumos'!$B$24,IF(C56="Dublagem Cretone",'Custos insumos'!$D$7,IF(C56="Dublagem Spun",'Custos insumos'!$D$4,IF(C56="Espelhamento",'Custos insumos'!$B$11,IF(C56="Espelhamento 2x",2*'Custos insumos'!$B$11,IF(C56="Esp. + Pel.",'Custos insumos'!$B$11,IF(C56="Pel. + Spun",'Custos insumos'!$D$4,IF(C56="Dublagem Cretone PES",'Custos insumos'!$D$7,IF(C56="Dublagem Barreira",'Custos insumos'!$D$11,IF(C56="Dublagem - MO + Filme",'Custos insumos'!$D$4,IF(C56="Dublagem Cretone HM50",'Custos insumos'!$D$26,IF(C56="Dublagem Cretone HM70",'Custos insumos'!$F$10,)))))))))))))</f>
        <v>0</v>
      </c>
      <c r="N56" s="30">
        <f>IF(B56="Texion Textil",0,IF(B56="Três Elos",0,IF(C56="Malha",0,IF(C56="Dublagem Cretone",'Custos insumos'!$D$23,IF(C56="Dublagem Spun",'Custos insumos'!$D$19,IF(C56="Espelhamento",0,IF(C56="Espelhamento 2x",0,IF(C56="Esp. + Pel.",0,IF(C56="Pel. + Spun",'Custos insumos'!$D$19,IF(C56="Dublagem Cretone PES",'Custos insumos'!$F$25,IF(C56="Dublagem Barreira",'Custos insumos'!$D$22,)))))))))))</f>
        <v>0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4.25" customHeight="1" x14ac:dyDescent="0.35">
      <c r="A57" s="18" t="s">
        <v>256</v>
      </c>
      <c r="B57" s="22" t="s">
        <v>128</v>
      </c>
      <c r="C57" s="23" t="s">
        <v>289</v>
      </c>
      <c r="D57" s="23"/>
      <c r="E57" s="24">
        <v>1</v>
      </c>
      <c r="F57" s="25">
        <v>3.2</v>
      </c>
      <c r="G57" s="25">
        <v>3.5</v>
      </c>
      <c r="H57" s="26" t="s">
        <v>243</v>
      </c>
      <c r="I57" s="27">
        <f t="shared" si="0"/>
        <v>3.5</v>
      </c>
      <c r="J57" s="28">
        <v>45301</v>
      </c>
      <c r="K57" s="29"/>
      <c r="L57" s="30">
        <f t="shared" si="3"/>
        <v>2.4414997101449272</v>
      </c>
      <c r="M57" s="30">
        <f>IF(B57="Texion Textil",0,IF(C57="Malha",'Custos insumos'!$B$24,IF(C57="Dublagem Cretone",'Custos insumos'!$D$7,IF(C57="Dublagem Spun",'Custos insumos'!$D$4,IF(C57="Espelhamento",'Custos insumos'!$B$11,IF(C57="Espelhamento 2x",2*'Custos insumos'!$B$11,IF(C57="Esp. + Pel.",'Custos insumos'!$B$11,IF(C57="Pel. + Spun",'Custos insumos'!$D$4,IF(C57="Dublagem Cretone PES",'Custos insumos'!$D$7,IF(C57="Dublagem Barreira",'Custos insumos'!$D$11,IF(C57="Dublagem - MO + Filme",'Custos insumos'!$D$4,IF(C57="Dublagem Cretone HM50",'Custos insumos'!$D$26,IF(C57="Dublagem Cretone HM70",'Custos insumos'!$F$10,)))))))))))))</f>
        <v>1.0585002898550726</v>
      </c>
      <c r="N57" s="30">
        <f>IF(B57="Texion Textil",0,IF(B57="Três Elos",0,IF(C57="Malha",0,IF(C57="Dublagem Cretone",'Custos insumos'!$D$23,IF(C57="Dublagem Spun",'Custos insumos'!$D$19,IF(C57="Espelhamento",0,IF(C57="Espelhamento 2x",0,IF(C57="Esp. + Pel.",0,IF(C57="Pel. + Spun",'Custos insumos'!$D$19,IF(C57="Dublagem Cretone PES",'Custos insumos'!$F$25,IF(C57="Dublagem Barreira",'Custos insumos'!$D$22,)))))))))))</f>
        <v>0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4.25" customHeight="1" x14ac:dyDescent="0.35">
      <c r="A58" s="18" t="s">
        <v>256</v>
      </c>
      <c r="B58" s="22" t="s">
        <v>128</v>
      </c>
      <c r="C58" s="23" t="s">
        <v>106</v>
      </c>
      <c r="D58" s="23"/>
      <c r="E58" s="24">
        <v>1</v>
      </c>
      <c r="F58" s="25"/>
      <c r="G58" s="25">
        <v>2.75</v>
      </c>
      <c r="H58" s="26" t="s">
        <v>243</v>
      </c>
      <c r="I58" s="27">
        <f t="shared" si="0"/>
        <v>2.75</v>
      </c>
      <c r="J58" s="28">
        <v>45301</v>
      </c>
      <c r="K58" s="29"/>
      <c r="L58" s="30">
        <f t="shared" si="3"/>
        <v>1.6914997101449274</v>
      </c>
      <c r="M58" s="30">
        <f>IF(B58="Texion Textil",0,IF(C58="Malha",'Custos insumos'!$B$24,IF(C58="Dublagem Cretone",'Custos insumos'!$D$7,IF(C58="Dublagem Spun",'Custos insumos'!$D$4,IF(C58="Espelhamento",'Custos insumos'!$B$11,IF(C58="Espelhamento 2x",2*'Custos insumos'!$B$11,IF(C58="Esp. + Pel.",'Custos insumos'!$B$11,IF(C58="Pel. + Spun",'Custos insumos'!$D$4,IF(C58="Dublagem Cretone PES",'Custos insumos'!$D$7,IF(C58="Dublagem Barreira",'Custos insumos'!$D$11,IF(C58="Dublagem - MO + Filme",'Custos insumos'!$D$4,IF(C58="Dublagem Cretone HM50",'Custos insumos'!$D$26,IF(C58="Dublagem Cretone HM70",'Custos insumos'!$F$10,)))))))))))))</f>
        <v>1.0585002898550726</v>
      </c>
      <c r="N58" s="30">
        <f>IF(B58="Texion Textil",0,IF(B58="Três Elos",0,IF(C58="Malha",0,IF(C58="Dublagem Cretone",'Custos insumos'!$D$23,IF(C58="Dublagem Spun",'Custos insumos'!$D$19,IF(C58="Espelhamento",0,IF(C58="Espelhamento 2x",0,IF(C58="Esp. + Pel.",0,IF(C58="Pel. + Spun",'Custos insumos'!$D$19,IF(C58="Dublagem Cretone PES",'Custos insumos'!$F$25,IF(C58="Dublagem Barreira",'Custos insumos'!$D$22,)))))))))))</f>
        <v>0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4.25" customHeight="1" x14ac:dyDescent="0.35">
      <c r="A59" s="18" t="s">
        <v>256</v>
      </c>
      <c r="B59" s="22" t="s">
        <v>128</v>
      </c>
      <c r="C59" s="23" t="s">
        <v>290</v>
      </c>
      <c r="D59" s="23"/>
      <c r="E59" s="24">
        <v>1</v>
      </c>
      <c r="F59" s="25"/>
      <c r="G59" s="25">
        <f>(2*1.17)+(2*1.15)+0.36</f>
        <v>5</v>
      </c>
      <c r="H59" s="26" t="s">
        <v>243</v>
      </c>
      <c r="I59" s="27">
        <f t="shared" si="0"/>
        <v>5</v>
      </c>
      <c r="J59" s="28">
        <v>45301</v>
      </c>
      <c r="K59" s="29"/>
      <c r="L59" s="30">
        <f t="shared" si="3"/>
        <v>2.8829994202898548</v>
      </c>
      <c r="M59" s="30">
        <f>IF(B59="Texion Textil",0,IF(C59="Malha",'Custos insumos'!$B$24,IF(C59="Dublagem Cretone",'Custos insumos'!$D$7,IF(C59="Dublagem Spun",'Custos insumos'!$D$4,IF(C59="Espelhamento",'Custos insumos'!$B$11,IF(C59="Espelhamento 2x",2*'Custos insumos'!$B$11,IF(C59="Esp. + Pel.",'Custos insumos'!$B$11,IF(C59="Pel. + Spun",'Custos insumos'!$D$4,IF(C59="Dublagem Cretone PES",'Custos insumos'!$D$7,IF(C59="Dublagem Barreira",'Custos insumos'!$D$11,IF(C59="Dublagem - MO + Filme",'Custos insumos'!$D$4,IF(C59="Dublagem Cretone HM50",'Custos insumos'!$D$26,IF(C59="Dublagem Cretone HM70",'Custos insumos'!$F$10,)))))))))))))</f>
        <v>2.1170005797101452</v>
      </c>
      <c r="N59" s="30">
        <f>IF(B59="Texion Textil",0,IF(B59="Três Elos",0,IF(C59="Malha",0,IF(C59="Dublagem Cretone",'Custos insumos'!$D$23,IF(C59="Dublagem Spun",'Custos insumos'!$D$19,IF(C59="Espelhamento",0,IF(C59="Espelhamento 2x",0,IF(C59="Esp. + Pel.",0,IF(C59="Pel. + Spun",'Custos insumos'!$D$19,IF(C59="Dublagem Cretone PES",'Custos insumos'!$F$25,IF(C59="Dublagem Barreira",'Custos insumos'!$D$22,)))))))))))</f>
        <v>0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4.25" customHeight="1" x14ac:dyDescent="0.35">
      <c r="A60" s="18" t="s">
        <v>256</v>
      </c>
      <c r="B60" s="22" t="s">
        <v>128</v>
      </c>
      <c r="C60" s="23" t="s">
        <v>144</v>
      </c>
      <c r="D60" s="23"/>
      <c r="E60" s="24">
        <v>1</v>
      </c>
      <c r="F60" s="25">
        <v>0.56999999999999995</v>
      </c>
      <c r="G60" s="25">
        <v>0.65</v>
      </c>
      <c r="H60" s="26" t="s">
        <v>243</v>
      </c>
      <c r="I60" s="27">
        <f t="shared" si="0"/>
        <v>0.65</v>
      </c>
      <c r="J60" s="28">
        <v>45301</v>
      </c>
      <c r="K60" s="29"/>
      <c r="L60" s="30">
        <f t="shared" si="3"/>
        <v>0.65</v>
      </c>
      <c r="M60" s="30">
        <f>IF(B60="Texion Textil",0,IF(C60="Malha",'Custos insumos'!$B$24,IF(C60="Dublagem Cretone",'Custos insumos'!$D$7,IF(C60="Dublagem Spun",'Custos insumos'!$D$4,IF(C60="Espelhamento",'Custos insumos'!$B$11,IF(C60="Espelhamento 2x",2*'Custos insumos'!$B$11,IF(C60="Esp. + Pel.",'Custos insumos'!$B$11,IF(C60="Pel. + Spun",'Custos insumos'!$D$4,IF(C60="Dublagem Cretone PES",'Custos insumos'!$D$7,IF(C60="Dublagem Barreira",'Custos insumos'!$D$11,IF(C60="Dublagem - MO + Filme",'Custos insumos'!$D$4,IF(C60="Dublagem Cretone HM50",'Custos insumos'!$D$26,IF(C60="Dublagem Cretone HM70",'Custos insumos'!$F$10,)))))))))))))</f>
        <v>0</v>
      </c>
      <c r="N60" s="30">
        <f>IF(B60="Texion Textil",0,IF(B60="Três Elos",0,IF(C60="Malha",0,IF(C60="Dublagem Cretone",'Custos insumos'!$D$23,IF(C60="Dublagem Spun",'Custos insumos'!$D$19,IF(C60="Espelhamento",0,IF(C60="Espelhamento 2x",0,IF(C60="Esp. + Pel.",0,IF(C60="Pel. + Spun",'Custos insumos'!$D$19,IF(C60="Dublagem Cretone PES",'Custos insumos'!$F$25,IF(C60="Dublagem Barreira",'Custos insumos'!$D$22,)))))))))))</f>
        <v>0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4.25" customHeight="1" x14ac:dyDescent="0.35">
      <c r="A61" s="18" t="s">
        <v>256</v>
      </c>
      <c r="B61" s="22" t="s">
        <v>128</v>
      </c>
      <c r="C61" s="23" t="s">
        <v>254</v>
      </c>
      <c r="D61" s="23" t="s">
        <v>268</v>
      </c>
      <c r="E61" s="24">
        <v>2</v>
      </c>
      <c r="F61" s="25">
        <v>1.1000000000000001</v>
      </c>
      <c r="G61" s="25">
        <v>1.25</v>
      </c>
      <c r="H61" s="26" t="s">
        <v>243</v>
      </c>
      <c r="I61" s="27">
        <f t="shared" si="0"/>
        <v>0.625</v>
      </c>
      <c r="J61" s="28">
        <v>45301</v>
      </c>
      <c r="K61" s="29"/>
      <c r="L61" s="30">
        <f t="shared" si="3"/>
        <v>1.25</v>
      </c>
      <c r="M61" s="30">
        <f>IF(B61="Texion Textil",0,IF(C61="Malha",'Custos insumos'!$B$24,IF(C61="Dublagem Cretone",'Custos insumos'!$D$7,IF(C61="Dublagem Spun",'Custos insumos'!$D$4,IF(C61="Espelhamento",'Custos insumos'!$B$11,IF(C61="Espelhamento 2x",2*'Custos insumos'!$B$11,IF(C61="Esp. + Pel.",'Custos insumos'!$B$11,IF(C61="Pel. + Spun",'Custos insumos'!$D$4,IF(C61="Dublagem Cretone PES",'Custos insumos'!$D$7,IF(C61="Dublagem Barreira",'Custos insumos'!$D$11,IF(C61="Dublagem - MO + Filme",'Custos insumos'!$D$4,IF(C61="Dublagem Cretone HM50",'Custos insumos'!$D$26,IF(C61="Dublagem Cretone HM70",'Custos insumos'!$F$10,)))))))))))))</f>
        <v>0</v>
      </c>
      <c r="N61" s="30">
        <f>IF(B61="Texion Textil",0,IF(B61="Três Elos",0,IF(C61="Malha",0,IF(C61="Dublagem Cretone",'Custos insumos'!$D$23,IF(C61="Dublagem Spun",'Custos insumos'!$D$19,IF(C61="Espelhamento",0,IF(C61="Espelhamento 2x",0,IF(C61="Esp. + Pel.",0,IF(C61="Pel. + Spun",'Custos insumos'!$D$19,IF(C61="Dublagem Cretone PES",'Custos insumos'!$F$25,IF(C61="Dublagem Barreira",'Custos insumos'!$D$22,)))))))))))</f>
        <v>0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4.25" customHeight="1" x14ac:dyDescent="0.35">
      <c r="A62" s="18" t="s">
        <v>256</v>
      </c>
      <c r="B62" s="22" t="s">
        <v>128</v>
      </c>
      <c r="C62" s="23" t="s">
        <v>254</v>
      </c>
      <c r="D62" s="23" t="s">
        <v>131</v>
      </c>
      <c r="E62" s="24">
        <v>1</v>
      </c>
      <c r="F62" s="25">
        <v>0.98</v>
      </c>
      <c r="G62" s="25">
        <v>1.1499999999999999</v>
      </c>
      <c r="H62" s="26" t="s">
        <v>243</v>
      </c>
      <c r="I62" s="27">
        <f t="shared" si="0"/>
        <v>1.1499999999999999</v>
      </c>
      <c r="J62" s="28">
        <v>45301</v>
      </c>
      <c r="K62" s="29"/>
      <c r="L62" s="30">
        <f t="shared" si="3"/>
        <v>1.1499999999999999</v>
      </c>
      <c r="M62" s="30">
        <f>IF(B62="Texion Textil",0,IF(C62="Malha",'Custos insumos'!$B$24,IF(C62="Dublagem Cretone",'Custos insumos'!$D$7,IF(C62="Dublagem Spun",'Custos insumos'!$D$4,IF(C62="Espelhamento",'Custos insumos'!$B$11,IF(C62="Espelhamento 2x",2*'Custos insumos'!$B$11,IF(C62="Esp. + Pel.",'Custos insumos'!$B$11,IF(C62="Pel. + Spun",'Custos insumos'!$D$4,IF(C62="Dublagem Cretone PES",'Custos insumos'!$D$7,IF(C62="Dublagem Barreira",'Custos insumos'!$D$11,IF(C62="Dublagem - MO + Filme",'Custos insumos'!$D$4,IF(C62="Dublagem Cretone HM50",'Custos insumos'!$D$26,IF(C62="Dublagem Cretone HM70",'Custos insumos'!$F$10,)))))))))))))</f>
        <v>0</v>
      </c>
      <c r="N62" s="30">
        <f>IF(B62="Texion Textil",0,IF(B62="Três Elos",0,IF(C62="Malha",0,IF(C62="Dublagem Cretone",'Custos insumos'!$D$23,IF(C62="Dublagem Spun",'Custos insumos'!$D$19,IF(C62="Espelhamento",0,IF(C62="Espelhamento 2x",0,IF(C62="Esp. + Pel.",0,IF(C62="Pel. + Spun",'Custos insumos'!$D$19,IF(C62="Dublagem Cretone PES",'Custos insumos'!$F$25,IF(C62="Dublagem Barreira",'Custos insumos'!$D$22,)))))))))))</f>
        <v>0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4.25" customHeight="1" x14ac:dyDescent="0.35">
      <c r="A63" s="18" t="s">
        <v>256</v>
      </c>
      <c r="B63" s="22" t="s">
        <v>128</v>
      </c>
      <c r="C63" s="23" t="s">
        <v>254</v>
      </c>
      <c r="D63" s="23" t="s">
        <v>134</v>
      </c>
      <c r="E63" s="24">
        <v>3</v>
      </c>
      <c r="F63" s="25">
        <v>1.71</v>
      </c>
      <c r="G63" s="25">
        <v>2.15</v>
      </c>
      <c r="H63" s="26" t="s">
        <v>243</v>
      </c>
      <c r="I63" s="27">
        <f t="shared" si="0"/>
        <v>0.71666666666666667</v>
      </c>
      <c r="J63" s="28">
        <v>45301</v>
      </c>
      <c r="K63" s="29"/>
      <c r="L63" s="30">
        <f t="shared" si="3"/>
        <v>2.15</v>
      </c>
      <c r="M63" s="30">
        <f>IF(B63="Texion Textil",0,IF(C63="Malha",'Custos insumos'!$B$24,IF(C63="Dublagem Cretone",'Custos insumos'!$D$7,IF(C63="Dublagem Spun",'Custos insumos'!$D$4,IF(C63="Espelhamento",'Custos insumos'!$B$11,IF(C63="Espelhamento 2x",2*'Custos insumos'!$B$11,IF(C63="Esp. + Pel.",'Custos insumos'!$B$11,IF(C63="Pel. + Spun",'Custos insumos'!$D$4,IF(C63="Dublagem Cretone PES",'Custos insumos'!$D$7,IF(C63="Dublagem Barreira",'Custos insumos'!$D$11,IF(C63="Dublagem - MO + Filme",'Custos insumos'!$D$4,IF(C63="Dublagem Cretone HM50",'Custos insumos'!$D$26,IF(C63="Dublagem Cretone HM70",'Custos insumos'!$F$10,)))))))))))))</f>
        <v>0</v>
      </c>
      <c r="N63" s="30">
        <f>IF(B63="Texion Textil",0,IF(B63="Três Elos",0,IF(C63="Malha",0,IF(C63="Dublagem Cretone",'Custos insumos'!$D$23,IF(C63="Dublagem Spun",'Custos insumos'!$D$19,IF(C63="Espelhamento",0,IF(C63="Espelhamento 2x",0,IF(C63="Esp. + Pel.",0,IF(C63="Pel. + Spun",'Custos insumos'!$D$19,IF(C63="Dublagem Cretone PES",'Custos insumos'!$F$25,IF(C63="Dublagem Barreira",'Custos insumos'!$D$22,)))))))))))</f>
        <v>0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4.25" customHeight="1" x14ac:dyDescent="0.35">
      <c r="A64" s="18" t="s">
        <v>256</v>
      </c>
      <c r="B64" s="22" t="s">
        <v>128</v>
      </c>
      <c r="C64" s="23" t="s">
        <v>68</v>
      </c>
      <c r="D64" s="23"/>
      <c r="E64" s="24">
        <v>1</v>
      </c>
      <c r="F64" s="25">
        <v>18.899999999999999</v>
      </c>
      <c r="G64" s="25">
        <v>20.9</v>
      </c>
      <c r="H64" s="26" t="s">
        <v>246</v>
      </c>
      <c r="I64" s="27">
        <f t="shared" si="0"/>
        <v>20.9</v>
      </c>
      <c r="J64" s="28">
        <v>45301</v>
      </c>
      <c r="K64" s="29"/>
      <c r="L64" s="30">
        <f t="shared" si="3"/>
        <v>8.3999999999999986</v>
      </c>
      <c r="M64" s="30">
        <f>IF(B64="Texion Textil",0,IF(C64="Malha",'Custos insumos'!$B$24,IF(C64="Dublagem Cretone",'Custos insumos'!$D$7,IF(C64="Dublagem Spun",'Custos insumos'!$D$4,IF(C64="Espelhamento",'Custos insumos'!$B$11,IF(C64="Espelhamento 2x",2*'Custos insumos'!$B$11,IF(C64="Esp. + Pel.",'Custos insumos'!$B$11,IF(C64="Pel. + Spun",'Custos insumos'!$D$4,IF(C64="Dublagem Cretone PES",'Custos insumos'!$D$7,IF(C64="Dublagem Barreira",'Custos insumos'!$D$11,IF(C64="Dublagem - MO + Filme",'Custos insumos'!$D$4,IF(C64="Dublagem Cretone HM50",'Custos insumos'!$D$26,IF(C64="Dublagem Cretone HM70",'Custos insumos'!$F$10,)))))))))))))</f>
        <v>12.5</v>
      </c>
      <c r="N64" s="30">
        <f>IF(B64="Texion Textil",0,IF(B64="Três Elos",0,IF(C64="Malha",0,IF(C64="Dublagem Cretone",'Custos insumos'!$D$23,IF(C64="Dublagem Spun",'Custos insumos'!$D$19,IF(C64="Espelhamento",0,IF(C64="Espelhamento 2x",0,IF(C64="Esp. + Pel.",0,IF(C64="Pel. + Spun",'Custos insumos'!$D$19,IF(C64="Dublagem Cretone PES",'Custos insumos'!$F$25,IF(C64="Dublagem Barreira",'Custos insumos'!$D$22,)))))))))))</f>
        <v>0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4.25" customHeight="1" x14ac:dyDescent="0.35">
      <c r="A65" s="18" t="s">
        <v>256</v>
      </c>
      <c r="B65" s="22" t="s">
        <v>135</v>
      </c>
      <c r="C65" s="23" t="s">
        <v>254</v>
      </c>
      <c r="D65" s="23"/>
      <c r="E65" s="24">
        <v>1</v>
      </c>
      <c r="F65" s="25">
        <v>2.39</v>
      </c>
      <c r="G65" s="25">
        <v>2.39</v>
      </c>
      <c r="H65" s="26" t="s">
        <v>243</v>
      </c>
      <c r="I65" s="27">
        <f t="shared" si="0"/>
        <v>2.39</v>
      </c>
      <c r="J65" s="28">
        <v>45301</v>
      </c>
      <c r="K65" s="29"/>
      <c r="L65" s="30">
        <f t="shared" si="3"/>
        <v>2.39</v>
      </c>
      <c r="M65" s="30">
        <f>IF(B65="Texion Textil",0,IF(C65="Malha",'Custos insumos'!$B$24,IF(C65="Dublagem Cretone",'Custos insumos'!$D$7,IF(C65="Dublagem Spun",'Custos insumos'!$D$4,IF(C65="Espelhamento",'Custos insumos'!$B$11,IF(C65="Espelhamento 2x",2*'Custos insumos'!$B$11,IF(C65="Esp. + Pel.",'Custos insumos'!$B$11,IF(C65="Pel. + Spun",'Custos insumos'!$D$4,IF(C65="Dublagem Cretone PES",'Custos insumos'!$D$7,IF(C65="Dublagem Barreira",'Custos insumos'!$D$11,IF(C65="Dublagem - MO + Filme",'Custos insumos'!$D$4,IF(C65="Dublagem Cretone HM50",'Custos insumos'!$D$26,IF(C65="Dublagem Cretone HM70",'Custos insumos'!$F$10,)))))))))))))</f>
        <v>0</v>
      </c>
      <c r="N65" s="30">
        <f>IF(B65="Texion Textil",0,IF(B65="Três Elos",0,IF(C65="Malha",0,IF(C65="Dublagem Cretone",'Custos insumos'!$D$23,IF(C65="Dublagem Spun",'Custos insumos'!$D$19,IF(C65="Espelhamento",0,IF(C65="Espelhamento 2x",0,IF(C65="Esp. + Pel.",0,IF(C65="Pel. + Spun",'Custos insumos'!$D$19,IF(C65="Dublagem Cretone PES",'Custos insumos'!$F$25,IF(C65="Dublagem Barreira",'Custos insumos'!$D$22,)))))))))))</f>
        <v>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4.25" customHeight="1" x14ac:dyDescent="0.35">
      <c r="A66" s="18"/>
      <c r="B66" s="22" t="s">
        <v>136</v>
      </c>
      <c r="C66" s="23" t="s">
        <v>144</v>
      </c>
      <c r="D66" s="23"/>
      <c r="E66" s="24">
        <v>1</v>
      </c>
      <c r="F66" s="25">
        <v>0.34</v>
      </c>
      <c r="G66" s="25">
        <v>0.6</v>
      </c>
      <c r="H66" s="26" t="s">
        <v>243</v>
      </c>
      <c r="I66" s="27">
        <f t="shared" si="0"/>
        <v>0.6</v>
      </c>
      <c r="J66" s="28">
        <v>45301</v>
      </c>
      <c r="K66" s="29"/>
      <c r="L66" s="30">
        <f t="shared" si="3"/>
        <v>0.6</v>
      </c>
      <c r="M66" s="30">
        <f>IF(B66="Texion Textil",0,IF(C66="Malha",'Custos insumos'!$B$24,IF(C66="Dublagem Cretone",'Custos insumos'!$D$7,IF(C66="Dublagem Spun",'Custos insumos'!$D$4,IF(C66="Espelhamento",'Custos insumos'!$B$11,IF(C66="Espelhamento 2x",2*'Custos insumos'!$B$11,IF(C66="Esp. + Pel.",'Custos insumos'!$B$11,IF(C66="Pel. + Spun",'Custos insumos'!$D$4,IF(C66="Dublagem Cretone PES",'Custos insumos'!$D$7,IF(C66="Dublagem Barreira",'Custos insumos'!$D$11,IF(C66="Dublagem - MO + Filme",'Custos insumos'!$D$4,IF(C66="Dublagem Cretone HM50",'Custos insumos'!$D$26,IF(C66="Dublagem Cretone HM70",'Custos insumos'!$F$10,)))))))))))))</f>
        <v>0</v>
      </c>
      <c r="N66" s="30">
        <f>IF(B66="Texion Textil",0,IF(B66="Três Elos",0,IF(C66="Malha",0,IF(C66="Dublagem Cretone",'Custos insumos'!$D$23,IF(C66="Dublagem Spun",'Custos insumos'!$D$19,IF(C66="Espelhamento",0,IF(C66="Espelhamento 2x",0,IF(C66="Esp. + Pel.",0,IF(C66="Pel. + Spun",'Custos insumos'!$D$19,IF(C66="Dublagem Cretone PES",'Custos insumos'!$F$25,IF(C66="Dublagem Barreira",'Custos insumos'!$D$22,)))))))))))</f>
        <v>0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4.25" customHeight="1" x14ac:dyDescent="0.35">
      <c r="A67" s="18"/>
      <c r="B67" s="22" t="s">
        <v>137</v>
      </c>
      <c r="C67" s="23" t="s">
        <v>142</v>
      </c>
      <c r="D67" s="23"/>
      <c r="E67" s="24">
        <v>1</v>
      </c>
      <c r="F67" s="25">
        <v>0.34</v>
      </c>
      <c r="G67" s="25">
        <v>0.65</v>
      </c>
      <c r="H67" s="26" t="s">
        <v>243</v>
      </c>
      <c r="I67" s="27">
        <f t="shared" si="0"/>
        <v>0.65</v>
      </c>
      <c r="J67" s="28">
        <v>45301</v>
      </c>
      <c r="K67" s="29"/>
      <c r="L67" s="30">
        <f t="shared" si="3"/>
        <v>0.65</v>
      </c>
      <c r="M67" s="30">
        <f>IF(B67="Texion Textil",0,IF(C67="Malha",'Custos insumos'!$B$24,IF(C67="Dublagem Cretone",'Custos insumos'!$D$7,IF(C67="Dublagem Spun",'Custos insumos'!$D$4,IF(C67="Espelhamento",'Custos insumos'!$B$11,IF(C67="Espelhamento 2x",2*'Custos insumos'!$B$11,IF(C67="Esp. + Pel.",'Custos insumos'!$B$11,IF(C67="Pel. + Spun",'Custos insumos'!$D$4,IF(C67="Dublagem Cretone PES",'Custos insumos'!$D$7,IF(C67="Dublagem Barreira",'Custos insumos'!$D$11,IF(C67="Dublagem - MO + Filme",'Custos insumos'!$D$4,IF(C67="Dublagem Cretone HM50",'Custos insumos'!$D$26,IF(C67="Dublagem Cretone HM70",'Custos insumos'!$F$10,)))))))))))))</f>
        <v>0</v>
      </c>
      <c r="N67" s="30">
        <f>IF(B67="Texion Textil",0,IF(B67="Três Elos",0,IF(C67="Malha",0,IF(C67="Dublagem Cretone",'Custos insumos'!$D$23,IF(C67="Dublagem Spun",'Custos insumos'!$D$19,IF(C67="Espelhamento",0,IF(C67="Espelhamento 2x",0,IF(C67="Esp. + Pel.",0,IF(C67="Pel. + Spun",'Custos insumos'!$D$19,IF(C67="Dublagem Cretone PES",'Custos insumos'!$F$25,IF(C67="Dublagem Barreira",'Custos insumos'!$D$22,)))))))))))</f>
        <v>0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4.25" customHeight="1" x14ac:dyDescent="0.35">
      <c r="A68" s="18"/>
      <c r="B68" s="22" t="s">
        <v>137</v>
      </c>
      <c r="C68" s="23" t="s">
        <v>144</v>
      </c>
      <c r="D68" s="23"/>
      <c r="E68" s="24">
        <v>1</v>
      </c>
      <c r="F68" s="25"/>
      <c r="G68" s="25">
        <v>0.6</v>
      </c>
      <c r="H68" s="26" t="s">
        <v>243</v>
      </c>
      <c r="I68" s="27">
        <f t="shared" si="0"/>
        <v>0.6</v>
      </c>
      <c r="J68" s="28"/>
      <c r="K68" s="29"/>
      <c r="L68" s="30"/>
      <c r="M68" s="30">
        <f>IF(B68="Texion Textil",0,IF(C68="Malha",'Custos insumos'!$B$24,IF(C68="Dublagem Cretone",'Custos insumos'!$D$7,IF(C68="Dublagem Spun",'Custos insumos'!$D$4,IF(C68="Espelhamento",'Custos insumos'!$B$11,IF(C68="Espelhamento 2x",2*'Custos insumos'!$B$11,IF(C68="Esp. + Pel.",'Custos insumos'!$B$11,IF(C68="Pel. + Spun",'Custos insumos'!$D$4,IF(C68="Dublagem Cretone PES",'Custos insumos'!$D$7,IF(C68="Dublagem Barreira",'Custos insumos'!$D$11,IF(C68="Dublagem - MO + Filme",'Custos insumos'!$D$4,IF(C68="Dublagem Cretone HM50",'Custos insumos'!$D$26,IF(C68="Dublagem Cretone HM70",'Custos insumos'!$F$10,)))))))))))))</f>
        <v>0</v>
      </c>
      <c r="N68" s="30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4.25" customHeight="1" x14ac:dyDescent="0.35">
      <c r="A69" s="18"/>
      <c r="B69" s="22" t="s">
        <v>138</v>
      </c>
      <c r="C69" s="23" t="s">
        <v>254</v>
      </c>
      <c r="D69" s="23"/>
      <c r="E69" s="24">
        <v>1</v>
      </c>
      <c r="F69" s="27">
        <v>0.34</v>
      </c>
      <c r="G69" s="25">
        <v>0.4</v>
      </c>
      <c r="H69" s="26" t="s">
        <v>243</v>
      </c>
      <c r="I69" s="27">
        <f t="shared" si="0"/>
        <v>0.4</v>
      </c>
      <c r="J69" s="28">
        <v>45301</v>
      </c>
      <c r="K69" s="29"/>
      <c r="L69" s="30">
        <f t="shared" ref="L69:L91" si="4">G69-M69-N69</f>
        <v>0.4</v>
      </c>
      <c r="M69" s="30">
        <f>IF(B69="Texion Textil",0,IF(C69="Malha",'Custos insumos'!$B$24,IF(C69="Dublagem Cretone",'Custos insumos'!$D$7,IF(C69="Dublagem Spun",'Custos insumos'!$D$4,IF(C69="Espelhamento",'Custos insumos'!$B$11,IF(C69="Espelhamento 2x",2*'Custos insumos'!$B$11,IF(C69="Esp. + Pel.",'Custos insumos'!$B$11,IF(C69="Pel. + Spun",'Custos insumos'!$D$4,IF(C69="Dublagem Cretone PES",'Custos insumos'!$D$7,IF(C69="Dublagem Barreira",'Custos insumos'!$D$11,IF(C69="Dublagem - MO + Filme",'Custos insumos'!$D$4,IF(C69="Dublagem Cretone HM50",'Custos insumos'!$D$26,IF(C69="Dublagem Cretone HM70",'Custos insumos'!$F$10,)))))))))))))</f>
        <v>0</v>
      </c>
      <c r="N69" s="30">
        <f>IF(B69="Texion Textil",0,IF(B69="Três Elos",0,IF(C69="Malha",0,IF(C69="Dublagem Cretone",'Custos insumos'!$D$23,IF(C69="Dublagem Spun",'Custos insumos'!$D$16,IF(C69="Espelhamento",0,IF(C69="Espelhamento 2x",0,IF(C69="Esp. + Pel.",0,IF(C69="Pel. + Spun",'Custos insumos'!$D$16,IF(C69="Dublagem Cretone PES",'Custos insumos'!$F$25,IF(C69="Dublagem Barreira",'Custos insumos'!$D$22,)))))))))))</f>
        <v>0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4.25" customHeight="1" x14ac:dyDescent="0.35">
      <c r="A70" s="18"/>
      <c r="B70" s="22" t="s">
        <v>138</v>
      </c>
      <c r="C70" s="23" t="s">
        <v>249</v>
      </c>
      <c r="D70" s="23"/>
      <c r="E70" s="24">
        <v>1</v>
      </c>
      <c r="F70" s="25"/>
      <c r="G70" s="25">
        <v>6.1</v>
      </c>
      <c r="H70" s="26" t="s">
        <v>243</v>
      </c>
      <c r="I70" s="27">
        <f t="shared" si="0"/>
        <v>6.1</v>
      </c>
      <c r="J70" s="28">
        <v>45301</v>
      </c>
      <c r="K70" s="29" t="s">
        <v>248</v>
      </c>
      <c r="L70" s="30">
        <f t="shared" si="4"/>
        <v>4.25908</v>
      </c>
      <c r="M70" s="30">
        <f>IF(B70="Texion Textil",0,IF(C70="Malha",'Custos insumos'!$B$24,IF(C70="Dublagem Cretone",'Custos insumos'!$D$7,IF(C70="Dublagem Spun",'Custos insumos'!$D$4,IF(C70="Espelhamento",'Custos insumos'!$B$11,IF(C70="Espelhamento 2x",2*'Custos insumos'!$B$11,IF(C70="Esp. + Pel.",'Custos insumos'!$B$11,IF(C70="Pel. + Spun",'Custos insumos'!$D$4,IF(C70="Dublagem Cretone PES",'Custos insumos'!$D$7,IF(C70="Dublagem Barreira",'Custos insumos'!$D$11,IF(C70="Dublagem - MO + Filme",'Custos insumos'!$D$4,IF(C70="Dublagem Cretone HM50",'Custos insumos'!$D$26,IF(C70="Dublagem Cretone HM70",'Custos insumos'!$F$10,)))))))))))))</f>
        <v>1.1232</v>
      </c>
      <c r="N70" s="30">
        <f>IF(B70="Texion Textil",0,IF(B70="Três Elos",0,IF(C70="Malha",0,IF(C70="Dublagem Cretone",'Custos insumos'!$D$23,IF(C70="Dublagem Spun",'Custos insumos'!$D$16,IF(C70="Espelhamento",0,IF(C70="Espelhamento 2x",0,IF(C70="Esp. + Pel.",0,IF(C70="Pel. + Spun",'Custos insumos'!$D$16,IF(C70="Dublagem Cretone PES",'Custos insumos'!$F$25,IF(C70="Dublagem Barreira",'Custos insumos'!$D$22,)))))))))))</f>
        <v>0.71771999999999991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4.25" customHeight="1" x14ac:dyDescent="0.35">
      <c r="A71" s="18"/>
      <c r="B71" s="22" t="s">
        <v>138</v>
      </c>
      <c r="C71" s="23" t="s">
        <v>142</v>
      </c>
      <c r="D71" s="23"/>
      <c r="E71" s="24">
        <v>2</v>
      </c>
      <c r="F71" s="25">
        <v>0.6</v>
      </c>
      <c r="G71" s="25">
        <v>0.65</v>
      </c>
      <c r="H71" s="26" t="s">
        <v>243</v>
      </c>
      <c r="I71" s="27">
        <f t="shared" si="0"/>
        <v>0.32500000000000001</v>
      </c>
      <c r="J71" s="28">
        <v>45301</v>
      </c>
      <c r="K71" s="29"/>
      <c r="L71" s="30">
        <f t="shared" si="4"/>
        <v>0.65</v>
      </c>
      <c r="M71" s="30">
        <f>IF(B71="Texion Textil",0,IF(C71="Malha",'Custos insumos'!$B$24,IF(C71="Dublagem Cretone",'Custos insumos'!$D$7,IF(C71="Dublagem Spun",'Custos insumos'!$D$4,IF(C71="Espelhamento",'Custos insumos'!$B$11,IF(C71="Espelhamento 2x",2*'Custos insumos'!$B$11,IF(C71="Esp. + Pel.",'Custos insumos'!$B$11,IF(C71="Pel. + Spun",'Custos insumos'!$D$4,IF(C71="Dublagem Cretone PES",'Custos insumos'!$D$7,IF(C71="Dublagem Barreira",'Custos insumos'!$D$11,IF(C71="Dublagem - MO + Filme",'Custos insumos'!$D$4,IF(C71="Dublagem Cretone HM50",'Custos insumos'!$D$26,IF(C71="Dublagem Cretone HM70",'Custos insumos'!$F$10,)))))))))))))</f>
        <v>0</v>
      </c>
      <c r="N71" s="30">
        <f>IF(B71="Texion Textil",0,IF(B71="Três Elos",0,IF(C71="Malha",0,IF(C71="Dublagem Cretone",'Custos insumos'!$D$23,IF(C71="Dublagem Spun",'Custos insumos'!$D$16,IF(C71="Espelhamento",0,IF(C71="Espelhamento 2x",0,IF(C71="Esp. + Pel.",0,IF(C71="Pel. + Spun",'Custos insumos'!$D$16,IF(C71="Dublagem Cretone PES",'Custos insumos'!$F$25,IF(C71="Dublagem Barreira",'Custos insumos'!$D$22,)))))))))))</f>
        <v>0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4.25" customHeight="1" x14ac:dyDescent="0.35">
      <c r="A72" s="18"/>
      <c r="B72" s="22" t="s">
        <v>143</v>
      </c>
      <c r="C72" s="23" t="s">
        <v>291</v>
      </c>
      <c r="D72" s="23"/>
      <c r="E72" s="24">
        <v>1</v>
      </c>
      <c r="F72" s="25">
        <v>6.1</v>
      </c>
      <c r="G72" s="25">
        <v>7.1</v>
      </c>
      <c r="H72" s="26" t="s">
        <v>243</v>
      </c>
      <c r="I72" s="27">
        <f t="shared" si="0"/>
        <v>7.1</v>
      </c>
      <c r="J72" s="28">
        <v>45301</v>
      </c>
      <c r="K72" s="29"/>
      <c r="L72" s="30">
        <f t="shared" si="4"/>
        <v>2.5400000000000005</v>
      </c>
      <c r="M72" s="37">
        <f>'Custos insumos'!F9</f>
        <v>2.2319999999999998</v>
      </c>
      <c r="N72" s="30">
        <f>'Custos insumos'!D23</f>
        <v>2.3279999999999998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4.25" customHeight="1" x14ac:dyDescent="0.35">
      <c r="A73" s="18" t="s">
        <v>256</v>
      </c>
      <c r="B73" s="22" t="s">
        <v>143</v>
      </c>
      <c r="C73" s="23" t="s">
        <v>251</v>
      </c>
      <c r="D73" s="23"/>
      <c r="E73" s="24">
        <v>1</v>
      </c>
      <c r="F73" s="25">
        <v>6.1</v>
      </c>
      <c r="G73" s="25">
        <v>6.1</v>
      </c>
      <c r="H73" s="26" t="s">
        <v>243</v>
      </c>
      <c r="I73" s="27">
        <f t="shared" si="0"/>
        <v>6.1</v>
      </c>
      <c r="J73" s="28">
        <v>45301</v>
      </c>
      <c r="K73" s="29"/>
      <c r="L73" s="30">
        <f t="shared" si="4"/>
        <v>1.81</v>
      </c>
      <c r="M73" s="30">
        <f>IF(B73="Texion Textil",0,IF(C73="Malha",'Custos insumos'!$B$24,IF(C73="Dublagem Cretone",'Custos insumos'!$D$7,IF(C73="Dublagem Spun",'Custos insumos'!$D$4,IF(C73="Espelhamento",'Custos insumos'!$B$11,IF(C73="Espelhamento 2x",2*'Custos insumos'!$B$11,IF(C73="Esp. + Pel.",'Custos insumos'!$B$11,IF(C73="Pel. + Spun",'Custos insumos'!$D$4,IF(C73="Dublagem Cretone PES",'Custos insumos'!$D$7,IF(C73="Dublagem Barreira",'Custos insumos'!$D$11,IF(C73="Dublagem - MO + Filme",'Custos insumos'!$D$4,IF(C73="Dublagem Cretone HM50",'Custos insumos'!$D$26,IF(C73="Dublagem Cretone HM70",'Custos insumos'!$F$10,)))))))))))))</f>
        <v>1.962</v>
      </c>
      <c r="N73" s="30">
        <f>IF(B73="Texion Textil",0,IF(B73="Três Elos",0,IF(C73="Malha",0,IF(C73="Dublagem Cretone",'Custos insumos'!$D$23,IF(C73="Dublagem Spun",'Custos insumos'!$D$16,IF(C73="Espelhamento",0,IF(C73="Espelhamento 2x",0,IF(C73="Esp. + Pel.",0,IF(C73="Pel. + Spun",'Custos insumos'!$D$16,IF(C73="Dublagem Cretone PES",'Custos insumos'!$F$25,IF(C73="Dublagem Barreira",'Custos insumos'!$D$22,)))))))))))</f>
        <v>2.3279999999999998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4.25" customHeight="1" x14ac:dyDescent="0.35">
      <c r="A74" s="18" t="s">
        <v>256</v>
      </c>
      <c r="B74" s="22" t="s">
        <v>143</v>
      </c>
      <c r="C74" s="23" t="s">
        <v>249</v>
      </c>
      <c r="D74" s="23"/>
      <c r="E74" s="24">
        <v>1</v>
      </c>
      <c r="F74" s="25">
        <v>6.1</v>
      </c>
      <c r="G74" s="25">
        <v>6.1</v>
      </c>
      <c r="H74" s="26" t="s">
        <v>243</v>
      </c>
      <c r="I74" s="27">
        <f t="shared" si="0"/>
        <v>6.1</v>
      </c>
      <c r="J74" s="28">
        <v>45301</v>
      </c>
      <c r="K74" s="29"/>
      <c r="L74" s="30">
        <f t="shared" si="4"/>
        <v>4.25908</v>
      </c>
      <c r="M74" s="30">
        <f>IF(B74="Texion Textil",0,IF(C74="Malha",'Custos insumos'!$B$24,IF(C74="Dublagem Cretone",'Custos insumos'!$D$7,IF(C74="Dublagem Spun",'Custos insumos'!$D$4,IF(C74="Espelhamento",'Custos insumos'!$B$11,IF(C74="Espelhamento 2x",2*'Custos insumos'!$B$11,IF(C74="Esp. + Pel.",'Custos insumos'!$B$11,IF(C74="Pel. + Spun",'Custos insumos'!$D$4,IF(C74="Dublagem Cretone PES",'Custos insumos'!$D$7,IF(C74="Dublagem Barreira",'Custos insumos'!$D$11,IF(C74="Dublagem - MO + Filme",'Custos insumos'!$D$4,IF(C74="Dublagem Cretone HM50",'Custos insumos'!$D$26,IF(C74="Dublagem Cretone HM70",'Custos insumos'!$F$10,)))))))))))))</f>
        <v>1.1232</v>
      </c>
      <c r="N74" s="30">
        <f>IF(B74="Texion Textil",0,IF(B74="Três Elos",0,IF(C74="Malha",0,IF(C74="Dublagem Cretone",'Custos insumos'!$D$23,IF(C74="Dublagem Spun",'Custos insumos'!$D$16,IF(C74="Espelhamento",0,IF(C74="Espelhamento 2x",0,IF(C74="Esp. + Pel.",0,IF(C74="Pel. + Spun",'Custos insumos'!$D$16,IF(C74="Dublagem Cretone PES",'Custos insumos'!$F$25,IF(C74="Dublagem Barreira",'Custos insumos'!$D$22,)))))))))))</f>
        <v>0.71771999999999991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4.25" customHeight="1" x14ac:dyDescent="0.35">
      <c r="A75" s="18" t="s">
        <v>256</v>
      </c>
      <c r="B75" s="22" t="s">
        <v>143</v>
      </c>
      <c r="C75" s="23" t="s">
        <v>144</v>
      </c>
      <c r="D75" s="23"/>
      <c r="E75" s="24">
        <v>1</v>
      </c>
      <c r="F75" s="25">
        <v>0.66</v>
      </c>
      <c r="G75" s="25">
        <v>0.66</v>
      </c>
      <c r="H75" s="26" t="s">
        <v>243</v>
      </c>
      <c r="I75" s="27">
        <f t="shared" si="0"/>
        <v>0.66</v>
      </c>
      <c r="J75" s="28">
        <v>45301</v>
      </c>
      <c r="K75" s="29"/>
      <c r="L75" s="30">
        <f t="shared" si="4"/>
        <v>0.66</v>
      </c>
      <c r="M75" s="30">
        <f>IF(B75="Texion Textil",0,IF(C75="Malha",'Custos insumos'!$B$24,IF(C75="Dublagem Cretone",'Custos insumos'!$D$7,IF(C75="Dublagem Spun",'Custos insumos'!$D$4,IF(C75="Espelhamento",'Custos insumos'!$B$11,IF(C75="Espelhamento 2x",2*'Custos insumos'!$B$11,IF(C75="Esp. + Pel.",'Custos insumos'!$B$11,IF(C75="Pel. + Spun",'Custos insumos'!$D$4,IF(C75="Dublagem Cretone PES",'Custos insumos'!$D$7,IF(C75="Dublagem Barreira",'Custos insumos'!$D$11,IF(C75="Dublagem - MO + Filme",'Custos insumos'!$D$4,IF(C75="Dublagem Cretone HM50",'Custos insumos'!$D$26,IF(C75="Dublagem Cretone HM70",'Custos insumos'!$F$10,)))))))))))))</f>
        <v>0</v>
      </c>
      <c r="N75" s="30">
        <f>IF(B75="Texion Textil",0,IF(B75="Três Elos",0,IF(C75="Malha",0,IF(C75="Dublagem Cretone",'Custos insumos'!$D$23,IF(C75="Dublagem Spun",'Custos insumos'!$D$16,IF(C75="Espelhamento",0,IF(C75="Espelhamento 2x",0,IF(C75="Esp. + Pel.",0,IF(C75="Pel. + Spun",'Custos insumos'!$D$16,IF(C75="Dublagem Cretone PES",'Custos insumos'!$F$25,IF(C75="Dublagem Barreira",'Custos insumos'!$D$22,)))))))))))</f>
        <v>0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4.25" customHeight="1" x14ac:dyDescent="0.35">
      <c r="A76" s="18" t="s">
        <v>256</v>
      </c>
      <c r="B76" s="22" t="s">
        <v>143</v>
      </c>
      <c r="C76" s="23" t="s">
        <v>292</v>
      </c>
      <c r="D76" s="23"/>
      <c r="E76" s="24">
        <v>1</v>
      </c>
      <c r="F76" s="25">
        <v>1.2</v>
      </c>
      <c r="G76" s="25">
        <v>1.2</v>
      </c>
      <c r="H76" s="26" t="s">
        <v>243</v>
      </c>
      <c r="I76" s="27">
        <f t="shared" si="0"/>
        <v>1.2</v>
      </c>
      <c r="J76" s="28">
        <v>45301</v>
      </c>
      <c r="K76" s="29"/>
      <c r="L76" s="30">
        <f t="shared" si="4"/>
        <v>1.2</v>
      </c>
      <c r="M76" s="30">
        <f>IF(B76="Texion Textil",0,IF(C76="Malha",'Custos insumos'!$B$24,IF(C76="Dublagem Cretone",'Custos insumos'!$D$7,IF(C76="Dublagem Spun",'Custos insumos'!$D$4,IF(C76="Espelhamento",'Custos insumos'!$B$11,IF(C76="Espelhamento 2x",2*'Custos insumos'!$B$11,IF(C76="Esp. + Pel.",'Custos insumos'!$B$11,IF(C76="Pel. + Spun",'Custos insumos'!$D$4,IF(C76="Dublagem Cretone PES",'Custos insumos'!$D$7,IF(C76="Dublagem Barreira",'Custos insumos'!$D$11,IF(C76="Dublagem - MO + Filme",'Custos insumos'!$D$4,IF(C76="Dublagem Cretone HM50",'Custos insumos'!$D$26,IF(C76="Dublagem Cretone HM70",'Custos insumos'!$F$10,)))))))))))))</f>
        <v>0</v>
      </c>
      <c r="N76" s="30">
        <f>IF(B76="Texion Textil",0,IF(B76="Três Elos",0,IF(C76="Malha",0,IF(C76="Dublagem Cretone",'Custos insumos'!$D$23,IF(C76="Dublagem Spun",'Custos insumos'!$D$16,IF(C76="Espelhamento",0,IF(C76="Espelhamento 2x",0,IF(C76="Esp. + Pel.",0,IF(C76="Pel. + Spun",'Custos insumos'!$D$16,IF(C76="Dublagem Cretone PES",'Custos insumos'!$F$25,IF(C76="Dublagem Barreira",'Custos insumos'!$D$22,)))))))))))</f>
        <v>0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4.25" customHeight="1" x14ac:dyDescent="0.35">
      <c r="A77" s="18" t="s">
        <v>256</v>
      </c>
      <c r="B77" s="22" t="s">
        <v>146</v>
      </c>
      <c r="C77" s="23" t="s">
        <v>144</v>
      </c>
      <c r="D77" s="23"/>
      <c r="E77" s="24">
        <v>1</v>
      </c>
      <c r="F77" s="25">
        <v>1.34</v>
      </c>
      <c r="G77" s="25">
        <v>1.34</v>
      </c>
      <c r="H77" s="26" t="s">
        <v>243</v>
      </c>
      <c r="I77" s="27">
        <f t="shared" si="0"/>
        <v>1.34</v>
      </c>
      <c r="J77" s="28">
        <v>45301</v>
      </c>
      <c r="K77" s="29"/>
      <c r="L77" s="30">
        <f t="shared" si="4"/>
        <v>1.34</v>
      </c>
      <c r="M77" s="30">
        <f>IF(B77="Texion Textil",0,IF(C77="Malha",'Custos insumos'!$B$24,IF(C77="Dublagem Cretone",'Custos insumos'!$D$7,IF(C77="Dublagem Spun",'Custos insumos'!$D$4,IF(C77="Espelhamento",'Custos insumos'!$B$11,IF(C77="Espelhamento 2x",2*'Custos insumos'!$B$11,IF(C77="Esp. + Pel.",'Custos insumos'!$B$11,IF(C77="Pel. + Spun",'Custos insumos'!$D$4,IF(C77="Dublagem Cretone PES",'Custos insumos'!$D$7,IF(C77="Dublagem Barreira",'Custos insumos'!$D$11,IF(C77="Dublagem - MO + Filme",'Custos insumos'!$D$4,IF(C77="Dublagem Cretone HM50",'Custos insumos'!$D$26,IF(C77="Dublagem Cretone HM70",'Custos insumos'!$F$10,)))))))))))))</f>
        <v>0</v>
      </c>
      <c r="N77" s="30">
        <f>IF(B77="Texion Textil",0,IF(B77="Três Elos",0,IF(C77="Malha",0,IF(C77="Dublagem Cretone",'Custos insumos'!$D$23,IF(C77="Dublagem Spun",'Custos insumos'!$D$16,IF(C77="Espelhamento",0,IF(C77="Espelhamento 2x",0,IF(C77="Esp. + Pel.",0,IF(C77="Pel. + Spun",'Custos insumos'!$D$16,IF(C77="Dublagem Cretone PES",'Custos insumos'!$F$25,IF(C77="Dublagem Barreira",'Custos insumos'!$D$22,)))))))))))</f>
        <v>0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4.25" customHeight="1" x14ac:dyDescent="0.35">
      <c r="A78" s="18" t="s">
        <v>256</v>
      </c>
      <c r="B78" s="22" t="s">
        <v>293</v>
      </c>
      <c r="C78" s="23" t="s">
        <v>144</v>
      </c>
      <c r="D78" s="23"/>
      <c r="E78" s="24">
        <v>1</v>
      </c>
      <c r="F78" s="25"/>
      <c r="G78" s="25">
        <v>0.6</v>
      </c>
      <c r="H78" s="26" t="s">
        <v>243</v>
      </c>
      <c r="I78" s="27">
        <f t="shared" si="0"/>
        <v>0.6</v>
      </c>
      <c r="J78" s="28"/>
      <c r="K78" s="29"/>
      <c r="L78" s="30">
        <f t="shared" si="4"/>
        <v>0.6</v>
      </c>
      <c r="M78" s="30">
        <f>IF(B78="Texion Textil",0,IF(C78="Malha",'Custos insumos'!$B$24,IF(C78="Dublagem Cretone",'Custos insumos'!$D$7,IF(C78="Dublagem Spun",'Custos insumos'!$D$4,IF(C78="Espelhamento",'Custos insumos'!$B$11,IF(C78="Espelhamento 2x",2*'Custos insumos'!$B$11,IF(C78="Esp. + Pel.",'Custos insumos'!$B$11,IF(C78="Pel. + Spun",'Custos insumos'!$D$4,IF(C78="Dublagem Cretone PES",'Custos insumos'!$D$7,IF(C78="Dublagem Barreira",'Custos insumos'!$D$11,IF(C78="Dublagem - MO + Filme",'Custos insumos'!$D$4,IF(C78="Dublagem Cretone HM50",'Custos insumos'!$D$26,IF(C78="Dublagem Cretone HM70",'Custos insumos'!$F$10,)))))))))))))</f>
        <v>0</v>
      </c>
      <c r="N78" s="30">
        <f>IF(B78="Texion Textil",0,IF(B78="Três Elos",0,IF(C78="Malha",0,IF(C78="Dublagem Cretone",'Custos insumos'!$D$23,IF(C78="Dublagem Spun",'Custos insumos'!$D$16,IF(C78="Espelhamento",0,IF(C78="Espelhamento 2x",0,IF(C78="Esp. + Pel.",0,IF(C78="Pel. + Spun",'Custos insumos'!$D$16,IF(C78="Dublagem Cretone PES",'Custos insumos'!$F$25,IF(C78="Dublagem Barreira",'Custos insumos'!$D$22,)))))))))))</f>
        <v>0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4.25" customHeight="1" x14ac:dyDescent="0.35">
      <c r="A79" s="18"/>
      <c r="B79" s="22" t="s">
        <v>293</v>
      </c>
      <c r="C79" s="23" t="s">
        <v>254</v>
      </c>
      <c r="D79" s="23"/>
      <c r="E79" s="24">
        <v>1</v>
      </c>
      <c r="F79" s="25"/>
      <c r="G79" s="25">
        <v>0.6</v>
      </c>
      <c r="H79" s="26" t="s">
        <v>243</v>
      </c>
      <c r="I79" s="27">
        <f t="shared" si="0"/>
        <v>0.6</v>
      </c>
      <c r="J79" s="28"/>
      <c r="K79" s="29"/>
      <c r="L79" s="30">
        <f t="shared" si="4"/>
        <v>0.6</v>
      </c>
      <c r="M79" s="30">
        <f>IF(B79="Texion Textil",0,IF(C79="Malha",'Custos insumos'!$B$24,IF(C79="Dublagem Cretone",'Custos insumos'!$D$7,IF(C79="Dublagem Spun",'Custos insumos'!$D$4,IF(C79="Espelhamento",'Custos insumos'!$B$11,IF(C79="Espelhamento 2x",2*'Custos insumos'!$B$11,IF(C79="Esp. + Pel.",'Custos insumos'!$B$11,IF(C79="Pel. + Spun",'Custos insumos'!$D$4,IF(C79="Dublagem Cretone PES",'Custos insumos'!$D$7,IF(C79="Dublagem Barreira",'Custos insumos'!$D$11,IF(C79="Dublagem - MO + Filme",'Custos insumos'!$D$4,IF(C79="Dublagem Cretone HM50",'Custos insumos'!$D$26,IF(C79="Dublagem Cretone HM70",'Custos insumos'!$F$10,)))))))))))))</f>
        <v>0</v>
      </c>
      <c r="N79" s="30">
        <f>IF(B79="Texion Textil",0,IF(B79="Três Elos",0,IF(C79="Malha",0,IF(C79="Dublagem Cretone",'Custos insumos'!$D$23,IF(C79="Dublagem Spun",'Custos insumos'!$D$16,IF(C79="Espelhamento",0,IF(C79="Espelhamento 2x",0,IF(C79="Esp. + Pel.",0,IF(C79="Pel. + Spun",'Custos insumos'!$D$16,IF(C79="Dublagem Cretone PES",'Custos insumos'!$F$25,IF(C79="Dublagem Barreira",'Custos insumos'!$D$22,)))))))))))</f>
        <v>0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4.25" customHeight="1" x14ac:dyDescent="0.35">
      <c r="A80" s="18"/>
      <c r="B80" s="22" t="s">
        <v>294</v>
      </c>
      <c r="C80" s="23" t="s">
        <v>254</v>
      </c>
      <c r="D80" s="23"/>
      <c r="E80" s="24">
        <v>1</v>
      </c>
      <c r="F80" s="25">
        <v>1.1000000000000001</v>
      </c>
      <c r="G80" s="25">
        <v>1.1000000000000001</v>
      </c>
      <c r="H80" s="26" t="s">
        <v>243</v>
      </c>
      <c r="I80" s="27">
        <f t="shared" si="0"/>
        <v>1.1000000000000001</v>
      </c>
      <c r="J80" s="28">
        <v>45301</v>
      </c>
      <c r="K80" s="29"/>
      <c r="L80" s="30">
        <f t="shared" si="4"/>
        <v>1.1000000000000001</v>
      </c>
      <c r="M80" s="30">
        <f>IF(B80="Texion Textil",0,IF(C80="Malha",'Custos insumos'!$B$24,IF(C80="Dublagem Cretone",'Custos insumos'!$D$7,IF(C80="Dublagem Spun",'Custos insumos'!$D$4,IF(C80="Espelhamento",'Custos insumos'!$B$11,IF(C80="Espelhamento 2x",2*'Custos insumos'!$B$11,IF(C80="Esp. + Pel.",'Custos insumos'!$B$11,IF(C80="Pel. + Spun",'Custos insumos'!$D$4,IF(C80="Dublagem Cretone PES",'Custos insumos'!$D$7,IF(C80="Dublagem Barreira",'Custos insumos'!$D$11,IF(C80="Dublagem - MO + Filme",'Custos insumos'!$D$4,IF(C80="Dublagem Cretone HM50",'Custos insumos'!$D$26,IF(C80="Dublagem Cretone HM70",'Custos insumos'!$F$10,)))))))))))))</f>
        <v>0</v>
      </c>
      <c r="N80" s="30">
        <f>IF(B80="Texion Textil",0,IF(B80="Três Elos",0,IF(C80="Malha",0,IF(C80="Dublagem Cretone",'Custos insumos'!$D$23,IF(C80="Dublagem Spun",'Custos insumos'!$D$16,IF(C80="Espelhamento",0,IF(C80="Espelhamento 2x",0,IF(C80="Esp. + Pel.",0,IF(C80="Pel. + Spun",'Custos insumos'!$D$16,IF(C80="Dublagem Cretone PES",'Custos insumos'!$F$25,IF(C80="Dublagem Barreira",'Custos insumos'!$D$22,)))))))))))</f>
        <v>0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4.25" customHeight="1" x14ac:dyDescent="0.35">
      <c r="A81" s="18" t="s">
        <v>256</v>
      </c>
      <c r="B81" s="22" t="s">
        <v>151</v>
      </c>
      <c r="C81" s="23" t="s">
        <v>106</v>
      </c>
      <c r="D81" s="23"/>
      <c r="E81" s="24">
        <v>1</v>
      </c>
      <c r="F81" s="25">
        <v>2.15</v>
      </c>
      <c r="G81" s="25">
        <v>2.35</v>
      </c>
      <c r="H81" s="26" t="s">
        <v>243</v>
      </c>
      <c r="I81" s="27">
        <f t="shared" si="0"/>
        <v>2.35</v>
      </c>
      <c r="J81" s="28">
        <v>45301</v>
      </c>
      <c r="K81" s="29" t="s">
        <v>295</v>
      </c>
      <c r="L81" s="30">
        <f t="shared" si="4"/>
        <v>1.2914997101449275</v>
      </c>
      <c r="M81" s="30">
        <f>IF(B81="Texion Textil",0,IF(C81="Malha",'Custos insumos'!$B$24,IF(C81="Dublagem Cretone",'Custos insumos'!$D$7,IF(C81="Dublagem Spun",'Custos insumos'!$D$4,IF(C81="Espelhamento",'Custos insumos'!$B$11,IF(C81="Espelhamento 2x",2*'Custos insumos'!$B$11,IF(C81="Esp. + Pel.",'Custos insumos'!$B$11,IF(C81="Pel. + Spun",'Custos insumos'!$D$4,IF(C81="Dublagem Cretone PES",'Custos insumos'!$D$7,IF(C81="Dublagem Barreira",'Custos insumos'!$D$11,IF(C81="Dublagem - MO + Filme",'Custos insumos'!$D$4,IF(C81="Dublagem Cretone HM50",'Custos insumos'!$D$26,IF(C81="Dublagem Cretone HM70",'Custos insumos'!$F$10,)))))))))))))</f>
        <v>1.0585002898550726</v>
      </c>
      <c r="N81" s="30">
        <f>IF(B81="Texion Textil",0,IF(B81="Três Elos",0,IF(C81="Malha",0,IF(C81="Dublagem Cretone",'Custos insumos'!$D$23,IF(C81="Dublagem Spun",'Custos insumos'!$D$16,IF(C81="Espelhamento",0,IF(C81="Espelhamento 2x",0,IF(C81="Esp. + Pel.",0,IF(C81="Pel. + Spun",'Custos insumos'!$D$16,IF(C81="Dublagem Cretone PES",'Custos insumos'!$F$25,IF(C81="Dublagem Barreira",'Custos insumos'!$D$22,)))))))))))</f>
        <v>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4.25" customHeight="1" x14ac:dyDescent="0.35">
      <c r="A82" s="18"/>
      <c r="B82" s="22" t="s">
        <v>151</v>
      </c>
      <c r="C82" s="23" t="s">
        <v>247</v>
      </c>
      <c r="D82" s="23"/>
      <c r="E82" s="24">
        <v>1</v>
      </c>
      <c r="F82" s="25"/>
      <c r="G82" s="25">
        <v>5.0999999999999996</v>
      </c>
      <c r="H82" s="26" t="s">
        <v>243</v>
      </c>
      <c r="I82" s="27">
        <f t="shared" si="0"/>
        <v>5.0999999999999996</v>
      </c>
      <c r="J82" s="28"/>
      <c r="K82" s="29" t="s">
        <v>296</v>
      </c>
      <c r="L82" s="30">
        <f t="shared" si="4"/>
        <v>1.988</v>
      </c>
      <c r="M82" s="30">
        <f>IF(B82="Texion Textil",0,IF(C82="Malha",'Custos insumos'!$B$24,IF(C82="Dublagem Cretone",'Custos insumos'!$D$7,IF(C82="Dublagem Spun",'Custos insumos'!$D$4,IF(C82="Espelhamento",'Custos insumos'!$B$11,IF(C82="Espelhamento 2x",2*'Custos insumos'!$B$11,IF(C82="Esp. + Pel.",'Custos insumos'!$B$11,IF(C82="Pel. + Spun",'Custos insumos'!$D$4,IF(C82="Dublagem Cretone PES",'Custos insumos'!$D$7,IF(C82="Dublagem Barreira",'Custos insumos'!$D$11,IF(C82="Dublagem - MO + Filme",'Custos insumos'!$D$4,IF(C82="Dublagem Cretone HM50",'Custos insumos'!$D$26,IF(C82="Dublagem Cretone HM70",'Custos insumos'!$F$10,)))))))))))))</f>
        <v>1.962</v>
      </c>
      <c r="N82" s="30">
        <f>IF(B82="Texion Textil",0,IF(B82="Três Elos",0,IF(C82="Malha",0,IF(C82="Dublagem Cretone",'Custos insumos'!$D$23,IF(C82="Dublagem Spun",'Custos insumos'!$D$16,IF(C82="Espelhamento",0,IF(C82="Espelhamento 2x",0,IF(C82="Esp. + Pel.",0,IF(C82="Pel. + Spun",'Custos insumos'!$D$16,IF(C82="Dublagem Cretone PES",'Custos insumos'!$D$25,IF(C82="Dublagem Barreira",'Custos insumos'!$D$22,)))))))))))</f>
        <v>1.1499999999999999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4.25" customHeight="1" x14ac:dyDescent="0.35">
      <c r="A83" s="18"/>
      <c r="B83" s="22" t="s">
        <v>151</v>
      </c>
      <c r="C83" s="23" t="s">
        <v>249</v>
      </c>
      <c r="D83" s="23"/>
      <c r="E83" s="24">
        <v>1</v>
      </c>
      <c r="F83" s="25">
        <v>4.5</v>
      </c>
      <c r="G83" s="25">
        <v>4.5</v>
      </c>
      <c r="H83" s="26" t="s">
        <v>243</v>
      </c>
      <c r="I83" s="27">
        <f t="shared" si="0"/>
        <v>4.5</v>
      </c>
      <c r="J83" s="28">
        <v>45301</v>
      </c>
      <c r="K83" s="29" t="s">
        <v>295</v>
      </c>
      <c r="L83" s="30">
        <f t="shared" si="4"/>
        <v>2.6590800000000003</v>
      </c>
      <c r="M83" s="30">
        <f>IF(B83="Texion Textil",0,IF(C83="Malha",'Custos insumos'!$B$24,IF(C83="Dublagem Cretone",'Custos insumos'!$D$7,IF(C83="Dublagem Spun",'Custos insumos'!$D$4,IF(C83="Espelhamento",'Custos insumos'!$B$11,IF(C83="Espelhamento 2x",2*'Custos insumos'!$B$11,IF(C83="Esp. + Pel.",'Custos insumos'!$B$11,IF(C83="Pel. + Spun",'Custos insumos'!$D$4,IF(C83="Dublagem Cretone PES",'Custos insumos'!$D$7,IF(C83="Dublagem Barreira",'Custos insumos'!$D$11,IF(C83="Dublagem - MO + Filme",'Custos insumos'!$D$4,IF(C83="Dublagem Cretone HM50",'Custos insumos'!$D$26,IF(C83="Dublagem Cretone HM70",'Custos insumos'!$F$10,)))))))))))))</f>
        <v>1.1232</v>
      </c>
      <c r="N83" s="30">
        <f>IF(B83="Texion Textil",0,IF(B83="Três Elos",0,IF(C83="Malha",0,IF(C83="Dublagem Cretone",'Custos insumos'!$D$23,IF(C83="Dublagem Spun",'Custos insumos'!$D$16,IF(C83="Espelhamento",0,IF(C83="Espelhamento 2x",0,IF(C83="Esp. + Pel.",0,IF(C83="Pel. + Spun",'Custos insumos'!$D$16,IF(C83="Dublagem Cretone PES",'Custos insumos'!$F$25,IF(C83="Dublagem Barreira",'Custos insumos'!$D$22,)))))))))))</f>
        <v>0.71771999999999991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4.25" customHeight="1" x14ac:dyDescent="0.35">
      <c r="A84" s="18"/>
      <c r="B84" s="22" t="s">
        <v>151</v>
      </c>
      <c r="C84" s="23" t="s">
        <v>142</v>
      </c>
      <c r="D84" s="23"/>
      <c r="E84" s="24">
        <v>1</v>
      </c>
      <c r="F84" s="25">
        <v>0.65</v>
      </c>
      <c r="G84" s="25">
        <v>0.65</v>
      </c>
      <c r="H84" s="26" t="s">
        <v>243</v>
      </c>
      <c r="I84" s="27">
        <f t="shared" si="0"/>
        <v>0.65</v>
      </c>
      <c r="J84" s="28"/>
      <c r="K84" s="29"/>
      <c r="L84" s="30">
        <f t="shared" si="4"/>
        <v>0.65</v>
      </c>
      <c r="M84" s="30">
        <f>IF(B84="Texion Textil",0,IF(C84="Malha",'Custos insumos'!$B$24,IF(C84="Dublagem Cretone",'Custos insumos'!$D$7,IF(C84="Dublagem Spun",'Custos insumos'!$D$4,IF(C84="Espelhamento",'Custos insumos'!$B$11,IF(C84="Espelhamento 2x",2*'Custos insumos'!$B$11,IF(C84="Esp. + Pel.",'Custos insumos'!$B$11,IF(C84="Pel. + Spun",'Custos insumos'!$D$4,IF(C84="Dublagem Cretone PES",'Custos insumos'!$D$7,IF(C84="Dublagem Barreira",'Custos insumos'!$D$11,IF(C84="Dublagem - MO + Filme",'Custos insumos'!$D$4,IF(C84="Dublagem Cretone HM50",'Custos insumos'!$D$26,IF(C84="Dublagem Cretone HM70",'Custos insumos'!$F$10,)))))))))))))</f>
        <v>0</v>
      </c>
      <c r="N84" s="30">
        <f>IF(B84="Texion Textil",0,IF(B84="Três Elos",0,IF(C84="Malha",0,IF(C84="Dublagem Cretone",'Custos insumos'!$D$23,IF(C84="Dublagem Spun",'Custos insumos'!$D$16,IF(C84="Espelhamento",0,IF(C84="Espelhamento 2x",0,IF(C84="Esp. + Pel.",0,IF(C84="Pel. + Spun",'Custos insumos'!$D$16,IF(C84="Dublagem Cretone PES",'Custos insumos'!$F$25,IF(C84="Dublagem Barreira",'Custos insumos'!$D$22,)))))))))))</f>
        <v>0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4.25" customHeight="1" x14ac:dyDescent="0.35">
      <c r="A85" s="18"/>
      <c r="B85" s="22" t="s">
        <v>154</v>
      </c>
      <c r="C85" s="23" t="s">
        <v>254</v>
      </c>
      <c r="D85" s="23"/>
      <c r="E85" s="24">
        <v>3</v>
      </c>
      <c r="F85" s="25">
        <v>1.04</v>
      </c>
      <c r="G85" s="25">
        <v>1.1399999999999999</v>
      </c>
      <c r="H85" s="26" t="s">
        <v>243</v>
      </c>
      <c r="I85" s="27">
        <f t="shared" si="0"/>
        <v>0.37999999999999995</v>
      </c>
      <c r="J85" s="28">
        <v>45301</v>
      </c>
      <c r="K85" s="29"/>
      <c r="L85" s="30">
        <f t="shared" si="4"/>
        <v>1.1399999999999999</v>
      </c>
      <c r="M85" s="30">
        <f>IF(B85="Texion Textil",0,IF(C85="Malha",'Custos insumos'!$B$24,IF(C85="Dublagem Cretone",'Custos insumos'!$D$7,IF(C85="Dublagem Spun",'Custos insumos'!$D$4,IF(C85="Espelhamento",'Custos insumos'!$B$11,IF(C85="Espelhamento 2x",2*'Custos insumos'!$B$11,IF(C85="Esp. + Pel.",'Custos insumos'!$B$11,IF(C85="Pel. + Spun",'Custos insumos'!$D$4,IF(C85="Dublagem Cretone PES",'Custos insumos'!$D$7,IF(C85="Dublagem Barreira",'Custos insumos'!$D$11,IF(C85="Dublagem - MO + Filme",'Custos insumos'!$D$4,IF(C85="Dublagem Cretone HM50",'Custos insumos'!$D$26,IF(C85="Dublagem Cretone HM70",'Custos insumos'!$F$10,)))))))))))))</f>
        <v>0</v>
      </c>
      <c r="N85" s="30">
        <f>IF(B85="Texion Textil",0,IF(B85="Três Elos",0,IF(C85="Malha",0,IF(C85="Dublagem Cretone",'Custos insumos'!$D$23,IF(C85="Dublagem Spun",'Custos insumos'!$D$16,IF(C85="Espelhamento",0,IF(C85="Espelhamento 2x",0,IF(C85="Esp. + Pel.",0,IF(C85="Pel. + Spun",'Custos insumos'!$D$16,IF(C85="Dublagem Cretone PES",'Custos insumos'!$F$25,IF(C85="Dublagem Barreira",'Custos insumos'!$D$22,)))))))))))</f>
        <v>0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4.25" customHeight="1" x14ac:dyDescent="0.35">
      <c r="A86" s="18"/>
      <c r="B86" s="22" t="s">
        <v>297</v>
      </c>
      <c r="C86" s="23" t="s">
        <v>251</v>
      </c>
      <c r="D86" s="23"/>
      <c r="E86" s="24"/>
      <c r="F86" s="25"/>
      <c r="G86" s="25">
        <v>5.45</v>
      </c>
      <c r="H86" s="26"/>
      <c r="I86" s="31"/>
      <c r="J86" s="28"/>
      <c r="K86" s="29"/>
      <c r="L86" s="30">
        <f t="shared" si="4"/>
        <v>1.1600000000000006</v>
      </c>
      <c r="M86" s="30">
        <f>IF(B86="Texion Textil",0,IF(C86="Malha",'Custos insumos'!$B$24,IF(C86="Dublagem Cretone",'Custos insumos'!$D$7,IF(C86="Dublagem Spun",'Custos insumos'!$D$4,IF(C86="Espelhamento",'Custos insumos'!$B$11,IF(C86="Espelhamento 2x",2*'Custos insumos'!$B$11,IF(C86="Esp. + Pel.",'Custos insumos'!$B$11,IF(C86="Pel. + Spun",'Custos insumos'!$D$4,IF(C86="Dublagem Cretone PES",'Custos insumos'!$D$7,IF(C86="Dublagem Barreira",'Custos insumos'!$D$11,IF(C86="Dublagem - MO + Filme",'Custos insumos'!$D$4,IF(C86="Dublagem Cretone HM50",'Custos insumos'!$D$26,IF(C86="Dublagem Cretone HM70",'Custos insumos'!$F$10,)))))))))))))</f>
        <v>1.962</v>
      </c>
      <c r="N86" s="30">
        <f>IF(B86="Texion Textil",0,IF(B86="Três Elos",0,IF(C86="Malha",0,IF(C86="Dublagem Cretone",'Custos insumos'!$D$23,IF(C86="Dublagem Spun",'Custos insumos'!$D$19,IF(C86="Espelhamento",0,IF(C86="Espelhamento 2x",0,IF(C86="Esp. + Pel.",0,IF(C86="Pel. + Spun",'Custos insumos'!$D$19,IF(C86="Dublagem Cretone PES",'Custos insumos'!$F$25,IF(C86="Dublagem Barreira",'Custos insumos'!$D$22,)))))))))))</f>
        <v>2.3279999999999998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4.25" customHeight="1" x14ac:dyDescent="0.35">
      <c r="A87" s="18"/>
      <c r="B87" s="22" t="s">
        <v>298</v>
      </c>
      <c r="C87" s="23" t="s">
        <v>254</v>
      </c>
      <c r="D87" s="23"/>
      <c r="E87" s="24"/>
      <c r="F87" s="25"/>
      <c r="G87" s="25">
        <v>0.75</v>
      </c>
      <c r="H87" s="26" t="s">
        <v>243</v>
      </c>
      <c r="I87" s="27"/>
      <c r="J87" s="28"/>
      <c r="K87" s="29"/>
      <c r="L87" s="30">
        <f t="shared" si="4"/>
        <v>0.75</v>
      </c>
      <c r="M87" s="30">
        <f>IF(B87="Texion Textil",0,IF(C87="Malha",'Custos insumos'!$B$24,IF(C87="Dublagem Cretone",'Custos insumos'!$D$7,IF(C87="Dublagem Spun",'Custos insumos'!$D$4,IF(C87="Espelhamento",'Custos insumos'!$B$11,IF(C87="Espelhamento 2x",2*'Custos insumos'!$B$11,IF(C87="Esp. + Pel.",'Custos insumos'!$B$11,IF(C87="Pel. + Spun",'Custos insumos'!$D$4,IF(C87="Dublagem Cretone PES",'Custos insumos'!$D$7,IF(C87="Dublagem Barreira",'Custos insumos'!$D$11,IF(C87="Dublagem - MO + Filme",'Custos insumos'!$D$4,IF(C87="Dublagem Cretone HM50",'Custos insumos'!$D$26,IF(C87="Dublagem Cretone HM70",'Custos insumos'!$F$10,)))))))))))))</f>
        <v>0</v>
      </c>
      <c r="N87" s="30">
        <f>IF(B87="Texion Textil",0,IF(B87="Três Elos",0,IF(C87="Malha",0,IF(C87="Dublagem Cretone",'Custos insumos'!$D$23,IF(C87="Dublagem Spun",'Custos insumos'!$D$16,IF(C87="Espelhamento",0,IF(C87="Espelhamento 2x",0,IF(C87="Esp. + Pel.",0,IF(C87="Pel. + Spun",'Custos insumos'!$D$16,IF(C87="Dublagem Cretone PES",'Custos insumos'!$F$25,IF(C87="Dublagem Barreira",'Custos insumos'!$D$22,)))))))))))</f>
        <v>0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4.25" customHeight="1" x14ac:dyDescent="0.35">
      <c r="A88" s="18" t="s">
        <v>256</v>
      </c>
      <c r="B88" s="22" t="s">
        <v>299</v>
      </c>
      <c r="C88" s="23" t="s">
        <v>144</v>
      </c>
      <c r="D88" s="23"/>
      <c r="E88" s="24">
        <v>1</v>
      </c>
      <c r="F88" s="25"/>
      <c r="G88" s="25">
        <v>0.6</v>
      </c>
      <c r="H88" s="26" t="s">
        <v>243</v>
      </c>
      <c r="I88" s="27">
        <f t="shared" ref="I88:I114" si="5">G88/E88</f>
        <v>0.6</v>
      </c>
      <c r="J88" s="28">
        <v>45301</v>
      </c>
      <c r="K88" s="29" t="s">
        <v>259</v>
      </c>
      <c r="L88" s="30">
        <f t="shared" si="4"/>
        <v>0.6</v>
      </c>
      <c r="M88" s="30">
        <f>IF(B88="Texion Textil",0,IF(C88="Malha",'Custos insumos'!$B$24,IF(C88="Dublagem Cretone",'Custos insumos'!$D$7,IF(C88="Dublagem Spun",'Custos insumos'!$D$4,IF(C88="Espelhamento",'Custos insumos'!$B$11,IF(C88="Espelhamento 2x",2*'Custos insumos'!$B$11,IF(C88="Esp. + Pel.",'Custos insumos'!$B$11,IF(C88="Pel. + Spun",'Custos insumos'!$D$4,IF(C88="Dublagem Cretone PES",'Custos insumos'!$D$7,IF(C88="Dublagem Barreira",'Custos insumos'!$D$11,IF(C88="Dublagem - MO + Filme",'Custos insumos'!$D$4,IF(C88="Dublagem Cretone HM50",'Custos insumos'!$D$26,IF(C88="Dublagem Cretone HM70",'Custos insumos'!$F$10,)))))))))))))</f>
        <v>0</v>
      </c>
      <c r="N88" s="30">
        <f>IF(B88="Texion Textil",0,IF(B88="Três Elos",0,IF(C88="Malha",0,IF(C88="Dublagem Cretone",'Custos insumos'!$D$23,IF(C88="Dublagem Spun",'Custos insumos'!$D$16,IF(C88="Espelhamento",0,IF(C88="Espelhamento 2x",0,IF(C88="Esp. + Pel.",0,IF(C88="Pel. + Spun",'Custos insumos'!$D$16,IF(C88="Dublagem Cretone PES",'Custos insumos'!$F$25,IF(C88="Dublagem Barreira",'Custos insumos'!$D$22,)))))))))))</f>
        <v>0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4.25" customHeight="1" x14ac:dyDescent="0.35">
      <c r="A89" s="18" t="s">
        <v>256</v>
      </c>
      <c r="B89" s="22" t="s">
        <v>157</v>
      </c>
      <c r="C89" s="23" t="s">
        <v>106</v>
      </c>
      <c r="D89" s="23"/>
      <c r="E89" s="24">
        <v>1</v>
      </c>
      <c r="F89" s="25">
        <v>2.29</v>
      </c>
      <c r="G89" s="25">
        <v>2.35</v>
      </c>
      <c r="H89" s="26" t="s">
        <v>243</v>
      </c>
      <c r="I89" s="27">
        <f t="shared" si="5"/>
        <v>2.35</v>
      </c>
      <c r="J89" s="28">
        <v>45301</v>
      </c>
      <c r="K89" s="29" t="s">
        <v>259</v>
      </c>
      <c r="L89" s="30">
        <f t="shared" si="4"/>
        <v>1.2914997101449275</v>
      </c>
      <c r="M89" s="30">
        <f>IF(B89="Texion Textil",0,IF(C89="Malha",'Custos insumos'!$B$24,IF(C89="Dublagem Cretone",'Custos insumos'!$D$7,IF(C89="Dublagem Spun",'Custos insumos'!$D$4,IF(C89="Espelhamento",'Custos insumos'!$B$11,IF(C89="Espelhamento 2x",2*'Custos insumos'!$B$11,IF(C89="Esp. + Pel.",'Custos insumos'!$B$11,IF(C89="Pel. + Spun",'Custos insumos'!$D$4,IF(C89="Dublagem Cretone PES",'Custos insumos'!$D$7,IF(C89="Dublagem Barreira",'Custos insumos'!$D$11,IF(C89="Dublagem - MO + Filme",'Custos insumos'!$D$4,IF(C89="Dublagem Cretone HM50",'Custos insumos'!$D$26,IF(C89="Dublagem Cretone HM70",'Custos insumos'!$F$10,)))))))))))))</f>
        <v>1.0585002898550726</v>
      </c>
      <c r="N89" s="30">
        <f>IF(B89="Texion Textil",0,IF(B89="Três Elos",0,IF(C89="Malha",0,IF(C89="Dublagem Cretone",'Custos insumos'!$D$23,IF(C89="Dublagem Spun",'Custos insumos'!$D$16,IF(C89="Espelhamento",0,IF(C89="Espelhamento 2x",0,IF(C89="Esp. + Pel.",0,IF(C89="Pel. + Spun",'Custos insumos'!$D$16,IF(C89="Dublagem Cretone PES",'Custos insumos'!$F$25,IF(C89="Dublagem Barreira",'Custos insumos'!$D$22,)))))))))))</f>
        <v>0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4.25" customHeight="1" x14ac:dyDescent="0.35">
      <c r="A90" s="18" t="s">
        <v>256</v>
      </c>
      <c r="B90" s="22" t="s">
        <v>157</v>
      </c>
      <c r="C90" s="23" t="s">
        <v>249</v>
      </c>
      <c r="D90" s="23"/>
      <c r="E90" s="24">
        <v>1</v>
      </c>
      <c r="F90" s="25">
        <v>4.47</v>
      </c>
      <c r="G90" s="25">
        <v>4.47</v>
      </c>
      <c r="H90" s="26" t="s">
        <v>243</v>
      </c>
      <c r="I90" s="27">
        <f t="shared" si="5"/>
        <v>4.47</v>
      </c>
      <c r="J90" s="28">
        <v>45301</v>
      </c>
      <c r="K90" s="29" t="s">
        <v>259</v>
      </c>
      <c r="L90" s="30">
        <f t="shared" si="4"/>
        <v>2.6290800000000001</v>
      </c>
      <c r="M90" s="30">
        <f>IF(B90="Texion Textil",0,IF(C90="Malha",'Custos insumos'!$B$24,IF(C90="Dublagem Cretone",'Custos insumos'!$D$7,IF(C90="Dublagem Spun",'Custos insumos'!$D$4,IF(C90="Espelhamento",'Custos insumos'!$B$11,IF(C90="Espelhamento 2x",2*'Custos insumos'!$B$11,IF(C90="Esp. + Pel.",'Custos insumos'!$B$11,IF(C90="Pel. + Spun",'Custos insumos'!$D$4,IF(C90="Dublagem Cretone PES",'Custos insumos'!$D$7,IF(C90="Dublagem Barreira",'Custos insumos'!$D$11,IF(C90="Dublagem - MO + Filme",'Custos insumos'!$D$4,IF(C90="Dublagem Cretone HM50",'Custos insumos'!$D$26,IF(C90="Dublagem Cretone HM70",'Custos insumos'!$F$10,)))))))))))))</f>
        <v>1.1232</v>
      </c>
      <c r="N90" s="30">
        <f>IF(B90="Texion Textil",0,IF(B90="Três Elos",0,IF(C90="Malha",0,IF(C90="Dublagem Cretone",'Custos insumos'!$D$23,IF(C90="Dublagem Spun",'Custos insumos'!$D$16,IF(C90="Espelhamento",0,IF(C90="Espelhamento 2x",0,IF(C90="Esp. + Pel.",0,IF(C90="Pel. + Spun",'Custos insumos'!$D$16,IF(C90="Dublagem Cretone PES",'Custos insumos'!$F$25,IF(C90="Dublagem Barreira",'Custos insumos'!$D$22,)))))))))))</f>
        <v>0.71771999999999991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4.25" customHeight="1" x14ac:dyDescent="0.35">
      <c r="A91" s="18"/>
      <c r="B91" s="22" t="s">
        <v>162</v>
      </c>
      <c r="C91" s="23" t="s">
        <v>144</v>
      </c>
      <c r="D91" s="23"/>
      <c r="E91" s="24">
        <v>1</v>
      </c>
      <c r="F91" s="25">
        <v>0.56999999999999995</v>
      </c>
      <c r="G91" s="25">
        <v>0.65</v>
      </c>
      <c r="H91" s="26" t="s">
        <v>243</v>
      </c>
      <c r="I91" s="27">
        <f t="shared" si="5"/>
        <v>0.65</v>
      </c>
      <c r="J91" s="28">
        <v>45301</v>
      </c>
      <c r="K91" s="29"/>
      <c r="L91" s="30">
        <f t="shared" si="4"/>
        <v>0.65</v>
      </c>
      <c r="M91" s="30">
        <f>IF(B91="Texion Textil",0,IF(C91="Malha",'Custos insumos'!$B$24,IF(C91="Dublagem Cretone",'Custos insumos'!$D$7,IF(C91="Dublagem Spun",'Custos insumos'!$D$4,IF(C91="Espelhamento",'Custos insumos'!$B$11,IF(C91="Espelhamento 2x",2*'Custos insumos'!$B$11,IF(C91="Esp. + Pel.",'Custos insumos'!$B$11,IF(C91="Pel. + Spun",'Custos insumos'!$D$4,IF(C91="Dublagem Cretone PES",'Custos insumos'!$D$7,IF(C91="Dublagem Barreira",'Custos insumos'!$D$11,IF(C91="Dublagem - MO + Filme",'Custos insumos'!$D$4,IF(C91="Dublagem Cretone HM50",'Custos insumos'!$D$26,IF(C91="Dublagem Cretone HM70",'Custos insumos'!$F$10,)))))))))))))</f>
        <v>0</v>
      </c>
      <c r="N91" s="30">
        <f>IF(B91="Texion Textil",0,IF(B91="Três Elos",0,IF(C91="Malha",0,IF(C91="Dublagem Cretone",'Custos insumos'!$D$23,IF(C91="Dublagem Spun",'Custos insumos'!$D$16,IF(C91="Espelhamento",0,IF(C91="Espelhamento 2x",0,IF(C91="Esp. + Pel.",0,IF(C91="Pel. + Spun",'Custos insumos'!$D$16,IF(C91="Dublagem Cretone PES",'Custos insumos'!$F$25,IF(C91="Dublagem Barreira",'Custos insumos'!$D$22,)))))))))))</f>
        <v>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4.25" customHeight="1" x14ac:dyDescent="0.35">
      <c r="A92" s="18"/>
      <c r="B92" s="22" t="s">
        <v>162</v>
      </c>
      <c r="C92" s="23" t="s">
        <v>83</v>
      </c>
      <c r="D92" s="23"/>
      <c r="E92" s="24">
        <v>1</v>
      </c>
      <c r="F92" s="25"/>
      <c r="G92" s="25">
        <v>5.9</v>
      </c>
      <c r="H92" s="26" t="s">
        <v>243</v>
      </c>
      <c r="I92" s="27">
        <f t="shared" si="5"/>
        <v>5.9</v>
      </c>
      <c r="J92" s="28"/>
      <c r="K92" s="29"/>
      <c r="L92" s="30"/>
      <c r="M92" s="30">
        <f>IF(B92="Texion Textil",0,IF(C92="Malha",'Custos insumos'!$B$24,IF(C92="Dublagem Cretone",'Custos insumos'!$D$7,IF(C92="Dublagem Spun",'Custos insumos'!$D$4,IF(C92="Espelhamento",'Custos insumos'!$B$11,IF(C92="Espelhamento 2x",2*'Custos insumos'!$B$11,IF(C92="Esp. + Pel.",'Custos insumos'!$B$11,IF(C92="Pel. + Spun",'Custos insumos'!$D$4,IF(C92="Dublagem Cretone PES",'Custos insumos'!$D$7,IF(C92="Dublagem Barreira",'Custos insumos'!$D$11,IF(C92="Dublagem - MO + Filme",'Custos insumos'!$D$4,IF(C92="Dublagem Cretone HM50",'Custos insumos'!$D$26,IF(C92="Dublagem Cretone HM70",'Custos insumos'!$F$10,)))))))))))))</f>
        <v>0</v>
      </c>
      <c r="N92" s="30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4.25" customHeight="1" x14ac:dyDescent="0.35">
      <c r="A93" s="18"/>
      <c r="B93" s="22" t="s">
        <v>300</v>
      </c>
      <c r="C93" s="23" t="s">
        <v>83</v>
      </c>
      <c r="D93" s="23"/>
      <c r="E93" s="24">
        <v>1</v>
      </c>
      <c r="F93" s="25">
        <v>1</v>
      </c>
      <c r="G93" s="25">
        <v>1</v>
      </c>
      <c r="H93" s="26" t="s">
        <v>243</v>
      </c>
      <c r="I93" s="27">
        <f t="shared" si="5"/>
        <v>1</v>
      </c>
      <c r="J93" s="28">
        <v>45301</v>
      </c>
      <c r="K93" s="29" t="s">
        <v>239</v>
      </c>
      <c r="L93" s="30">
        <f t="shared" ref="L93:L114" si="6">G93-M93-N93</f>
        <v>1</v>
      </c>
      <c r="M93" s="30">
        <f>IF(B93="Texion Textil",0,IF(C93="Malha",'Custos insumos'!$B$24,IF(C93="Dublagem Cretone",'Custos insumos'!$D$7,IF(C93="Dublagem Spun",'Custos insumos'!$D$4,IF(C93="Espelhamento",'Custos insumos'!$B$11,IF(C93="Espelhamento 2x",2*'Custos insumos'!$B$11,IF(C93="Esp. + Pel.",'Custos insumos'!$B$11,IF(C93="Pel. + Spun",'Custos insumos'!$D$4,IF(C93="Dublagem Cretone PES",'Custos insumos'!$D$7,IF(C93="Dublagem Barreira",'Custos insumos'!$D$11,IF(C93="Dublagem - MO + Filme",'Custos insumos'!$D$4,IF(C93="Dublagem Cretone HM50",'Custos insumos'!$D$26,IF(C93="Dublagem Cretone HM70",'Custos insumos'!$F$10,)))))))))))))</f>
        <v>0</v>
      </c>
      <c r="N93" s="30">
        <f>IF(B93="Texion Textil",0,IF(B93="Três Elos",0,IF(C93="Malha",0,IF(C93="Dublagem Cretone",'Custos insumos'!$D$23,IF(C93="Dublagem Spun",'Custos insumos'!$D$16,IF(C93="Espelhamento",0,IF(C93="Espelhamento 2x",0,IF(C93="Esp. + Pel.",0,IF(C93="Pel. + Spun",'Custos insumos'!$D$16,IF(C93="Dublagem Cretone PES",'Custos insumos'!$F$25,IF(C93="Dublagem Barreira",'Custos insumos'!$D$22,)))))))))))</f>
        <v>0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4.25" customHeight="1" x14ac:dyDescent="0.35">
      <c r="A94" s="18" t="s">
        <v>256</v>
      </c>
      <c r="B94" s="22" t="s">
        <v>163</v>
      </c>
      <c r="C94" s="23" t="s">
        <v>282</v>
      </c>
      <c r="D94" s="23"/>
      <c r="E94" s="24">
        <v>1</v>
      </c>
      <c r="F94" s="25">
        <v>1.7</v>
      </c>
      <c r="G94" s="25">
        <v>1.8</v>
      </c>
      <c r="H94" s="26" t="s">
        <v>243</v>
      </c>
      <c r="I94" s="27">
        <f t="shared" si="5"/>
        <v>1.8</v>
      </c>
      <c r="J94" s="28">
        <v>45301</v>
      </c>
      <c r="K94" s="29"/>
      <c r="L94" s="30">
        <f t="shared" si="6"/>
        <v>1.8</v>
      </c>
      <c r="M94" s="30">
        <f>IF(B94="Texion Textil",0,IF(C94="Malha",'Custos insumos'!$B$24,IF(C94="Dublagem Cretone",'Custos insumos'!$D$7,IF(C94="Dublagem Spun",'Custos insumos'!$D$4,IF(C94="Espelhamento",'Custos insumos'!$B$11,IF(C94="Espelhamento 2x",2*'Custos insumos'!$B$11,IF(C94="Esp. + Pel.",'Custos insumos'!$B$11,IF(C94="Pel. + Spun",'Custos insumos'!$D$4,IF(C94="Dublagem Cretone PES",'Custos insumos'!$D$7,IF(C94="Dublagem Barreira",'Custos insumos'!$D$11,IF(C94="Dublagem - MO + Filme",'Custos insumos'!$D$4,IF(C94="Dublagem Cretone HM50",'Custos insumos'!$D$26,IF(C94="Dublagem Cretone HM70",'Custos insumos'!$F$10,)))))))))))))</f>
        <v>0</v>
      </c>
      <c r="N94" s="30">
        <f>IF(B94="Texion Textil",0,IF(B94="Três Elos",0,IF(C94="Malha",0,IF(C94="Dublagem Cretone",'Custos insumos'!$D$23,IF(C94="Dublagem Spun",'Custos insumos'!$D$16,IF(C94="Espelhamento",0,IF(C94="Espelhamento 2x",0,IF(C94="Esp. + Pel.",0,IF(C94="Pel. + Spun",'Custos insumos'!$D$16,IF(C94="Dublagem Cretone PES",'Custos insumos'!$F$25,IF(C94="Dublagem Barreira",'Custos insumos'!$D$22,)))))))))))</f>
        <v>0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4.25" customHeight="1" x14ac:dyDescent="0.35">
      <c r="A95" s="18"/>
      <c r="B95" s="22" t="s">
        <v>301</v>
      </c>
      <c r="C95" s="23" t="s">
        <v>106</v>
      </c>
      <c r="D95" s="23"/>
      <c r="E95" s="24">
        <v>1</v>
      </c>
      <c r="F95" s="25">
        <v>2.39</v>
      </c>
      <c r="G95" s="25">
        <v>2.4500000000000002</v>
      </c>
      <c r="H95" s="26" t="s">
        <v>243</v>
      </c>
      <c r="I95" s="27">
        <f t="shared" si="5"/>
        <v>2.4500000000000002</v>
      </c>
      <c r="J95" s="28">
        <v>45301</v>
      </c>
      <c r="K95" s="29" t="s">
        <v>167</v>
      </c>
      <c r="L95" s="30">
        <f t="shared" si="6"/>
        <v>1.3914997101449276</v>
      </c>
      <c r="M95" s="30">
        <f>IF(B95="Texion Textil",0,IF(C95="Malha",'Custos insumos'!$B$24,IF(C95="Dublagem Cretone",'Custos insumos'!$D$7,IF(C95="Dublagem Spun",'Custos insumos'!$D$4,IF(C95="Espelhamento",'Custos insumos'!$B$11,IF(C95="Espelhamento 2x",2*'Custos insumos'!$B$11,IF(C95="Esp. + Pel.",'Custos insumos'!$B$11,IF(C95="Pel. + Spun",'Custos insumos'!$D$4,IF(C95="Dublagem Cretone PES",'Custos insumos'!$D$7,IF(C95="Dublagem Barreira",'Custos insumos'!$D$11,IF(C95="Dublagem - MO + Filme",'Custos insumos'!$D$4,IF(C95="Dublagem Cretone HM50",'Custos insumos'!$D$26,IF(C95="Dublagem Cretone HM70",'Custos insumos'!$F$10,)))))))))))))</f>
        <v>1.0585002898550726</v>
      </c>
      <c r="N95" s="30">
        <f>IF(B95="Texion Textil",0,IF(B95="Três Elos",0,IF(C95="Malha",0,IF(C95="Dublagem Cretone",'Custos insumos'!$D$23,IF(C95="Dublagem Spun",'Custos insumos'!$D$16,IF(C95="Espelhamento",0,IF(C95="Espelhamento 2x",0,IF(C95="Esp. + Pel.",0,IF(C95="Pel. + Spun",'Custos insumos'!$D$16,IF(C95="Dublagem Cretone PES",'Custos insumos'!$F$25,IF(C95="Dublagem Barreira",'Custos insumos'!$D$22,)))))))))))</f>
        <v>0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4.25" customHeight="1" x14ac:dyDescent="0.35">
      <c r="A96" s="18"/>
      <c r="B96" s="22" t="s">
        <v>301</v>
      </c>
      <c r="C96" s="23" t="s">
        <v>106</v>
      </c>
      <c r="D96" s="23"/>
      <c r="E96" s="24">
        <v>1</v>
      </c>
      <c r="F96" s="25">
        <v>2.44</v>
      </c>
      <c r="G96" s="25">
        <v>2.5</v>
      </c>
      <c r="H96" s="26" t="s">
        <v>243</v>
      </c>
      <c r="I96" s="27">
        <f t="shared" si="5"/>
        <v>2.5</v>
      </c>
      <c r="J96" s="28">
        <v>45301</v>
      </c>
      <c r="K96" s="29" t="s">
        <v>169</v>
      </c>
      <c r="L96" s="30">
        <f t="shared" si="6"/>
        <v>1.4414997101449274</v>
      </c>
      <c r="M96" s="30">
        <f>IF(B96="Texion Textil",0,IF(C96="Malha",'Custos insumos'!$B$24,IF(C96="Dublagem Cretone",'Custos insumos'!$D$7,IF(C96="Dublagem Spun",'Custos insumos'!$D$4,IF(C96="Espelhamento",'Custos insumos'!$B$11,IF(C96="Espelhamento 2x",2*'Custos insumos'!$B$11,IF(C96="Esp. + Pel.",'Custos insumos'!$B$11,IF(C96="Pel. + Spun",'Custos insumos'!$D$4,IF(C96="Dublagem Cretone PES",'Custos insumos'!$D$7,IF(C96="Dublagem Barreira",'Custos insumos'!$D$11,IF(C96="Dublagem - MO + Filme",'Custos insumos'!$D$4,IF(C96="Dublagem Cretone HM50",'Custos insumos'!$D$26,IF(C96="Dublagem Cretone HM70",'Custos insumos'!$F$10,)))))))))))))</f>
        <v>1.0585002898550726</v>
      </c>
      <c r="N96" s="30">
        <f>IF(B96="Texion Textil",0,IF(B96="Três Elos",0,IF(C96="Malha",0,IF(C96="Dublagem Cretone",'Custos insumos'!$D$23,IF(C96="Dublagem Spun",'Custos insumos'!$D$16,IF(C96="Espelhamento",0,IF(C96="Espelhamento 2x",0,IF(C96="Esp. + Pel.",0,IF(C96="Pel. + Spun",'Custos insumos'!$D$16,IF(C96="Dublagem Cretone PES",'Custos insumos'!$F$25,IF(C96="Dublagem Barreira",'Custos insumos'!$D$22,)))))))))))</f>
        <v>0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4.25" customHeight="1" x14ac:dyDescent="0.35">
      <c r="A97" s="18"/>
      <c r="B97" s="22" t="s">
        <v>301</v>
      </c>
      <c r="C97" s="23" t="s">
        <v>249</v>
      </c>
      <c r="D97" s="23"/>
      <c r="E97" s="24">
        <v>1</v>
      </c>
      <c r="F97" s="25">
        <v>4.53</v>
      </c>
      <c r="G97" s="25">
        <v>4.5999999999999996</v>
      </c>
      <c r="H97" s="26" t="s">
        <v>243</v>
      </c>
      <c r="I97" s="27">
        <f t="shared" si="5"/>
        <v>4.5999999999999996</v>
      </c>
      <c r="J97" s="28">
        <v>45301</v>
      </c>
      <c r="K97" s="29" t="s">
        <v>172</v>
      </c>
      <c r="L97" s="30">
        <f t="shared" si="6"/>
        <v>2.75908</v>
      </c>
      <c r="M97" s="30">
        <f>IF(B97="Texion Textil",0,IF(C97="Malha",'Custos insumos'!$B$24,IF(C97="Dublagem Cretone",'Custos insumos'!$D$7,IF(C97="Dublagem Spun",'Custos insumos'!$D$4,IF(C97="Espelhamento",'Custos insumos'!$B$11,IF(C97="Espelhamento 2x",2*'Custos insumos'!$B$11,IF(C97="Esp. + Pel.",'Custos insumos'!$B$11,IF(C97="Pel. + Spun",'Custos insumos'!$D$4,IF(C97="Dublagem Cretone PES",'Custos insumos'!$D$7,IF(C97="Dublagem Barreira",'Custos insumos'!$D$11,IF(C97="Dublagem - MO + Filme",'Custos insumos'!$D$4,IF(C97="Dublagem Cretone HM50",'Custos insumos'!$D$26,IF(C97="Dublagem Cretone HM70",'Custos insumos'!$F$10,)))))))))))))</f>
        <v>1.1232</v>
      </c>
      <c r="N97" s="30">
        <f>IF(B97="Texion Textil",0,IF(B97="Três Elos",0,IF(C97="Malha",0,IF(C97="Dublagem Cretone",'Custos insumos'!$D$23,IF(C97="Dublagem Spun",'Custos insumos'!$D$16,IF(C97="Espelhamento",0,IF(C97="Espelhamento 2x",0,IF(C97="Esp. + Pel.",0,IF(C97="Pel. + Spun",'Custos insumos'!$D$16,IF(C97="Dublagem Cretone PES",'Custos insumos'!$F$25,IF(C97="Dublagem Barreira",'Custos insumos'!$D$22,)))))))))))</f>
        <v>0.71771999999999991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4.25" customHeight="1" x14ac:dyDescent="0.35">
      <c r="A98" s="18" t="s">
        <v>256</v>
      </c>
      <c r="B98" s="22" t="s">
        <v>302</v>
      </c>
      <c r="C98" s="23" t="s">
        <v>254</v>
      </c>
      <c r="D98" s="23"/>
      <c r="E98" s="24">
        <v>3</v>
      </c>
      <c r="F98" s="25">
        <v>0.7</v>
      </c>
      <c r="G98" s="25">
        <v>0.77</v>
      </c>
      <c r="H98" s="26" t="s">
        <v>243</v>
      </c>
      <c r="I98" s="27">
        <f t="shared" si="5"/>
        <v>0.25666666666666665</v>
      </c>
      <c r="J98" s="28">
        <v>45313</v>
      </c>
      <c r="K98" s="29" t="s">
        <v>303</v>
      </c>
      <c r="L98" s="30">
        <f t="shared" si="6"/>
        <v>0.77</v>
      </c>
      <c r="M98" s="30">
        <f>IF(B98="Texion Textil",0,IF(C98="Malha",'Custos insumos'!$B$24,IF(C98="Dublagem Cretone",'Custos insumos'!$D$7,IF(C98="Dublagem Spun",'Custos insumos'!$D$4,IF(C98="Espelhamento",'Custos insumos'!$B$11,IF(C98="Espelhamento 2x",2*'Custos insumos'!$B$11,IF(C98="Esp. + Pel.",'Custos insumos'!$B$11,IF(C98="Pel. + Spun",'Custos insumos'!$D$4,IF(C98="Dublagem Cretone PES",'Custos insumos'!$D$7,IF(C98="Dublagem Barreira",'Custos insumos'!$D$11,IF(C98="Dublagem - MO + Filme",'Custos insumos'!$D$4,IF(C98="Dublagem Cretone HM50",'Custos insumos'!$D$26,IF(C98="Dublagem Cretone HM70",'Custos insumos'!$F$10,)))))))))))))</f>
        <v>0</v>
      </c>
      <c r="N98" s="30">
        <f>IF(B98="Texion Textil",0,IF(B98="Três Elos",0,IF(C98="Malha",0,IF(C98="Dublagem Cretone",'Custos insumos'!$D$23,IF(C98="Dublagem Spun",'Custos insumos'!$D$16,IF(C98="Espelhamento",0,IF(C98="Espelhamento 2x",0,IF(C98="Esp. + Pel.",0,IF(C98="Pel. + Spun",'Custos insumos'!$D$16,IF(C98="Dublagem Cretone PES",'Custos insumos'!$F$25,IF(C98="Dublagem Barreira",'Custos insumos'!$D$22,)))))))))))</f>
        <v>0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4.25" customHeight="1" x14ac:dyDescent="0.35">
      <c r="A99" s="18" t="s">
        <v>256</v>
      </c>
      <c r="B99" s="22" t="s">
        <v>304</v>
      </c>
      <c r="C99" s="23" t="s">
        <v>144</v>
      </c>
      <c r="D99" s="23"/>
      <c r="E99" s="24">
        <v>1</v>
      </c>
      <c r="F99" s="25"/>
      <c r="G99" s="25">
        <v>0.65</v>
      </c>
      <c r="H99" s="26" t="s">
        <v>243</v>
      </c>
      <c r="I99" s="27">
        <f t="shared" si="5"/>
        <v>0.65</v>
      </c>
      <c r="J99" s="28"/>
      <c r="K99" s="29"/>
      <c r="L99" s="30">
        <f t="shared" si="6"/>
        <v>0.65</v>
      </c>
      <c r="M99" s="30">
        <f>IF(B99="Texion Textil",0,IF(C99="Malha",'Custos insumos'!$B$24,IF(C99="Dublagem Cretone",'Custos insumos'!$D$7,IF(C99="Dublagem Spun",'Custos insumos'!$D$4,IF(C99="Espelhamento",'Custos insumos'!$B$11,IF(C99="Espelhamento 2x",2*'Custos insumos'!$B$11,IF(C99="Esp. + Pel.",'Custos insumos'!$B$11,IF(C99="Pel. + Spun",'Custos insumos'!$D$4,IF(C99="Dublagem Cretone PES",'Custos insumos'!$D$7,IF(C99="Dublagem Barreira",'Custos insumos'!$D$11,IF(C99="Dublagem - MO + Filme",'Custos insumos'!$D$4,IF(C99="Dublagem Cretone HM50",'Custos insumos'!$D$26,IF(C99="Dublagem Cretone HM70",'Custos insumos'!$F$10,)))))))))))))</f>
        <v>0</v>
      </c>
      <c r="N99" s="30">
        <f>IF(B99="Texion Textil",0,IF(B99="Três Elos",0,IF(C99="Malha",0,IF(C99="Dublagem Cretone",'Custos insumos'!$D$23,IF(C99="Dublagem Spun",'Custos insumos'!$D$16,IF(C99="Espelhamento",0,IF(C99="Espelhamento 2x",0,IF(C99="Esp. + Pel.",0,IF(C99="Pel. + Spun",'Custos insumos'!$D$16,IF(C99="Dublagem Cretone PES",'Custos insumos'!$F$25,IF(C99="Dublagem Barreira",'Custos insumos'!$D$22,)))))))))))</f>
        <v>0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4.25" customHeight="1" x14ac:dyDescent="0.35">
      <c r="A100" s="18" t="s">
        <v>256</v>
      </c>
      <c r="B100" s="22" t="s">
        <v>304</v>
      </c>
      <c r="C100" s="23" t="s">
        <v>249</v>
      </c>
      <c r="D100" s="23"/>
      <c r="E100" s="24">
        <v>1</v>
      </c>
      <c r="F100" s="25"/>
      <c r="G100" s="25">
        <v>4.63</v>
      </c>
      <c r="H100" s="26" t="s">
        <v>243</v>
      </c>
      <c r="I100" s="27">
        <f t="shared" si="5"/>
        <v>4.63</v>
      </c>
      <c r="J100" s="28"/>
      <c r="K100" s="29"/>
      <c r="L100" s="30">
        <f t="shared" si="6"/>
        <v>2.7890800000000002</v>
      </c>
      <c r="M100" s="30">
        <f>IF(B100="Texion Textil",0,IF(C100="Malha",'Custos insumos'!$B$24,IF(C100="Dublagem Cretone",'Custos insumos'!$D$7,IF(C100="Dublagem Spun",'Custos insumos'!$D$4,IF(C100="Espelhamento",'Custos insumos'!$B$11,IF(C100="Espelhamento 2x",2*'Custos insumos'!$B$11,IF(C100="Esp. + Pel.",'Custos insumos'!$B$11,IF(C100="Pel. + Spun",'Custos insumos'!$D$4,IF(C100="Dublagem Cretone PES",'Custos insumos'!$D$7,IF(C100="Dublagem Barreira",'Custos insumos'!$D$11,IF(C100="Dublagem - MO + Filme",'Custos insumos'!$D$4,IF(C100="Dublagem Cretone HM50",'Custos insumos'!$D$26,IF(C100="Dublagem Cretone HM70",'Custos insumos'!$F$10,)))))))))))))</f>
        <v>1.1232</v>
      </c>
      <c r="N100" s="30">
        <f>IF(B100="Texion Textil",0,IF(B100="Três Elos",0,IF(C100="Malha",0,IF(C100="Dublagem Cretone",'Custos insumos'!$D$23,IF(C100="Dublagem Spun",'Custos insumos'!$D$16,IF(C100="Espelhamento",0,IF(C100="Espelhamento 2x",0,IF(C100="Esp. + Pel.",0,IF(C100="Pel. + Spun",'Custos insumos'!$D$16,IF(C100="Dublagem Cretone PES",'Custos insumos'!$F$25,IF(C100="Dublagem Barreira",'Custos insumos'!$D$22,)))))))))))</f>
        <v>0.71771999999999991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4.25" customHeight="1" x14ac:dyDescent="0.35">
      <c r="A101" s="18"/>
      <c r="B101" s="22" t="s">
        <v>304</v>
      </c>
      <c r="C101" s="23" t="s">
        <v>254</v>
      </c>
      <c r="D101" s="23"/>
      <c r="E101" s="24">
        <v>2</v>
      </c>
      <c r="F101" s="25"/>
      <c r="G101" s="25">
        <v>1.2</v>
      </c>
      <c r="H101" s="26" t="s">
        <v>243</v>
      </c>
      <c r="I101" s="27">
        <f t="shared" si="5"/>
        <v>0.6</v>
      </c>
      <c r="J101" s="28"/>
      <c r="K101" s="29"/>
      <c r="L101" s="30">
        <f t="shared" si="6"/>
        <v>1.2</v>
      </c>
      <c r="M101" s="30">
        <f>IF(B101="Texion Textil",0,IF(C101="Malha",'Custos insumos'!$B$24,IF(C101="Dublagem Cretone",'Custos insumos'!$D$7,IF(C101="Dublagem Spun",'Custos insumos'!$D$4,IF(C101="Espelhamento",'Custos insumos'!$B$11,IF(C101="Espelhamento 2x",2*'Custos insumos'!$B$11,IF(C101="Esp. + Pel.",'Custos insumos'!$B$11,IF(C101="Pel. + Spun",'Custos insumos'!$D$4,IF(C101="Dublagem Cretone PES",'Custos insumos'!$D$7,IF(C101="Dublagem Barreira",'Custos insumos'!$D$11,IF(C101="Dublagem - MO + Filme",'Custos insumos'!$D$4,IF(C101="Dublagem Cretone HM50",'Custos insumos'!$D$26,IF(C101="Dublagem Cretone HM70",'Custos insumos'!$F$10,)))))))))))))</f>
        <v>0</v>
      </c>
      <c r="N101" s="30">
        <f>IF(B101="Texion Textil",0,IF(B101="Três Elos",0,IF(C101="Malha",0,IF(C101="Dublagem Cretone",'Custos insumos'!$D$23,IF(C101="Dublagem Spun",'Custos insumos'!$D$16,IF(C101="Espelhamento",0,IF(C101="Espelhamento 2x",0,IF(C101="Esp. + Pel.",0,IF(C101="Pel. + Spun",'Custos insumos'!$D$16,IF(C101="Dublagem Cretone PES",'Custos insumos'!$F$25,IF(C101="Dublagem Barreira",'Custos insumos'!$D$22,)))))))))))</f>
        <v>0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4.25" customHeight="1" x14ac:dyDescent="0.35">
      <c r="A102" s="18"/>
      <c r="B102" s="38" t="s">
        <v>175</v>
      </c>
      <c r="C102" s="39" t="s">
        <v>106</v>
      </c>
      <c r="D102" s="40"/>
      <c r="E102" s="26">
        <v>1</v>
      </c>
      <c r="F102" s="25">
        <v>2.11</v>
      </c>
      <c r="G102" s="25">
        <v>2.35</v>
      </c>
      <c r="H102" s="26" t="s">
        <v>243</v>
      </c>
      <c r="I102" s="27">
        <f t="shared" si="5"/>
        <v>2.35</v>
      </c>
      <c r="J102" s="28">
        <v>45301</v>
      </c>
      <c r="K102" s="29"/>
      <c r="L102" s="30">
        <f t="shared" si="6"/>
        <v>1.2914997101449275</v>
      </c>
      <c r="M102" s="30">
        <f>IF(B102="Texion Textil",0,IF(C102="Malha",'Custos insumos'!$B$24,IF(C102="Dublagem Cretone",'Custos insumos'!$D$7,IF(C102="Dublagem Spun",'Custos insumos'!$D$4,IF(C102="Espelhamento",'Custos insumos'!$B$11,IF(C102="Espelhamento 2x",2*'Custos insumos'!$B$11,IF(C102="Esp. + Pel.",'Custos insumos'!$B$11,IF(C102="Pel. + Spun",'Custos insumos'!$D$4,IF(C102="Dublagem Cretone PES",'Custos insumos'!$D$7,IF(C102="Dublagem Barreira",'Custos insumos'!$D$11,IF(C102="Dublagem - MO + Filme",'Custos insumos'!$D$4,IF(C102="Dublagem Cretone HM50",'Custos insumos'!$D$26,IF(C102="Dublagem Cretone HM70",'Custos insumos'!$F$10,)))))))))))))</f>
        <v>1.0585002898550726</v>
      </c>
      <c r="N102" s="30">
        <f>IF(B102="Texion Textil",0,IF(B102="Três Elos",0,IF(C102="Malha",0,IF(C102="Dublagem Cretone",'Custos insumos'!$D$23,IF(C102="Dublagem Spun",'Custos insumos'!$D$16,IF(C102="Espelhamento",0,IF(C102="Espelhamento 2x",0,IF(C102="Esp. + Pel.",0,IF(C102="Pel. + Spun",'Custos insumos'!$D$16,IF(C102="Dublagem Cretone PES",'Custos insumos'!$F$25,IF(C102="Dublagem Barreira",'Custos insumos'!$D$22,)))))))))))</f>
        <v>0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4.25" customHeight="1" x14ac:dyDescent="0.35">
      <c r="A103" s="18"/>
      <c r="B103" s="38" t="s">
        <v>175</v>
      </c>
      <c r="C103" s="39" t="s">
        <v>142</v>
      </c>
      <c r="D103" s="40"/>
      <c r="E103" s="24">
        <v>1</v>
      </c>
      <c r="F103" s="25">
        <v>0.55000000000000004</v>
      </c>
      <c r="G103" s="25">
        <v>0.65</v>
      </c>
      <c r="H103" s="26" t="s">
        <v>243</v>
      </c>
      <c r="I103" s="27">
        <f t="shared" si="5"/>
        <v>0.65</v>
      </c>
      <c r="J103" s="28">
        <v>45301</v>
      </c>
      <c r="K103" s="29"/>
      <c r="L103" s="30">
        <f t="shared" si="6"/>
        <v>0.65</v>
      </c>
      <c r="M103" s="30">
        <f>IF(B103="Texion Textil",0,IF(C103="Malha",'Custos insumos'!$B$24,IF(C103="Dublagem Cretone",'Custos insumos'!$D$7,IF(C103="Dublagem Spun",'Custos insumos'!$D$4,IF(C103="Espelhamento",'Custos insumos'!$B$11,IF(C103="Espelhamento 2x",2*'Custos insumos'!$B$11,IF(C103="Esp. + Pel.",'Custos insumos'!$B$11,IF(C103="Pel. + Spun",'Custos insumos'!$D$4,IF(C103="Dublagem Cretone PES",'Custos insumos'!$D$7,IF(C103="Dublagem Barreira",'Custos insumos'!$D$11,IF(C103="Dublagem - MO + Filme",'Custos insumos'!$D$4,IF(C103="Dublagem Cretone HM50",'Custos insumos'!$D$26,IF(C103="Dublagem Cretone HM70",'Custos insumos'!$F$10,)))))))))))))</f>
        <v>0</v>
      </c>
      <c r="N103" s="30">
        <f>IF(B103="Texion Textil",0,IF(B103="Três Elos",0,IF(C103="Malha",0,IF(C103="Dublagem Cretone",'Custos insumos'!$D$23,IF(C103="Dublagem Spun",'Custos insumos'!$D$16,IF(C103="Espelhamento",0,IF(C103="Espelhamento 2x",0,IF(C103="Esp. + Pel.",0,IF(C103="Pel. + Spun",'Custos insumos'!$D$16,IF(C103="Dublagem Cretone PES",'Custos insumos'!$F$25,IF(C103="Dublagem Barreira",'Custos insumos'!$D$22,)))))))))))</f>
        <v>0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4.25" customHeight="1" x14ac:dyDescent="0.35">
      <c r="A104" s="18"/>
      <c r="B104" s="22" t="s">
        <v>176</v>
      </c>
      <c r="C104" s="32" t="s">
        <v>249</v>
      </c>
      <c r="D104" s="23"/>
      <c r="E104" s="24">
        <v>1</v>
      </c>
      <c r="F104" s="25">
        <v>4.18</v>
      </c>
      <c r="G104" s="25">
        <v>4.5</v>
      </c>
      <c r="H104" s="26" t="s">
        <v>243</v>
      </c>
      <c r="I104" s="27">
        <f t="shared" si="5"/>
        <v>4.5</v>
      </c>
      <c r="J104" s="28">
        <v>45301</v>
      </c>
      <c r="K104" s="29" t="s">
        <v>248</v>
      </c>
      <c r="L104" s="30">
        <f t="shared" si="6"/>
        <v>2.6590800000000003</v>
      </c>
      <c r="M104" s="30">
        <f>IF(B104="Texion Textil",0,IF(C104="Malha",'Custos insumos'!$B$24,IF(C104="Dublagem Cretone",'Custos insumos'!$D$7,IF(C104="Dublagem Spun",'Custos insumos'!$D$4,IF(C104="Espelhamento",'Custos insumos'!$B$11,IF(C104="Espelhamento 2x",2*'Custos insumos'!$B$11,IF(C104="Esp. + Pel.",'Custos insumos'!$B$11,IF(C104="Pel. + Spun",'Custos insumos'!$D$4,IF(C104="Dublagem Cretone PES",'Custos insumos'!$D$7,IF(C104="Dublagem Barreira",'Custos insumos'!$D$11,IF(C104="Dublagem - MO + Filme",'Custos insumos'!$D$4,IF(C104="Dublagem Cretone HM50",'Custos insumos'!$D$26,IF(C104="Dublagem Cretone HM70",'Custos insumos'!$F$10,)))))))))))))</f>
        <v>1.1232</v>
      </c>
      <c r="N104" s="30">
        <f>IF(B104="Texion Textil",0,IF(B104="Três Elos",0,IF(C104="Malha",0,IF(C104="Dublagem Cretone",'Custos insumos'!$D$23,IF(C104="Dublagem Spun",'Custos insumos'!$D$16,IF(C104="Espelhamento",0,IF(C104="Espelhamento 2x",0,IF(C104="Esp. + Pel.",0,IF(C104="Pel. + Spun",'Custos insumos'!$D$16,IF(C104="Dublagem Cretone PES",'Custos insumos'!$F$25,IF(C104="Dublagem Barreira",'Custos insumos'!$D$22,)))))))))))</f>
        <v>0.71771999999999991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4.25" customHeight="1" x14ac:dyDescent="0.35">
      <c r="A105" s="18"/>
      <c r="B105" s="22" t="s">
        <v>305</v>
      </c>
      <c r="C105" s="23" t="s">
        <v>142</v>
      </c>
      <c r="D105" s="23"/>
      <c r="E105" s="24">
        <v>1</v>
      </c>
      <c r="F105" s="25">
        <v>0.7</v>
      </c>
      <c r="G105" s="25">
        <v>0.7</v>
      </c>
      <c r="H105" s="26" t="s">
        <v>243</v>
      </c>
      <c r="I105" s="27">
        <f t="shared" si="5"/>
        <v>0.7</v>
      </c>
      <c r="J105" s="28">
        <v>45301</v>
      </c>
      <c r="K105" s="29"/>
      <c r="L105" s="30">
        <f t="shared" si="6"/>
        <v>0.7</v>
      </c>
      <c r="M105" s="30">
        <f>IF(B105="Texion Textil",0,IF(C105="Malha",'Custos insumos'!$B$24,IF(C105="Dublagem Cretone",'Custos insumos'!$D$7,IF(C105="Dublagem Spun",'Custos insumos'!$D$4,IF(C105="Espelhamento",'Custos insumos'!$B$11,IF(C105="Espelhamento 2x",2*'Custos insumos'!$B$11,IF(C105="Esp. + Pel.",'Custos insumos'!$B$11,IF(C105="Pel. + Spun",'Custos insumos'!$D$4,IF(C105="Dublagem Cretone PES",'Custos insumos'!$D$7,IF(C105="Dublagem Barreira",'Custos insumos'!$D$11,IF(C105="Dublagem - MO + Filme",'Custos insumos'!$D$4,IF(C105="Dublagem Cretone HM50",'Custos insumos'!$D$26,IF(C105="Dublagem Cretone HM70",'Custos insumos'!$F$10,)))))))))))))</f>
        <v>0</v>
      </c>
      <c r="N105" s="30">
        <f>IF(B105="Texion Textil",0,IF(B105="Três Elos",0,IF(C105="Malha",0,IF(C105="Dublagem Cretone",'Custos insumos'!$D$23,IF(C105="Dublagem Spun",'Custos insumos'!$D$16,IF(C105="Espelhamento",0,IF(C105="Espelhamento 2x",0,IF(C105="Esp. + Pel.",0,IF(C105="Pel. + Spun",'Custos insumos'!$D$16,IF(C105="Dublagem Cretone PES",'Custos insumos'!$F$25,IF(C105="Dublagem Barreira",'Custos insumos'!$D$22,)))))))))))</f>
        <v>0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4.25" customHeight="1" x14ac:dyDescent="0.35">
      <c r="A106" s="18"/>
      <c r="B106" s="22" t="s">
        <v>305</v>
      </c>
      <c r="C106" s="23" t="s">
        <v>306</v>
      </c>
      <c r="D106" s="23"/>
      <c r="E106" s="24">
        <v>1</v>
      </c>
      <c r="F106" s="25"/>
      <c r="G106" s="25">
        <v>2.4</v>
      </c>
      <c r="H106" s="26" t="s">
        <v>243</v>
      </c>
      <c r="I106" s="27">
        <f t="shared" si="5"/>
        <v>2.4</v>
      </c>
      <c r="J106" s="28">
        <v>45301</v>
      </c>
      <c r="K106" s="29"/>
      <c r="L106" s="30">
        <f t="shared" si="6"/>
        <v>1.2767999999999999</v>
      </c>
      <c r="M106" s="30">
        <f>IF(B106="Texion Textil",0,IF(C106="Malha",'Custos insumos'!$B$24,IF(C106="Dublagem Cretone",'Custos insumos'!$D$7,IF(C106="Dublagem Spun",'Custos insumos'!$D$4,IF(C106="Espelhamento",'Custos insumos'!$B$11,IF(C106="Espelhamento 2x",2*'Custos insumos'!$B$11,IF(C106="Esp. + Pel.",'Custos insumos'!$B$11,IF(C106="Pel. + Spun",'Custos insumos'!$D$4,IF(C106="Dublagem Cretone PES",'Custos insumos'!$D$7,IF(C106="Dublagem Barreira",'Custos insumos'!$D$11,IF(C106="Dublagem - MO + Filme",'Custos insumos'!$D$4,IF(C106="Dublagem Cretone HM50",'Custos insumos'!$D$26,IF(C106="Dublagem Cretone HM70",'Custos insumos'!$F$10,)))))))))))))</f>
        <v>1.1232</v>
      </c>
      <c r="N106" s="30">
        <f>IF(B106="Texion Textil",0,IF(B106="Três Elos",0,IF(C106="Malha",0,IF(C106="Dublagem Cretone",'Custos insumos'!$D$23,IF(C106="Dublagem Spun",'Custos insumos'!$D$16,IF(C106="Espelhamento",0,IF(C106="Espelhamento 2x",0,IF(C106="Esp. + Pel.",0,IF(C106="Pel. + Spun",'Custos insumos'!$D$16,IF(C106="Dublagem Cretone PES",'Custos insumos'!$F$25,IF(C106="Dublagem Barreira",'Custos insumos'!$D$22,)))))))))))</f>
        <v>0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4.25" customHeight="1" x14ac:dyDescent="0.35">
      <c r="A107" s="18"/>
      <c r="B107" s="22" t="s">
        <v>305</v>
      </c>
      <c r="C107" s="32" t="s">
        <v>106</v>
      </c>
      <c r="D107" s="23"/>
      <c r="E107" s="24">
        <v>1</v>
      </c>
      <c r="F107" s="25"/>
      <c r="G107" s="25">
        <v>2.4</v>
      </c>
      <c r="H107" s="26" t="s">
        <v>243</v>
      </c>
      <c r="I107" s="27">
        <f t="shared" si="5"/>
        <v>2.4</v>
      </c>
      <c r="J107" s="28">
        <v>45301</v>
      </c>
      <c r="K107" s="29"/>
      <c r="L107" s="30">
        <f t="shared" si="6"/>
        <v>1.3414997101449273</v>
      </c>
      <c r="M107" s="30">
        <f>IF(B107="Texion Textil",0,IF(C107="Malha",'Custos insumos'!$B$24,IF(C107="Dublagem Cretone",'Custos insumos'!$D$7,IF(C107="Dublagem Spun",'Custos insumos'!$D$4,IF(C107="Espelhamento",'Custos insumos'!$B$11,IF(C107="Espelhamento 2x",2*'Custos insumos'!$B$11,IF(C107="Esp. + Pel.",'Custos insumos'!$B$11,IF(C107="Pel. + Spun",'Custos insumos'!$D$4,IF(C107="Dublagem Cretone PES",'Custos insumos'!$D$7,IF(C107="Dublagem Barreira",'Custos insumos'!$D$11,IF(C107="Dublagem - MO + Filme",'Custos insumos'!$D$4,IF(C107="Dublagem Cretone HM50",'Custos insumos'!$D$26,IF(C107="Dublagem Cretone HM70",'Custos insumos'!$F$10,)))))))))))))</f>
        <v>1.0585002898550726</v>
      </c>
      <c r="N107" s="30">
        <f>IF(B107="Texion Textil",0,IF(B107="Três Elos",0,IF(C107="Malha",0,IF(C107="Dublagem Cretone",'Custos insumos'!$D$23,IF(C107="Dublagem Spun",'Custos insumos'!$D$16,IF(C107="Espelhamento",0,IF(C107="Espelhamento 2x",0,IF(C107="Esp. + Pel.",0,IF(C107="Pel. + Spun",'Custos insumos'!$D$16,IF(C107="Dublagem Cretone PES",'Custos insumos'!$F$25,IF(C107="Dublagem Barreira",'Custos insumos'!$D$22,)))))))))))</f>
        <v>0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4.25" customHeight="1" x14ac:dyDescent="0.35">
      <c r="A108" s="18"/>
      <c r="B108" s="22" t="s">
        <v>181</v>
      </c>
      <c r="C108" s="23" t="s">
        <v>144</v>
      </c>
      <c r="D108" s="23"/>
      <c r="E108" s="24">
        <v>1</v>
      </c>
      <c r="F108" s="25">
        <v>0.32</v>
      </c>
      <c r="G108" s="25">
        <v>0.6</v>
      </c>
      <c r="H108" s="26" t="s">
        <v>243</v>
      </c>
      <c r="I108" s="27">
        <f t="shared" si="5"/>
        <v>0.6</v>
      </c>
      <c r="J108" s="28">
        <v>45301</v>
      </c>
      <c r="K108" s="29"/>
      <c r="L108" s="30">
        <f t="shared" si="6"/>
        <v>0.6</v>
      </c>
      <c r="M108" s="30">
        <f>IF(B108="Texion Textil",0,IF(C108="Malha",'Custos insumos'!$B$24,IF(C108="Dublagem Cretone",'Custos insumos'!$D$7,IF(C108="Dublagem Spun",'Custos insumos'!$D$4,IF(C108="Espelhamento",'Custos insumos'!$B$11,IF(C108="Espelhamento 2x",2*'Custos insumos'!$B$11,IF(C108="Esp. + Pel.",'Custos insumos'!$B$11,IF(C108="Pel. + Spun",'Custos insumos'!$D$4,IF(C108="Dublagem Cretone PES",'Custos insumos'!$D$7,IF(C108="Dublagem Barreira",'Custos insumos'!$D$11,IF(C108="Dublagem - MO + Filme",'Custos insumos'!$D$4,IF(C108="Dublagem Cretone HM50",'Custos insumos'!$D$26,IF(C108="Dublagem Cretone HM70",'Custos insumos'!$F$10,)))))))))))))</f>
        <v>0</v>
      </c>
      <c r="N108" s="30">
        <f>IF(B108="Texion Textil",0,IF(B108="Três Elos",0,IF(C108="Malha",0,IF(C108="Dublagem Cretone",'Custos insumos'!$D$23,IF(C108="Dublagem Spun",'Custos insumos'!$D$16,IF(C108="Espelhamento",0,IF(C108="Espelhamento 2x",0,IF(C108="Esp. + Pel.",0,IF(C108="Pel. + Spun",'Custos insumos'!$D$16,IF(C108="Dublagem Cretone PES",'Custos insumos'!$F$25,IF(C108="Dublagem Barreira",'Custos insumos'!$D$22,)))))))))))</f>
        <v>0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4.25" customHeight="1" x14ac:dyDescent="0.35">
      <c r="A109" s="18"/>
      <c r="B109" s="22" t="s">
        <v>181</v>
      </c>
      <c r="C109" s="23" t="s">
        <v>254</v>
      </c>
      <c r="D109" s="23"/>
      <c r="E109" s="24">
        <v>2</v>
      </c>
      <c r="F109" s="25">
        <v>0.56999999999999995</v>
      </c>
      <c r="G109" s="25">
        <v>0.75</v>
      </c>
      <c r="H109" s="26" t="s">
        <v>243</v>
      </c>
      <c r="I109" s="27">
        <f t="shared" si="5"/>
        <v>0.375</v>
      </c>
      <c r="J109" s="28">
        <v>45301</v>
      </c>
      <c r="K109" s="29"/>
      <c r="L109" s="30">
        <f t="shared" si="6"/>
        <v>0.75</v>
      </c>
      <c r="M109" s="30">
        <f>IF(B109="Texion Textil",0,IF(C109="Malha",'Custos insumos'!$B$24,IF(C109="Dublagem Cretone",'Custos insumos'!$D$7,IF(C109="Dublagem Spun",'Custos insumos'!$D$4,IF(C109="Espelhamento",'Custos insumos'!$B$11,IF(C109="Espelhamento 2x",2*'Custos insumos'!$B$11,IF(C109="Esp. + Pel.",'Custos insumos'!$B$11,IF(C109="Pel. + Spun",'Custos insumos'!$D$4,IF(C109="Dublagem Cretone PES",'Custos insumos'!$D$7,IF(C109="Dublagem Barreira",'Custos insumos'!$D$11,IF(C109="Dublagem - MO + Filme",'Custos insumos'!$D$4,IF(C109="Dublagem Cretone HM50",'Custos insumos'!$D$26,IF(C109="Dublagem Cretone HM70",'Custos insumos'!$F$10,)))))))))))))</f>
        <v>0</v>
      </c>
      <c r="N109" s="30">
        <f>IF(B109="Texion Textil",0,IF(B109="Três Elos",0,IF(C109="Malha",0,IF(C109="Dublagem Cretone",'Custos insumos'!$D$23,IF(C109="Dublagem Spun",'Custos insumos'!$D$16,IF(C109="Espelhamento",0,IF(C109="Espelhamento 2x",0,IF(C109="Esp. + Pel.",0,IF(C109="Pel. + Spun",'Custos insumos'!$D$16,IF(C109="Dublagem Cretone PES",'Custos insumos'!$F$25,IF(C109="Dublagem Barreira",'Custos insumos'!$D$22,)))))))))))</f>
        <v>0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4.25" customHeight="1" x14ac:dyDescent="0.35">
      <c r="A110" s="18"/>
      <c r="B110" s="22" t="s">
        <v>181</v>
      </c>
      <c r="C110" s="23" t="s">
        <v>142</v>
      </c>
      <c r="D110" s="23"/>
      <c r="E110" s="24">
        <v>1</v>
      </c>
      <c r="F110" s="25">
        <v>0.88</v>
      </c>
      <c r="G110" s="25">
        <v>0.9</v>
      </c>
      <c r="H110" s="26" t="s">
        <v>243</v>
      </c>
      <c r="I110" s="27">
        <f t="shared" si="5"/>
        <v>0.9</v>
      </c>
      <c r="J110" s="28">
        <v>45301</v>
      </c>
      <c r="K110" s="29"/>
      <c r="L110" s="30">
        <f t="shared" si="6"/>
        <v>0.9</v>
      </c>
      <c r="M110" s="30">
        <f>IF(B110="Texion Textil",0,IF(C110="Malha",'Custos insumos'!$B$24,IF(C110="Dublagem Cretone",'Custos insumos'!$D$7,IF(C110="Dublagem Spun",'Custos insumos'!$D$4,IF(C110="Espelhamento",'Custos insumos'!$B$11,IF(C110="Espelhamento 2x",2*'Custos insumos'!$B$11,IF(C110="Esp. + Pel.",'Custos insumos'!$B$11,IF(C110="Pel. + Spun",'Custos insumos'!$D$4,IF(C110="Dublagem Cretone PES",'Custos insumos'!$D$7,IF(C110="Dublagem Barreira",'Custos insumos'!$D$11,IF(C110="Dublagem - MO + Filme",'Custos insumos'!$D$4,IF(C110="Dublagem Cretone HM50",'Custos insumos'!$D$26,IF(C110="Dublagem Cretone HM70",'Custos insumos'!$F$10,)))))))))))))</f>
        <v>0</v>
      </c>
      <c r="N110" s="30">
        <f>IF(B110="Texion Textil",0,IF(B110="Três Elos",0,IF(C110="Malha",0,IF(C110="Dublagem Cretone",'Custos insumos'!$D$23,IF(C110="Dublagem Spun",'Custos insumos'!$D$16,IF(C110="Espelhamento",0,IF(C110="Espelhamento 2x",0,IF(C110="Esp. + Pel.",0,IF(C110="Pel. + Spun",'Custos insumos'!$D$16,IF(C110="Dublagem Cretone PES",'Custos insumos'!$F$25,IF(C110="Dublagem Barreira",'Custos insumos'!$D$22,)))))))))))</f>
        <v>0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4.25" customHeight="1" x14ac:dyDescent="0.35">
      <c r="A111" s="18" t="s">
        <v>256</v>
      </c>
      <c r="B111" s="22" t="s">
        <v>206</v>
      </c>
      <c r="C111" s="23" t="s">
        <v>144</v>
      </c>
      <c r="D111" s="23"/>
      <c r="E111" s="24">
        <v>1</v>
      </c>
      <c r="F111" s="25">
        <v>1.03</v>
      </c>
      <c r="G111" s="25">
        <v>0.6</v>
      </c>
      <c r="H111" s="26" t="s">
        <v>243</v>
      </c>
      <c r="I111" s="27">
        <f t="shared" si="5"/>
        <v>0.6</v>
      </c>
      <c r="J111" s="28">
        <v>45301</v>
      </c>
      <c r="K111" s="29" t="s">
        <v>307</v>
      </c>
      <c r="L111" s="30">
        <f t="shared" si="6"/>
        <v>0.6</v>
      </c>
      <c r="M111" s="30">
        <f>IF(B111="Texion Textil",0,IF(C111="Malha",'Custos insumos'!$B$24,IF(C111="Dublagem Cretone",'Custos insumos'!$D$7,IF(C111="Dublagem Spun",'Custos insumos'!$D$4,IF(C111="Espelhamento",'Custos insumos'!$B$11,IF(C111="Espelhamento 2x",2*'Custos insumos'!$B$11,IF(C111="Esp. + Pel.",'Custos insumos'!$B$11,IF(C111="Pel. + Spun",'Custos insumos'!$D$4,IF(C111="Dublagem Cretone PES",'Custos insumos'!$D$7,IF(C111="Dublagem Barreira",'Custos insumos'!$D$11,IF(C111="Dublagem - MO + Filme",'Custos insumos'!$D$4,IF(C111="Dublagem Cretone HM50",'Custos insumos'!$D$26,IF(C111="Dublagem Cretone HM70",'Custos insumos'!$F$10,)))))))))))))</f>
        <v>0</v>
      </c>
      <c r="N111" s="30">
        <f>IF(B111="Texion Textil",0,IF(B111="Três Elos",0,IF(C111="Malha",0,IF(C111="Dublagem Cretone",'Custos insumos'!$D$23,IF(C111="Dublagem Spun",'Custos insumos'!$D$16,IF(C111="Espelhamento",0,IF(C111="Espelhamento 2x",0,IF(C111="Esp. + Pel.",0,IF(C111="Pel. + Spun",'Custos insumos'!$D$16,IF(C111="Dublagem Cretone PES",'Custos insumos'!$F$25,IF(C111="Dublagem Barreira",'Custos insumos'!$D$22,)))))))))))</f>
        <v>0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4.25" customHeight="1" x14ac:dyDescent="0.35">
      <c r="A112" s="18"/>
      <c r="B112" s="22" t="s">
        <v>206</v>
      </c>
      <c r="C112" s="23" t="s">
        <v>260</v>
      </c>
      <c r="D112" s="23"/>
      <c r="E112" s="24">
        <v>1</v>
      </c>
      <c r="F112" s="25">
        <v>1.03</v>
      </c>
      <c r="G112" s="25">
        <v>1.1499999999999999</v>
      </c>
      <c r="H112" s="26" t="s">
        <v>243</v>
      </c>
      <c r="I112" s="27">
        <f t="shared" si="5"/>
        <v>1.1499999999999999</v>
      </c>
      <c r="J112" s="28">
        <v>45301</v>
      </c>
      <c r="K112" s="29" t="s">
        <v>307</v>
      </c>
      <c r="L112" s="30">
        <f t="shared" si="6"/>
        <v>1.1499999999999999</v>
      </c>
      <c r="M112" s="30">
        <f>IF(B112="Texion Textil",0,IF(C112="Malha",'Custos insumos'!$B$24,IF(C112="Dublagem Cretone",'Custos insumos'!$D$7,IF(C112="Dublagem Spun",'Custos insumos'!$D$4,IF(C112="Espelhamento",'Custos insumos'!$B$11,IF(C112="Espelhamento 2x",2*'Custos insumos'!$B$11,IF(C112="Esp. + Pel.",'Custos insumos'!$B$11,IF(C112="Pel. + Spun",'Custos insumos'!$D$4,IF(C112="Dublagem Cretone PES",'Custos insumos'!$D$7,IF(C112="Dublagem Barreira",'Custos insumos'!$D$11,IF(C112="Dublagem - MO + Filme",'Custos insumos'!$D$4,IF(C112="Dublagem Cretone HM50",'Custos insumos'!$D$26,IF(C112="Dublagem Cretone HM70",'Custos insumos'!$F$10,)))))))))))))</f>
        <v>0</v>
      </c>
      <c r="N112" s="30">
        <f>IF(B112="Texion Textil",0,IF(B112="Três Elos",0,IF(C112="Malha",0,IF(C112="Dublagem Cretone",'Custos insumos'!$D$23,IF(C112="Dublagem Spun",'Custos insumos'!$D$16,IF(C112="Espelhamento",0,IF(C112="Espelhamento 2x",0,IF(C112="Esp. + Pel.",0,IF(C112="Pel. + Spun",'Custos insumos'!$D$16,IF(C112="Dublagem Cretone PES",'Custos insumos'!$F$25,IF(C112="Dublagem Barreira",'Custos insumos'!$D$22,)))))))))))</f>
        <v>0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4.25" customHeight="1" x14ac:dyDescent="0.35">
      <c r="A113" s="18"/>
      <c r="B113" s="22" t="s">
        <v>206</v>
      </c>
      <c r="C113" s="23" t="s">
        <v>257</v>
      </c>
      <c r="D113" s="23"/>
      <c r="E113" s="24">
        <v>1</v>
      </c>
      <c r="F113" s="25">
        <v>1.03</v>
      </c>
      <c r="G113" s="25">
        <v>1.1499999999999999</v>
      </c>
      <c r="H113" s="26" t="s">
        <v>243</v>
      </c>
      <c r="I113" s="27">
        <f t="shared" si="5"/>
        <v>1.1499999999999999</v>
      </c>
      <c r="J113" s="28">
        <v>45301</v>
      </c>
      <c r="K113" s="29" t="s">
        <v>307</v>
      </c>
      <c r="L113" s="30">
        <f t="shared" si="6"/>
        <v>1.1499999999999999</v>
      </c>
      <c r="M113" s="30">
        <f>IF(B113="Texion Textil",0,IF(C113="Malha",'Custos insumos'!$B$24,IF(C113="Dublagem Cretone",'Custos insumos'!$D$7,IF(C113="Dublagem Spun",'Custos insumos'!$D$4,IF(C113="Espelhamento",'Custos insumos'!$B$11,IF(C113="Espelhamento 2x",2*'Custos insumos'!$B$11,IF(C113="Esp. + Pel.",'Custos insumos'!$B$11,IF(C113="Pel. + Spun",'Custos insumos'!$D$4,IF(C113="Dublagem Cretone PES",'Custos insumos'!$D$7,IF(C113="Dublagem Barreira",'Custos insumos'!$D$11,IF(C113="Dublagem - MO + Filme",'Custos insumos'!$D$4,IF(C113="Dublagem Cretone HM50",'Custos insumos'!$D$26,IF(C113="Dublagem Cretone HM70",'Custos insumos'!$F$10,)))))))))))))</f>
        <v>0</v>
      </c>
      <c r="N113" s="30">
        <f>IF(B113="Texion Textil",0,IF(B113="Três Elos",0,IF(C113="Malha",0,IF(C113="Dublagem Cretone",'Custos insumos'!$D$23,IF(C113="Dublagem Spun",'Custos insumos'!$D$16,IF(C113="Espelhamento",0,IF(C113="Espelhamento 2x",0,IF(C113="Esp. + Pel.",0,IF(C113="Pel. + Spun",'Custos insumos'!$D$16,IF(C113="Dublagem Cretone PES",'Custos insumos'!$F$25,IF(C113="Dublagem Barreira",'Custos insumos'!$D$22,)))))))))))</f>
        <v>0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4.25" customHeight="1" x14ac:dyDescent="0.35">
      <c r="A114" s="18"/>
      <c r="B114" s="22" t="s">
        <v>206</v>
      </c>
      <c r="C114" s="23" t="s">
        <v>106</v>
      </c>
      <c r="D114" s="23"/>
      <c r="E114" s="24">
        <v>1</v>
      </c>
      <c r="F114" s="25">
        <v>1.03</v>
      </c>
      <c r="G114" s="25">
        <v>2.4</v>
      </c>
      <c r="H114" s="26" t="s">
        <v>243</v>
      </c>
      <c r="I114" s="27">
        <f t="shared" si="5"/>
        <v>2.4</v>
      </c>
      <c r="J114" s="28">
        <v>45301</v>
      </c>
      <c r="K114" s="29"/>
      <c r="L114" s="30">
        <f t="shared" si="6"/>
        <v>1.3414997101449273</v>
      </c>
      <c r="M114" s="30">
        <f>IF(B114="Texion Textil",0,IF(C114="Malha",'Custos insumos'!$B$24,IF(C114="Dublagem Cretone",'Custos insumos'!$D$7,IF(C114="Dublagem Spun",'Custos insumos'!$D$4,IF(C114="Espelhamento",'Custos insumos'!$B$11,IF(C114="Espelhamento 2x",2*'Custos insumos'!$B$11,IF(C114="Esp. + Pel.",'Custos insumos'!$B$11,IF(C114="Pel. + Spun",'Custos insumos'!$D$4,IF(C114="Dublagem Cretone PES",'Custos insumos'!$D$7,IF(C114="Dublagem Barreira",'Custos insumos'!$D$11,IF(C114="Dublagem - MO + Filme",'Custos insumos'!$D$4,IF(C114="Dublagem Cretone HM50",'Custos insumos'!$D$26,IF(C114="Dublagem Cretone HM70",'Custos insumos'!$F$10,)))))))))))))</f>
        <v>1.0585002898550726</v>
      </c>
      <c r="N114" s="30">
        <f>IF(B114="Texion Textil",0,IF(B114="Três Elos",0,IF(C114="Malha",0,IF(C114="Dublagem Cretone",'Custos insumos'!$D$23,IF(C114="Dublagem Spun",'Custos insumos'!$D$16,IF(C114="Espelhamento",0,IF(C114="Espelhamento 2x",0,IF(C114="Esp. + Pel.",0,IF(C114="Pel. + Spun",'Custos insumos'!$D$16,IF(C114="Dublagem Cretone PES",'Custos insumos'!$F$25,IF(C114="Dublagem Barreira",'Custos insumos'!$D$22,)))))))))))</f>
        <v>0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4.25" customHeight="1" x14ac:dyDescent="0.35">
      <c r="A115" s="18"/>
      <c r="B115" s="22" t="s">
        <v>206</v>
      </c>
      <c r="C115" s="23" t="s">
        <v>308</v>
      </c>
      <c r="D115" s="23"/>
      <c r="E115" s="24">
        <v>1</v>
      </c>
      <c r="F115" s="25"/>
      <c r="G115" s="25">
        <f>(3.5*1.5*1.2)+1.8</f>
        <v>8.1</v>
      </c>
      <c r="H115" s="26" t="s">
        <v>243</v>
      </c>
      <c r="I115" s="27"/>
      <c r="J115" s="28"/>
      <c r="K115" s="29"/>
      <c r="L115" s="30"/>
      <c r="M115" s="30">
        <f>IF(B115="Texion Textil",0,IF(C115="Malha",'Custos insumos'!$B$24,IF(C115="Dublagem Cretone",'Custos insumos'!$D$7,IF(C115="Dublagem Spun",'Custos insumos'!$D$4,IF(C115="Espelhamento",'Custos insumos'!$B$11,IF(C115="Espelhamento 2x",2*'Custos insumos'!$B$11,IF(C115="Esp. + Pel.",'Custos insumos'!$B$11,IF(C115="Pel. + Spun",'Custos insumos'!$D$4,IF(C115="Dublagem Cretone PES",'Custos insumos'!$D$7,IF(C115="Dublagem Barreira",'Custos insumos'!$D$11,IF(C115="Dublagem - MO + Filme",'Custos insumos'!$D$4,IF(C115="Dublagem Cretone HM50",'Custos insumos'!$D$26,IF(C115="Dublagem Cretone HM70",'Custos insumos'!$F$10,)))))))))))))</f>
        <v>0</v>
      </c>
      <c r="N115" s="30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4.25" customHeight="1" x14ac:dyDescent="0.35">
      <c r="A116" s="18"/>
      <c r="B116" s="22" t="s">
        <v>309</v>
      </c>
      <c r="C116" s="23" t="s">
        <v>254</v>
      </c>
      <c r="D116" s="23"/>
      <c r="E116" s="24">
        <v>1</v>
      </c>
      <c r="F116" s="25"/>
      <c r="G116" s="27">
        <v>0.8</v>
      </c>
      <c r="H116" s="26"/>
      <c r="I116" s="27"/>
      <c r="J116" s="28"/>
      <c r="K116" s="29"/>
      <c r="L116" s="30">
        <f t="shared" ref="L116:L184" si="7">G116-M116-N116</f>
        <v>0.8</v>
      </c>
      <c r="M116" s="30">
        <f>IF(B116="Texion Textil",0,IF(C116="Malha",'Custos insumos'!$B$24,IF(C116="Dublagem Cretone",'Custos insumos'!$D$7,IF(C116="Dublagem Spun",'Custos insumos'!$D$4,IF(C116="Espelhamento",'Custos insumos'!$B$11,IF(C116="Espelhamento 2x",2*'Custos insumos'!$B$11,IF(C116="Esp. + Pel.",'Custos insumos'!$B$11,IF(C116="Pel. + Spun",'Custos insumos'!$D$4,IF(C116="Dublagem Cretone PES",'Custos insumos'!$D$7,IF(C116="Dublagem Barreira",'Custos insumos'!$D$11,IF(C116="Dublagem - MO + Filme",'Custos insumos'!$D$4,IF(C116="Dublagem Cretone HM50",'Custos insumos'!$D$26,IF(C116="Dublagem Cretone HM70",'Custos insumos'!$F$10,)))))))))))))</f>
        <v>0</v>
      </c>
      <c r="N116" s="30">
        <f>IF(B116="Texion Textil",0,IF(B116="Três Elos",0,IF(C116="Malha",0,IF(C116="Dublagem Cretone",'Custos insumos'!$D$23,IF(C116="Dublagem Spun",'Custos insumos'!$D$16,IF(C116="Espelhamento",0,IF(C116="Espelhamento 2x",0,IF(C116="Esp. + Pel.",0,IF(C116="Pel. + Spun",'Custos insumos'!$D$16,IF(C116="Dublagem Cretone PES",'Custos insumos'!$F$25,IF(C116="Dublagem Barreira",'Custos insumos'!$D$22,)))))))))))</f>
        <v>0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4.25" customHeight="1" x14ac:dyDescent="0.35">
      <c r="A117" s="18"/>
      <c r="B117" s="22" t="s">
        <v>309</v>
      </c>
      <c r="C117" s="23" t="s">
        <v>144</v>
      </c>
      <c r="D117" s="23"/>
      <c r="E117" s="24">
        <v>1</v>
      </c>
      <c r="F117" s="25"/>
      <c r="G117" s="27">
        <v>0.7</v>
      </c>
      <c r="H117" s="26"/>
      <c r="I117" s="27"/>
      <c r="J117" s="28"/>
      <c r="K117" s="29"/>
      <c r="L117" s="30">
        <f t="shared" si="7"/>
        <v>0.7</v>
      </c>
      <c r="M117" s="30">
        <f>IF(B117="Texion Textil",0,IF(C117="Malha",'Custos insumos'!$B$24,IF(C117="Dublagem Cretone",'Custos insumos'!$D$7,IF(C117="Dublagem Spun",'Custos insumos'!$D$4,IF(C117="Espelhamento",'Custos insumos'!$B$11,IF(C117="Espelhamento 2x",2*'Custos insumos'!$B$11,IF(C117="Esp. + Pel.",'Custos insumos'!$B$11,IF(C117="Pel. + Spun",'Custos insumos'!$D$4,IF(C117="Dublagem Cretone PES",'Custos insumos'!$D$7,IF(C117="Dublagem Barreira",'Custos insumos'!$D$11,IF(C117="Dublagem - MO + Filme",'Custos insumos'!$D$4,IF(C117="Dublagem Cretone HM50",'Custos insumos'!$D$26,IF(C117="Dublagem Cretone HM70",'Custos insumos'!$F$10,)))))))))))))</f>
        <v>0</v>
      </c>
      <c r="N117" s="30">
        <f>IF(B117="Texion Textil",0,IF(B117="Três Elos",0,IF(C117="Malha",0,IF(C117="Dublagem Cretone",'Custos insumos'!$D$23,IF(C117="Dublagem Spun",'Custos insumos'!$D$16,IF(C117="Espelhamento",0,IF(C117="Espelhamento 2x",0,IF(C117="Esp. + Pel.",0,IF(C117="Pel. + Spun",'Custos insumos'!$D$16,IF(C117="Dublagem Cretone PES",'Custos insumos'!$F$25,IF(C117="Dublagem Barreira",'Custos insumos'!$D$22,)))))))))))</f>
        <v>0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4.25" customHeight="1" x14ac:dyDescent="0.35">
      <c r="A118" s="18"/>
      <c r="B118" s="22" t="s">
        <v>309</v>
      </c>
      <c r="C118" s="23" t="s">
        <v>142</v>
      </c>
      <c r="D118" s="23"/>
      <c r="E118" s="24">
        <v>1</v>
      </c>
      <c r="F118" s="25"/>
      <c r="G118" s="27">
        <v>0.7</v>
      </c>
      <c r="H118" s="26"/>
      <c r="I118" s="27"/>
      <c r="J118" s="28"/>
      <c r="K118" s="29"/>
      <c r="L118" s="30">
        <f t="shared" si="7"/>
        <v>0.7</v>
      </c>
      <c r="M118" s="30">
        <f>IF(B118="Texion Textil",0,IF(C118="Malha",'Custos insumos'!$B$24,IF(C118="Dublagem Cretone",'Custos insumos'!$D$7,IF(C118="Dublagem Spun",'Custos insumos'!$D$4,IF(C118="Espelhamento",'Custos insumos'!$B$11,IF(C118="Espelhamento 2x",2*'Custos insumos'!$B$11,IF(C118="Esp. + Pel.",'Custos insumos'!$B$11,IF(C118="Pel. + Spun",'Custos insumos'!$D$4,IF(C118="Dublagem Cretone PES",'Custos insumos'!$D$7,IF(C118="Dublagem Barreira",'Custos insumos'!$D$11,IF(C118="Dublagem - MO + Filme",'Custos insumos'!$D$4,IF(C118="Dublagem Cretone HM50",'Custos insumos'!$D$26,IF(C118="Dublagem Cretone HM70",'Custos insumos'!$F$10,)))))))))))))</f>
        <v>0</v>
      </c>
      <c r="N118" s="30">
        <f>IF(B118="Texion Textil",0,IF(B118="Três Elos",0,IF(C118="Malha",0,IF(C118="Dublagem Cretone",'Custos insumos'!$D$23,IF(C118="Dublagem Spun",'Custos insumos'!$D$16,IF(C118="Espelhamento",0,IF(C118="Espelhamento 2x",0,IF(C118="Esp. + Pel.",0,IF(C118="Pel. + Spun",'Custos insumos'!$D$16,IF(C118="Dublagem Cretone PES",'Custos insumos'!$F$25,IF(C118="Dublagem Barreira",'Custos insumos'!$D$22,)))))))))))</f>
        <v>0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4.25" customHeight="1" x14ac:dyDescent="0.35">
      <c r="A119" s="18"/>
      <c r="B119" s="22" t="s">
        <v>309</v>
      </c>
      <c r="C119" s="23" t="s">
        <v>106</v>
      </c>
      <c r="D119" s="23" t="s">
        <v>310</v>
      </c>
      <c r="E119" s="24">
        <v>1</v>
      </c>
      <c r="F119" s="25"/>
      <c r="G119" s="25">
        <v>2.4</v>
      </c>
      <c r="H119" s="26"/>
      <c r="I119" s="27"/>
      <c r="J119" s="28"/>
      <c r="K119" s="29"/>
      <c r="L119" s="30">
        <f t="shared" si="7"/>
        <v>1.3414997101449273</v>
      </c>
      <c r="M119" s="30">
        <f>IF(B119="Texion Textil",0,IF(C119="Malha",'Custos insumos'!$B$24,IF(C119="Dublagem Cretone",'Custos insumos'!$D$7,IF(C119="Dublagem Spun",'Custos insumos'!$D$4,IF(C119="Espelhamento",'Custos insumos'!$B$11,IF(C119="Espelhamento 2x",2*'Custos insumos'!$B$11,IF(C119="Esp. + Pel.",'Custos insumos'!$B$11,IF(C119="Pel. + Spun",'Custos insumos'!$D$4,IF(C119="Dublagem Cretone PES",'Custos insumos'!$D$7,IF(C119="Dublagem Barreira",'Custos insumos'!$D$11,IF(C119="Dublagem - MO + Filme",'Custos insumos'!$D$4,IF(C119="Dublagem Cretone HM50",'Custos insumos'!$D$26,IF(C119="Dublagem Cretone HM70",'Custos insumos'!$F$10,)))))))))))))</f>
        <v>1.0585002898550726</v>
      </c>
      <c r="N119" s="30">
        <f>IF(B119="Texion Textil",0,IF(B119="Três Elos",0,IF(C119="Malha",0,IF(C119="Dublagem Cretone",'Custos insumos'!$D$23,IF(C119="Dublagem Spun",'Custos insumos'!$D$16,IF(C119="Espelhamento",0,IF(C119="Espelhamento 2x",0,IF(C119="Esp. + Pel.",0,IF(C119="Pel. + Spun",'Custos insumos'!$D$16,IF(C119="Dublagem Cretone PES",'Custos insumos'!$F$25,IF(C119="Dublagem Barreira",'Custos insumos'!$D$22,)))))))))))</f>
        <v>0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4.25" customHeight="1" x14ac:dyDescent="0.35">
      <c r="A120" s="18"/>
      <c r="B120" s="22" t="s">
        <v>309</v>
      </c>
      <c r="C120" s="23" t="s">
        <v>249</v>
      </c>
      <c r="D120" s="23" t="s">
        <v>311</v>
      </c>
      <c r="E120" s="24">
        <v>1</v>
      </c>
      <c r="F120" s="25"/>
      <c r="G120" s="27">
        <v>4.5</v>
      </c>
      <c r="H120" s="26"/>
      <c r="I120" s="27"/>
      <c r="J120" s="28"/>
      <c r="K120" s="29"/>
      <c r="L120" s="30">
        <f t="shared" si="7"/>
        <v>2.6590800000000003</v>
      </c>
      <c r="M120" s="30">
        <f>IF(B120="Texion Textil",0,IF(C120="Malha",'Custos insumos'!$B$24,IF(C120="Dublagem Cretone",'Custos insumos'!$D$7,IF(C120="Dublagem Spun",'Custos insumos'!$D$4,IF(C120="Espelhamento",'Custos insumos'!$B$11,IF(C120="Espelhamento 2x",2*'Custos insumos'!$B$11,IF(C120="Esp. + Pel.",'Custos insumos'!$B$11,IF(C120="Pel. + Spun",'Custos insumos'!$D$4,IF(C120="Dublagem Cretone PES",'Custos insumos'!$D$7,IF(C120="Dublagem Barreira",'Custos insumos'!$D$11,IF(C120="Dublagem - MO + Filme",'Custos insumos'!$D$4,IF(C120="Dublagem Cretone HM50",'Custos insumos'!$D$26,IF(C120="Dublagem Cretone HM70",'Custos insumos'!$F$10,)))))))))))))</f>
        <v>1.1232</v>
      </c>
      <c r="N120" s="30">
        <f>IF(B120="Texion Textil",0,IF(B120="Três Elos",0,IF(C120="Malha",0,IF(C120="Dublagem Cretone",'Custos insumos'!$D$23,IF(C120="Dublagem Spun",'Custos insumos'!$D$16,IF(C120="Espelhamento",0,IF(C120="Espelhamento 2x",0,IF(C120="Esp. + Pel.",0,IF(C120="Pel. + Spun",'Custos insumos'!$D$16,IF(C120="Dublagem Cretone PES",'Custos insumos'!$F$25,IF(C120="Dublagem Barreira",'Custos insumos'!$D$22,)))))))))))</f>
        <v>0.71771999999999991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4.25" customHeight="1" x14ac:dyDescent="0.35">
      <c r="A121" s="18"/>
      <c r="B121" s="22" t="s">
        <v>309</v>
      </c>
      <c r="C121" s="23" t="s">
        <v>247</v>
      </c>
      <c r="D121" s="23" t="s">
        <v>312</v>
      </c>
      <c r="E121" s="24">
        <v>1</v>
      </c>
      <c r="F121" s="25"/>
      <c r="G121" s="27">
        <v>5.9</v>
      </c>
      <c r="H121" s="26"/>
      <c r="I121" s="27"/>
      <c r="J121" s="28"/>
      <c r="K121" s="29"/>
      <c r="L121" s="30">
        <f t="shared" si="7"/>
        <v>1.6100000000000008</v>
      </c>
      <c r="M121" s="30">
        <f>IF(B121="Texion Textil",0,IF(C121="Malha",'Custos insumos'!$B$24,IF(C121="Dublagem Cretone",'Custos insumos'!$D$7,IF(C121="Dublagem Spun",'Custos insumos'!$D$4,IF(C121="Espelhamento",'Custos insumos'!$B$11,IF(C121="Espelhamento 2x",2*'Custos insumos'!$B$11,IF(C121="Esp. + Pel.",'Custos insumos'!$B$11,IF(C121="Pel. + Spun",'Custos insumos'!$D$4,IF(C121="Dublagem Cretone PES",'Custos insumos'!$D$7,IF(C121="Dublagem Barreira",'Custos insumos'!$D$11,IF(C121="Dublagem - MO + Filme",'Custos insumos'!$D$4,IF(C121="Dublagem Cretone HM50",'Custos insumos'!$D$26,IF(C121="Dublagem Cretone HM70",'Custos insumos'!$F$10,)))))))))))))</f>
        <v>1.962</v>
      </c>
      <c r="N121" s="30">
        <f>IF(B121="Texion Textil",0,IF(B121="Três Elos",0,IF(C121="Malha",0,IF(C121="Dublagem Cretone",'Custos insumos'!$D$23,IF(C121="Dublagem Spun",'Custos insumos'!$D$16,IF(C121="Espelhamento",0,IF(C121="Espelhamento 2x",0,IF(C121="Esp. + Pel.",0,IF(C121="Pel. + Spun",'Custos insumos'!$D$16,IF(C121="Dublagem Cretone PES",'Custos insumos'!$F$25,IF(C121="Dublagem Barreira",'Custos insumos'!$D$22,)))))))))))</f>
        <v>2.3279999999999998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4.25" customHeight="1" x14ac:dyDescent="0.35">
      <c r="A122" s="18"/>
      <c r="B122" s="22" t="s">
        <v>309</v>
      </c>
      <c r="C122" s="23" t="s">
        <v>251</v>
      </c>
      <c r="D122" s="23" t="s">
        <v>313</v>
      </c>
      <c r="E122" s="24">
        <v>1</v>
      </c>
      <c r="F122" s="25"/>
      <c r="G122" s="27">
        <v>5.9</v>
      </c>
      <c r="H122" s="26"/>
      <c r="I122" s="27"/>
      <c r="J122" s="28"/>
      <c r="K122" s="29"/>
      <c r="L122" s="30">
        <f t="shared" si="7"/>
        <v>1.6100000000000008</v>
      </c>
      <c r="M122" s="30">
        <f>IF(B122="Texion Textil",0,IF(C122="Malha",'Custos insumos'!$B$24,IF(C122="Dublagem Cretone",'Custos insumos'!$D$7,IF(C122="Dublagem Spun",'Custos insumos'!$D$4,IF(C122="Espelhamento",'Custos insumos'!$B$11,IF(C122="Espelhamento 2x",2*'Custos insumos'!$B$11,IF(C122="Esp. + Pel.",'Custos insumos'!$B$11,IF(C122="Pel. + Spun",'Custos insumos'!$D$4,IF(C122="Dublagem Cretone PES",'Custos insumos'!$D$7,IF(C122="Dublagem Barreira",'Custos insumos'!$D$11,IF(C122="Dublagem - MO + Filme",'Custos insumos'!$D$4,IF(C122="Dublagem Cretone HM50",'Custos insumos'!$D$26,IF(C122="Dublagem Cretone HM70",'Custos insumos'!$F$10,)))))))))))))</f>
        <v>1.962</v>
      </c>
      <c r="N122" s="30">
        <f>IF(B122="Texion Textil",0,IF(B122="Três Elos",0,IF(C122="Malha",0,IF(C122="Dublagem Cretone",'Custos insumos'!$D$23,IF(C122="Dublagem Spun",'Custos insumos'!$D$16,IF(C122="Espelhamento",0,IF(C122="Espelhamento 2x",0,IF(C122="Esp. + Pel.",0,IF(C122="Pel. + Spun",'Custos insumos'!$D$16,IF(C122="Dublagem Cretone PES",'Custos insumos'!$F$25,IF(C122="Dublagem Barreira",'Custos insumos'!$D$22,)))))))))))</f>
        <v>2.3279999999999998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4.25" customHeight="1" x14ac:dyDescent="0.35">
      <c r="A123" s="18"/>
      <c r="B123" s="22" t="s">
        <v>210</v>
      </c>
      <c r="C123" s="23" t="s">
        <v>144</v>
      </c>
      <c r="D123" s="23"/>
      <c r="E123" s="24">
        <v>1</v>
      </c>
      <c r="F123" s="25">
        <v>0.5</v>
      </c>
      <c r="G123" s="25">
        <v>0.55000000000000004</v>
      </c>
      <c r="H123" s="26" t="s">
        <v>243</v>
      </c>
      <c r="I123" s="27">
        <f t="shared" ref="I123:I166" si="8">G123/E123</f>
        <v>0.55000000000000004</v>
      </c>
      <c r="J123" s="28">
        <v>45301</v>
      </c>
      <c r="K123" s="29" t="s">
        <v>307</v>
      </c>
      <c r="L123" s="30">
        <f t="shared" si="7"/>
        <v>0.55000000000000004</v>
      </c>
      <c r="M123" s="30">
        <f>IF(B123="Texion Textil",0,IF(C123="Malha",'Custos insumos'!$B$24,IF(C123="Dublagem Cretone",'Custos insumos'!$D$7,IF(C123="Dublagem Spun",'Custos insumos'!$D$4,IF(C123="Espelhamento",'Custos insumos'!$B$11,IF(C123="Espelhamento 2x",2*'Custos insumos'!$B$11,IF(C123="Esp. + Pel.",'Custos insumos'!$B$11,IF(C123="Pel. + Spun",'Custos insumos'!$D$4,IF(C123="Dublagem Cretone PES",'Custos insumos'!$D$7,IF(C123="Dublagem Barreira",'Custos insumos'!$D$11,IF(C123="Dublagem - MO + Filme",'Custos insumos'!$D$4,IF(C123="Dublagem Cretone HM50",'Custos insumos'!$D$26,IF(C123="Dublagem Cretone HM70",'Custos insumos'!$F$10,)))))))))))))</f>
        <v>0</v>
      </c>
      <c r="N123" s="30">
        <f>IF(B123="Texion Textil",0,IF(B123="Três Elos",0,IF(C123="Malha",0,IF(C123="Dublagem Cretone",'Custos insumos'!$D$23,IF(C123="Dublagem Spun",'Custos insumos'!$D$16,IF(C123="Espelhamento",0,IF(C123="Espelhamento 2x",0,IF(C123="Esp. + Pel.",0,IF(C123="Pel. + Spun",'Custos insumos'!$D$16,IF(C123="Dublagem Cretone PES",'Custos insumos'!$F$25,IF(C123="Dublagem Barreira",'Custos insumos'!$D$22,)))))))))))</f>
        <v>0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4.25" customHeight="1" x14ac:dyDescent="0.35">
      <c r="A124" s="18"/>
      <c r="B124" s="22" t="s">
        <v>211</v>
      </c>
      <c r="C124" s="32" t="s">
        <v>254</v>
      </c>
      <c r="D124" s="23"/>
      <c r="E124" s="24">
        <v>1</v>
      </c>
      <c r="F124" s="25">
        <v>0.88</v>
      </c>
      <c r="G124" s="34">
        <f t="shared" ref="G124:G128" si="9">1.1*F124</f>
        <v>0.96800000000000008</v>
      </c>
      <c r="H124" s="26" t="s">
        <v>243</v>
      </c>
      <c r="I124" s="27">
        <f t="shared" si="8"/>
        <v>0.96800000000000008</v>
      </c>
      <c r="J124" s="28">
        <v>45301</v>
      </c>
      <c r="K124" s="29" t="s">
        <v>307</v>
      </c>
      <c r="L124" s="30">
        <f t="shared" si="7"/>
        <v>0.96800000000000008</v>
      </c>
      <c r="M124" s="30">
        <f>IF(B124="Texion Textil",0,IF(C124="Malha",'Custos insumos'!$B$24,IF(C124="Dublagem Cretone",'Custos insumos'!$D$7,IF(C124="Dublagem Spun",'Custos insumos'!$D$4,IF(C124="Espelhamento",'Custos insumos'!$B$11,IF(C124="Espelhamento 2x",2*'Custos insumos'!$B$11,IF(C124="Esp. + Pel.",'Custos insumos'!$B$11,IF(C124="Pel. + Spun",'Custos insumos'!$D$4,IF(C124="Dublagem Cretone PES",'Custos insumos'!$D$7,IF(C124="Dublagem Barreira",'Custos insumos'!$D$11,IF(C124="Dublagem - MO + Filme",'Custos insumos'!$D$4,IF(C124="Dublagem Cretone HM50",'Custos insumos'!$D$26,IF(C124="Dublagem Cretone HM70",'Custos insumos'!$F$10,)))))))))))))</f>
        <v>0</v>
      </c>
      <c r="N124" s="30">
        <f>IF(B124="Texion Textil",0,IF(B124="Três Elos",0,IF(C124="Malha",0,IF(C124="Dublagem Cretone",'Custos insumos'!$D$23,IF(C124="Dublagem Spun",'Custos insumos'!$D$16,IF(C124="Espelhamento",0,IF(C124="Espelhamento 2x",0,IF(C124="Esp. + Pel.",0,IF(C124="Pel. + Spun",'Custos insumos'!$D$16,IF(C124="Dublagem Cretone PES",'Custos insumos'!$F$25,IF(C124="Dublagem Barreira",'Custos insumos'!$D$22,)))))))))))</f>
        <v>0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4.25" customHeight="1" x14ac:dyDescent="0.35">
      <c r="A125" s="18"/>
      <c r="B125" s="22" t="s">
        <v>211</v>
      </c>
      <c r="C125" s="32" t="s">
        <v>257</v>
      </c>
      <c r="D125" s="23"/>
      <c r="E125" s="24">
        <v>1</v>
      </c>
      <c r="F125" s="25">
        <v>1.21</v>
      </c>
      <c r="G125" s="34">
        <f t="shared" si="9"/>
        <v>1.331</v>
      </c>
      <c r="H125" s="26" t="s">
        <v>243</v>
      </c>
      <c r="I125" s="27">
        <f t="shared" si="8"/>
        <v>1.331</v>
      </c>
      <c r="J125" s="28">
        <v>45301</v>
      </c>
      <c r="K125" s="29" t="s">
        <v>307</v>
      </c>
      <c r="L125" s="30">
        <f t="shared" si="7"/>
        <v>1.331</v>
      </c>
      <c r="M125" s="30">
        <f>IF(B125="Texion Textil",0,IF(C125="Malha",'Custos insumos'!$B$24,IF(C125="Dublagem Cretone",'Custos insumos'!$D$7,IF(C125="Dublagem Spun",'Custos insumos'!$D$4,IF(C125="Espelhamento",'Custos insumos'!$B$11,IF(C125="Espelhamento 2x",2*'Custos insumos'!$B$11,IF(C125="Esp. + Pel.",'Custos insumos'!$B$11,IF(C125="Pel. + Spun",'Custos insumos'!$D$4,IF(C125="Dublagem Cretone PES",'Custos insumos'!$D$7,IF(C125="Dublagem Barreira",'Custos insumos'!$D$11,IF(C125="Dublagem - MO + Filme",'Custos insumos'!$D$4,IF(C125="Dublagem Cretone HM50",'Custos insumos'!$D$26,IF(C125="Dublagem Cretone HM70",'Custos insumos'!$F$10,)))))))))))))</f>
        <v>0</v>
      </c>
      <c r="N125" s="30">
        <f>IF(B125="Texion Textil",0,IF(B125="Três Elos",0,IF(C125="Malha",0,IF(C125="Dublagem Cretone",'Custos insumos'!$D$23,IF(C125="Dublagem Spun",'Custos insumos'!$D$16,IF(C125="Espelhamento",0,IF(C125="Espelhamento 2x",0,IF(C125="Esp. + Pel.",0,IF(C125="Pel. + Spun",'Custos insumos'!$D$16,IF(C125="Dublagem Cretone PES",'Custos insumos'!$F$25,IF(C125="Dublagem Barreira",'Custos insumos'!$D$22,)))))))))))</f>
        <v>0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4.25" customHeight="1" x14ac:dyDescent="0.35">
      <c r="A126" s="18"/>
      <c r="B126" s="22" t="s">
        <v>211</v>
      </c>
      <c r="C126" s="32" t="s">
        <v>142</v>
      </c>
      <c r="D126" s="23"/>
      <c r="E126" s="24">
        <v>1</v>
      </c>
      <c r="F126" s="25">
        <v>0.69</v>
      </c>
      <c r="G126" s="34">
        <f t="shared" si="9"/>
        <v>0.75900000000000001</v>
      </c>
      <c r="H126" s="26" t="s">
        <v>243</v>
      </c>
      <c r="I126" s="27">
        <f t="shared" si="8"/>
        <v>0.75900000000000001</v>
      </c>
      <c r="J126" s="28">
        <v>45301</v>
      </c>
      <c r="K126" s="29" t="s">
        <v>307</v>
      </c>
      <c r="L126" s="30">
        <f t="shared" si="7"/>
        <v>0.75900000000000001</v>
      </c>
      <c r="M126" s="30">
        <f>IF(B126="Texion Textil",0,IF(C126="Malha",'Custos insumos'!$B$24,IF(C126="Dublagem Cretone",'Custos insumos'!$D$7,IF(C126="Dublagem Spun",'Custos insumos'!$D$4,IF(C126="Espelhamento",'Custos insumos'!$B$11,IF(C126="Espelhamento 2x",2*'Custos insumos'!$B$11,IF(C126="Esp. + Pel.",'Custos insumos'!$B$11,IF(C126="Pel. + Spun",'Custos insumos'!$D$4,IF(C126="Dublagem Cretone PES",'Custos insumos'!$D$7,IF(C126="Dublagem Barreira",'Custos insumos'!$D$11,IF(C126="Dublagem - MO + Filme",'Custos insumos'!$D$4,IF(C126="Dublagem Cretone HM50",'Custos insumos'!$D$26,IF(C126="Dublagem Cretone HM70",'Custos insumos'!$F$10,)))))))))))))</f>
        <v>0</v>
      </c>
      <c r="N126" s="30">
        <f>IF(B126="Texion Textil",0,IF(B126="Três Elos",0,IF(C126="Malha",0,IF(C126="Dublagem Cretone",'Custos insumos'!$D$23,IF(C126="Dublagem Spun",'Custos insumos'!$D$16,IF(C126="Espelhamento",0,IF(C126="Espelhamento 2x",0,IF(C126="Esp. + Pel.",0,IF(C126="Pel. + Spun",'Custos insumos'!$D$16,IF(C126="Dublagem Cretone PES",'Custos insumos'!$F$25,IF(C126="Dublagem Barreira",'Custos insumos'!$D$22,)))))))))))</f>
        <v>0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4.25" customHeight="1" x14ac:dyDescent="0.35">
      <c r="A127" s="18"/>
      <c r="B127" s="22" t="s">
        <v>212</v>
      </c>
      <c r="C127" s="32" t="s">
        <v>261</v>
      </c>
      <c r="D127" s="23"/>
      <c r="E127" s="24">
        <v>1</v>
      </c>
      <c r="F127" s="25">
        <v>1.1499999999999999</v>
      </c>
      <c r="G127" s="25">
        <f t="shared" si="9"/>
        <v>1.2649999999999999</v>
      </c>
      <c r="H127" s="26" t="s">
        <v>243</v>
      </c>
      <c r="I127" s="27">
        <f t="shared" si="8"/>
        <v>1.2649999999999999</v>
      </c>
      <c r="J127" s="28">
        <v>45301</v>
      </c>
      <c r="K127" s="29" t="s">
        <v>307</v>
      </c>
      <c r="L127" s="30">
        <f t="shared" si="7"/>
        <v>1.2649999999999999</v>
      </c>
      <c r="M127" s="30">
        <f>IF(B127="Texion Textil",0,IF(C127="Malha",'Custos insumos'!$B$24,IF(C127="Dublagem Cretone",'Custos insumos'!$D$7,IF(C127="Dublagem Spun",'Custos insumos'!$D$4,IF(C127="Espelhamento",'Custos insumos'!$B$11,IF(C127="Espelhamento 2x",2*'Custos insumos'!$B$11,IF(C127="Esp. + Pel.",'Custos insumos'!$B$11,IF(C127="Pel. + Spun",'Custos insumos'!$D$4,IF(C127="Dublagem Cretone PES",'Custos insumos'!$D$7,IF(C127="Dublagem Barreira",'Custos insumos'!$D$11,IF(C127="Dublagem - MO + Filme",'Custos insumos'!$D$4,IF(C127="Dublagem Cretone HM50",'Custos insumos'!$D$26,IF(C127="Dublagem Cretone HM70",'Custos insumos'!$F$10,)))))))))))))</f>
        <v>0</v>
      </c>
      <c r="N127" s="30">
        <f>IF(B127="Texion Textil",0,IF(B127="Três Elos",0,IF(C127="Malha",0,IF(C127="Dublagem Cretone",'Custos insumos'!$D$23,IF(C127="Dublagem Spun",'Custos insumos'!$D$16,IF(C127="Espelhamento",0,IF(C127="Espelhamento 2x",0,IF(C127="Esp. + Pel.",0,IF(C127="Pel. + Spun",'Custos insumos'!$D$16,IF(C127="Dublagem Cretone PES",'Custos insumos'!$F$25,IF(C127="Dublagem Barreira",'Custos insumos'!$D$22,)))))))))))</f>
        <v>0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4.25" customHeight="1" x14ac:dyDescent="0.35">
      <c r="A128" s="18"/>
      <c r="B128" s="22" t="s">
        <v>212</v>
      </c>
      <c r="C128" s="32" t="s">
        <v>260</v>
      </c>
      <c r="D128" s="23"/>
      <c r="E128" s="24">
        <v>1</v>
      </c>
      <c r="F128" s="25">
        <v>1.1499999999999999</v>
      </c>
      <c r="G128" s="34">
        <f t="shared" si="9"/>
        <v>1.2649999999999999</v>
      </c>
      <c r="H128" s="26" t="s">
        <v>243</v>
      </c>
      <c r="I128" s="27">
        <f t="shared" si="8"/>
        <v>1.2649999999999999</v>
      </c>
      <c r="J128" s="28">
        <v>45301</v>
      </c>
      <c r="K128" s="29" t="s">
        <v>307</v>
      </c>
      <c r="L128" s="30">
        <f t="shared" si="7"/>
        <v>1.2649999999999999</v>
      </c>
      <c r="M128" s="30">
        <f>IF(B128="Texion Textil",0,IF(C128="Malha",'Custos insumos'!$B$24,IF(C128="Dublagem Cretone",'Custos insumos'!$D$7,IF(C128="Dublagem Spun",'Custos insumos'!$D$4,IF(C128="Espelhamento",'Custos insumos'!$B$11,IF(C128="Espelhamento 2x",2*'Custos insumos'!$B$11,IF(C128="Esp. + Pel.",'Custos insumos'!$B$11,IF(C128="Pel. + Spun",'Custos insumos'!$D$4,IF(C128="Dublagem Cretone PES",'Custos insumos'!$D$7,IF(C128="Dublagem Barreira",'Custos insumos'!$D$11,IF(C128="Dublagem - MO + Filme",'Custos insumos'!$D$4,IF(C128="Dublagem Cretone HM50",'Custos insumos'!$D$26,IF(C128="Dublagem Cretone HM70",'Custos insumos'!$F$10,)))))))))))))</f>
        <v>0</v>
      </c>
      <c r="N128" s="30">
        <f>IF(B128="Texion Textil",0,IF(B128="Três Elos",0,IF(C128="Malha",0,IF(C128="Dublagem Cretone",'Custos insumos'!$D$23,IF(C128="Dublagem Spun",'Custos insumos'!$D$16,IF(C128="Espelhamento",0,IF(C128="Espelhamento 2x",0,IF(C128="Esp. + Pel.",0,IF(C128="Pel. + Spun",'Custos insumos'!$D$16,IF(C128="Dublagem Cretone PES",'Custos insumos'!$F$25,IF(C128="Dublagem Barreira",'Custos insumos'!$D$22,)))))))))))</f>
        <v>0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4.25" customHeight="1" x14ac:dyDescent="0.35">
      <c r="A129" s="18"/>
      <c r="B129" s="22" t="s">
        <v>217</v>
      </c>
      <c r="C129" s="32" t="s">
        <v>144</v>
      </c>
      <c r="D129" s="23"/>
      <c r="E129" s="24">
        <v>1</v>
      </c>
      <c r="F129" s="25">
        <v>0.36</v>
      </c>
      <c r="G129" s="34">
        <v>0.45</v>
      </c>
      <c r="H129" s="26" t="s">
        <v>243</v>
      </c>
      <c r="I129" s="27">
        <f t="shared" si="8"/>
        <v>0.45</v>
      </c>
      <c r="J129" s="28">
        <v>45352</v>
      </c>
      <c r="K129" s="29"/>
      <c r="L129" s="30">
        <f t="shared" si="7"/>
        <v>0.45</v>
      </c>
      <c r="M129" s="30">
        <f>IF(B129="Texion Textil",0,IF(C129="Malha",'Custos insumos'!$B$24,IF(C129="Dublagem Cretone",'Custos insumos'!$D$7,IF(C129="Dublagem Spun",'Custos insumos'!$D$4,IF(C129="Espelhamento",'Custos insumos'!$B$11,IF(C129="Espelhamento 2x",2*'Custos insumos'!$B$11,IF(C129="Esp. + Pel.",'Custos insumos'!$B$11,IF(C129="Pel. + Spun",'Custos insumos'!$D$4,IF(C129="Dublagem Cretone PES",'Custos insumos'!$D$7,IF(C129="Dublagem Barreira",'Custos insumos'!$D$11,IF(C129="Dublagem - MO + Filme",'Custos insumos'!$D$4,IF(C129="Dublagem Cretone HM50",'Custos insumos'!$D$26,IF(C129="Dublagem Cretone HM70",'Custos insumos'!$F$10,)))))))))))))</f>
        <v>0</v>
      </c>
      <c r="N129" s="30">
        <f>IF(B129="Texion Textil",0,IF(B129="Três Elos",0,IF(C129="Malha",0,IF(C129="Dublagem Cretone",'Custos insumos'!$D$23,IF(C129="Dublagem Spun",'Custos insumos'!$D$16,IF(C129="Espelhamento",0,IF(C129="Espelhamento 2x",0,IF(C129="Esp. + Pel.",0,IF(C129="Pel. + Spun",'Custos insumos'!$D$16,IF(C129="Dublagem Cretone PES",'Custos insumos'!$F$25,IF(C129="Dublagem Barreira",'Custos insumos'!$D$22,)))))))))))</f>
        <v>0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4.25" customHeight="1" x14ac:dyDescent="0.35">
      <c r="A130" s="18"/>
      <c r="B130" s="22" t="s">
        <v>217</v>
      </c>
      <c r="C130" s="32" t="s">
        <v>314</v>
      </c>
      <c r="D130" s="23" t="s">
        <v>220</v>
      </c>
      <c r="E130" s="24">
        <v>1</v>
      </c>
      <c r="F130" s="25">
        <v>1.33</v>
      </c>
      <c r="G130" s="41">
        <v>1.4</v>
      </c>
      <c r="H130" s="26" t="s">
        <v>243</v>
      </c>
      <c r="I130" s="27">
        <f t="shared" si="8"/>
        <v>1.4</v>
      </c>
      <c r="J130" s="28">
        <v>45352</v>
      </c>
      <c r="K130" s="29" t="s">
        <v>315</v>
      </c>
      <c r="L130" s="30">
        <f t="shared" si="7"/>
        <v>1.4</v>
      </c>
      <c r="M130" s="30">
        <f>IF(B130="Texion Textil",0,IF(C130="Malha",'Custos insumos'!$B$24,IF(C130="Dublagem Cretone",'Custos insumos'!$D$7,IF(C130="Dublagem Spun",'Custos insumos'!$D$4,IF(C130="Espelhamento",'Custos insumos'!$B$11,IF(C130="Espelhamento 2x",2*'Custos insumos'!$B$11,IF(C130="Esp. + Pel.",'Custos insumos'!$B$11,IF(C130="Pel. + Spun",'Custos insumos'!$D$4,IF(C130="Dublagem Cretone PES",'Custos insumos'!$D$7,IF(C130="Dublagem Barreira",'Custos insumos'!$D$11,IF(C130="Dublagem - MO + Filme",'Custos insumos'!$D$4,IF(C130="Dublagem Cretone HM50",'Custos insumos'!$D$26,IF(C130="Dublagem Cretone HM70",'Custos insumos'!$F$10,)))))))))))))</f>
        <v>0</v>
      </c>
      <c r="N130" s="30">
        <f>IF(B130="Texion Textil",0,IF(B130="Três Elos",0,IF(C130="Malha",0,IF(C130="Dublagem Cretone",'Custos insumos'!$D$23,IF(C130="Dublagem Spun",'Custos insumos'!$D$16,IF(C130="Espelhamento",0,IF(C130="Espelhamento 2x",0,IF(C130="Esp. + Pel.",0,IF(C130="Pel. + Spun",'Custos insumos'!$D$16,IF(C130="Dublagem Cretone PES",'Custos insumos'!$F$25,IF(C130="Dublagem Barreira",'Custos insumos'!$D$22,)))))))))))</f>
        <v>0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4.25" customHeight="1" x14ac:dyDescent="0.35">
      <c r="A131" s="18" t="s">
        <v>256</v>
      </c>
      <c r="B131" s="22" t="s">
        <v>217</v>
      </c>
      <c r="C131" s="23" t="s">
        <v>316</v>
      </c>
      <c r="D131" s="23" t="s">
        <v>317</v>
      </c>
      <c r="E131" s="24">
        <v>1</v>
      </c>
      <c r="F131" s="25"/>
      <c r="G131" s="25">
        <v>1.35</v>
      </c>
      <c r="H131" s="26" t="s">
        <v>243</v>
      </c>
      <c r="I131" s="27">
        <f t="shared" si="8"/>
        <v>1.35</v>
      </c>
      <c r="J131" s="28">
        <v>45352</v>
      </c>
      <c r="K131" s="29"/>
      <c r="L131" s="30">
        <f t="shared" si="7"/>
        <v>1.35</v>
      </c>
      <c r="M131" s="30">
        <f>IF(B131="Texion Textil",0,IF(C131="Malha",'Custos insumos'!$B$24,IF(C131="Dublagem Cretone",'Custos insumos'!$D$7,IF(C131="Dublagem Spun",'Custos insumos'!$D$4,IF(C131="Espelhamento",'Custos insumos'!$B$11,IF(C131="Espelhamento 2x",2*'Custos insumos'!$B$11,IF(C131="Esp. + Pel.",'Custos insumos'!$B$11,IF(C131="Pel. + Spun",'Custos insumos'!$D$4,IF(C131="Dublagem Cretone PES",'Custos insumos'!$D$7,IF(C131="Dublagem Barreira",'Custos insumos'!$D$11,IF(C131="Dublagem - MO + Filme",'Custos insumos'!$D$4,IF(C131="Dublagem Cretone HM50",'Custos insumos'!$D$26,IF(C131="Dublagem Cretone HM70",'Custos insumos'!$F$10,)))))))))))))</f>
        <v>0</v>
      </c>
      <c r="N131" s="30">
        <f>IF(B131="Texion Textil",0,IF(B131="Três Elos",0,IF(C131="Malha",0,IF(C131="Dublagem Cretone",'Custos insumos'!$D$23,IF(C131="Dublagem Spun",'Custos insumos'!$D$16,IF(C131="Espelhamento",0,IF(C131="Espelhamento 2x",0,IF(C131="Esp. + Pel.",0,IF(C131="Pel. + Spun",'Custos insumos'!$D$16,IF(C131="Dublagem Cretone PES",'Custos insumos'!$F$25,IF(C131="Dublagem Barreira",'Custos insumos'!$D$22,)))))))))))</f>
        <v>0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4.25" customHeight="1" x14ac:dyDescent="0.35">
      <c r="A132" s="18" t="s">
        <v>256</v>
      </c>
      <c r="B132" s="22" t="s">
        <v>217</v>
      </c>
      <c r="C132" s="23" t="s">
        <v>142</v>
      </c>
      <c r="D132" s="23"/>
      <c r="E132" s="24">
        <v>1</v>
      </c>
      <c r="F132" s="25">
        <v>0.6</v>
      </c>
      <c r="G132" s="25">
        <v>0.65</v>
      </c>
      <c r="H132" s="26" t="s">
        <v>243</v>
      </c>
      <c r="I132" s="27">
        <f t="shared" si="8"/>
        <v>0.65</v>
      </c>
      <c r="J132" s="28">
        <v>45352</v>
      </c>
      <c r="K132" s="29"/>
      <c r="L132" s="30">
        <f t="shared" si="7"/>
        <v>0.65</v>
      </c>
      <c r="M132" s="30">
        <f>IF(B132="Texion Textil",0,IF(C132="Malha",'Custos insumos'!$B$24,IF(C132="Dublagem Cretone",'Custos insumos'!$D$7,IF(C132="Dublagem Spun",'Custos insumos'!$D$4,IF(C132="Espelhamento",'Custos insumos'!$B$11,IF(C132="Espelhamento 2x",2*'Custos insumos'!$B$11,IF(C132="Esp. + Pel.",'Custos insumos'!$B$11,IF(C132="Pel. + Spun",'Custos insumos'!$D$4,IF(C132="Dublagem Cretone PES",'Custos insumos'!$D$7,IF(C132="Dublagem Barreira",'Custos insumos'!$D$11,IF(C132="Dublagem - MO + Filme",'Custos insumos'!$D$4,IF(C132="Dublagem Cretone HM50",'Custos insumos'!$D$26,IF(C132="Dublagem Cretone HM70",'Custos insumos'!$F$10,)))))))))))))</f>
        <v>0</v>
      </c>
      <c r="N132" s="30">
        <f>IF(B132="Texion Textil",0,IF(B132="Três Elos",0,IF(C132="Malha",0,IF(C132="Dublagem Cretone",'Custos insumos'!$D$23,IF(C132="Dublagem Spun",'Custos insumos'!$D$16,IF(C132="Espelhamento",0,IF(C132="Espelhamento 2x",0,IF(C132="Esp. + Pel.",0,IF(C132="Pel. + Spun",'Custos insumos'!$D$16,IF(C132="Dublagem Cretone PES",'Custos insumos'!$F$25,IF(C132="Dublagem Barreira",'Custos insumos'!$D$22,)))))))))))</f>
        <v>0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4.25" customHeight="1" x14ac:dyDescent="0.35">
      <c r="A133" s="18" t="s">
        <v>256</v>
      </c>
      <c r="B133" s="22" t="s">
        <v>217</v>
      </c>
      <c r="C133" s="23" t="s">
        <v>251</v>
      </c>
      <c r="D133" s="23" t="s">
        <v>222</v>
      </c>
      <c r="E133" s="24">
        <v>1</v>
      </c>
      <c r="F133" s="25">
        <v>0.85</v>
      </c>
      <c r="G133" s="25">
        <v>0.9</v>
      </c>
      <c r="H133" s="26" t="s">
        <v>243</v>
      </c>
      <c r="I133" s="27">
        <f t="shared" si="8"/>
        <v>0.9</v>
      </c>
      <c r="J133" s="28">
        <v>45352</v>
      </c>
      <c r="K133" s="29"/>
      <c r="L133" s="30">
        <f t="shared" si="7"/>
        <v>0.9</v>
      </c>
      <c r="M133" s="30">
        <f>IF(B133="Texion Textil",0,IF(C133="Malha",'Custos insumos'!$B$24,IF(C133="Dublagem Cretone",'Custos insumos'!$D$7,IF(C133="Dublagem Spun",'Custos insumos'!$D$4,IF(C133="Espelhamento",'Custos insumos'!$B$11,IF(C133="Espelhamento 2x",2*'Custos insumos'!$B$11,IF(C133="Esp. + Pel.",'Custos insumos'!$B$11,IF(C133="Pel. + Spun",'Custos insumos'!$D$4,IF(C133="Dublagem Cretone PES",'Custos insumos'!$D$7,IF(C133="Dublagem Barreira",'Custos insumos'!$D$11,IF(C133="Dublagem - MO + Filme",'Custos insumos'!$D$4,IF(C133="Dublagem Cretone HM50",'Custos insumos'!$D$26,IF(C133="Dublagem Cretone HM70",'Custos insumos'!$F$10,)))))))))))))</f>
        <v>0</v>
      </c>
      <c r="N133" s="30">
        <f>IF(B133="Texion Textil",0,IF(B133="Três Elos",0,IF(C133="Malha",0,IF(C133="Dublagem Cretone",'Custos insumos'!$D$23,IF(C133="Dublagem Spun",'Custos insumos'!$D$16,IF(C133="Espelhamento",0,IF(C133="Espelhamento 2x",0,IF(C133="Esp. + Pel.",0,IF(C133="Pel. + Spun",'Custos insumos'!$D$16,IF(C133="Dublagem Cretone PES",'Custos insumos'!$F$25,IF(C133="Dublagem Barreira",'Custos insumos'!$D$22,)))))))))))</f>
        <v>0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4.25" customHeight="1" x14ac:dyDescent="0.35">
      <c r="A134" s="18" t="s">
        <v>256</v>
      </c>
      <c r="B134" s="22" t="s">
        <v>217</v>
      </c>
      <c r="C134" s="23" t="s">
        <v>249</v>
      </c>
      <c r="D134" s="23" t="s">
        <v>86</v>
      </c>
      <c r="E134" s="24">
        <v>1</v>
      </c>
      <c r="F134" s="25">
        <v>0.85</v>
      </c>
      <c r="G134" s="25">
        <v>0.9</v>
      </c>
      <c r="H134" s="26" t="s">
        <v>243</v>
      </c>
      <c r="I134" s="27">
        <f t="shared" si="8"/>
        <v>0.9</v>
      </c>
      <c r="J134" s="28">
        <v>45352</v>
      </c>
      <c r="K134" s="29"/>
      <c r="L134" s="30">
        <f t="shared" si="7"/>
        <v>0.9</v>
      </c>
      <c r="M134" s="30">
        <f>IF(B134="Texion Textil",0,IF(C134="Malha",'Custos insumos'!$B$24,IF(C134="Dublagem Cretone",'Custos insumos'!$D$7,IF(C134="Dublagem Spun",'Custos insumos'!$D$4,IF(C134="Espelhamento",'Custos insumos'!$B$11,IF(C134="Espelhamento 2x",2*'Custos insumos'!$B$11,IF(C134="Esp. + Pel.",'Custos insumos'!$B$11,IF(C134="Pel. + Spun",'Custos insumos'!$D$4,IF(C134="Dublagem Cretone PES",'Custos insumos'!$D$7,IF(C134="Dublagem Barreira",'Custos insumos'!$D$11,IF(C134="Dublagem - MO + Filme",'Custos insumos'!$D$4,IF(C134="Dublagem Cretone HM50",'Custos insumos'!$D$26,IF(C134="Dublagem Cretone HM70",'Custos insumos'!$F$10,)))))))))))))</f>
        <v>0</v>
      </c>
      <c r="N134" s="30">
        <f>IF(B134="Texion Textil",0,IF(B134="Três Elos",0,IF(C134="Malha",0,IF(C134="Dublagem Cretone",'Custos insumos'!$D$23,IF(C134="Dublagem Spun",'Custos insumos'!$D$16,IF(C134="Espelhamento",0,IF(C134="Espelhamento 2x",0,IF(C134="Esp. + Pel.",0,IF(C134="Pel. + Spun",'Custos insumos'!$D$16,IF(C134="Dublagem Cretone PES",'Custos insumos'!$F$25,IF(C134="Dublagem Barreira",'Custos insumos'!$D$22,)))))))))))</f>
        <v>0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4.25" customHeight="1" x14ac:dyDescent="0.35">
      <c r="A135" s="18" t="s">
        <v>256</v>
      </c>
      <c r="B135" s="22" t="s">
        <v>217</v>
      </c>
      <c r="C135" s="23" t="s">
        <v>106</v>
      </c>
      <c r="D135" s="23" t="s">
        <v>318</v>
      </c>
      <c r="E135" s="24">
        <v>1</v>
      </c>
      <c r="F135" s="25">
        <v>0.9</v>
      </c>
      <c r="G135" s="25">
        <v>1</v>
      </c>
      <c r="H135" s="26" t="s">
        <v>243</v>
      </c>
      <c r="I135" s="27">
        <f t="shared" si="8"/>
        <v>1</v>
      </c>
      <c r="J135" s="28">
        <v>45352</v>
      </c>
      <c r="K135" s="29"/>
      <c r="L135" s="30">
        <f t="shared" si="7"/>
        <v>1</v>
      </c>
      <c r="M135" s="30">
        <f>IF(B135="Texion Textil",0,IF(C135="Malha",'Custos insumos'!$B$24,IF(C135="Dublagem Cretone",'Custos insumos'!$D$7,IF(C135="Dublagem Spun",'Custos insumos'!$D$4,IF(C135="Espelhamento",'Custos insumos'!$B$11,IF(C135="Espelhamento 2x",2*'Custos insumos'!$B$11,IF(C135="Esp. + Pel.",'Custos insumos'!$B$11,IF(C135="Pel. + Spun",'Custos insumos'!$D$4,IF(C135="Dublagem Cretone PES",'Custos insumos'!$D$7,IF(C135="Dublagem Barreira",'Custos insumos'!$D$11,IF(C135="Dublagem - MO + Filme",'Custos insumos'!$D$4,IF(C135="Dublagem Cretone HM50",'Custos insumos'!$D$26,IF(C135="Dublagem Cretone HM70",'Custos insumos'!$F$10,)))))))))))))</f>
        <v>0</v>
      </c>
      <c r="N135" s="30">
        <f>IF(B135="Texion Textil",0,IF(B135="Três Elos",0,IF(C135="Malha",0,IF(C135="Dublagem Cretone",'Custos insumos'!$D$23,IF(C135="Dublagem Spun",'Custos insumos'!$D$16,IF(C135="Espelhamento",0,IF(C135="Espelhamento 2x",0,IF(C135="Esp. + Pel.",0,IF(C135="Pel. + Spun",'Custos insumos'!$D$16,IF(C135="Dublagem Cretone PES",'Custos insumos'!$F$25,IF(C135="Dublagem Barreira",'Custos insumos'!$D$22,)))))))))))</f>
        <v>0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4.25" customHeight="1" x14ac:dyDescent="0.35">
      <c r="A136" s="18" t="s">
        <v>256</v>
      </c>
      <c r="B136" s="22" t="s">
        <v>217</v>
      </c>
      <c r="C136" s="23" t="s">
        <v>254</v>
      </c>
      <c r="D136" s="23"/>
      <c r="E136" s="24">
        <v>1</v>
      </c>
      <c r="F136" s="25">
        <v>0.36</v>
      </c>
      <c r="G136" s="25">
        <v>0.4</v>
      </c>
      <c r="H136" s="26" t="s">
        <v>243</v>
      </c>
      <c r="I136" s="27">
        <f t="shared" si="8"/>
        <v>0.4</v>
      </c>
      <c r="J136" s="28">
        <v>45352</v>
      </c>
      <c r="K136" s="29"/>
      <c r="L136" s="30">
        <f t="shared" si="7"/>
        <v>0.4</v>
      </c>
      <c r="M136" s="30">
        <f>IF(B136="Texion Textil",0,IF(C136="Malha",'Custos insumos'!$B$24,IF(C136="Dublagem Cretone",'Custos insumos'!$D$7,IF(C136="Dublagem Spun",'Custos insumos'!$D$4,IF(C136="Espelhamento",'Custos insumos'!$B$11,IF(C136="Espelhamento 2x",2*'Custos insumos'!$B$11,IF(C136="Esp. + Pel.",'Custos insumos'!$B$11,IF(C136="Pel. + Spun",'Custos insumos'!$D$4,IF(C136="Dublagem Cretone PES",'Custos insumos'!$D$7,IF(C136="Dublagem Barreira",'Custos insumos'!$D$11,IF(C136="Dublagem - MO + Filme",'Custos insumos'!$D$4,IF(C136="Dublagem Cretone HM50",'Custos insumos'!$D$26,IF(C136="Dublagem Cretone HM70",'Custos insumos'!$F$10,)))))))))))))</f>
        <v>0</v>
      </c>
      <c r="N136" s="30">
        <f>IF(B136="Texion Textil",0,IF(B136="Três Elos",0,IF(C136="Malha",0,IF(C136="Dublagem Cretone",'Custos insumos'!$D$23,IF(C136="Dublagem Spun",'Custos insumos'!$D$16,IF(C136="Espelhamento",0,IF(C136="Espelhamento 2x",0,IF(C136="Esp. + Pel.",0,IF(C136="Pel. + Spun",'Custos insumos'!$D$16,IF(C136="Dublagem Cretone PES",'Custos insumos'!$F$25,IF(C136="Dublagem Barreira",'Custos insumos'!$D$22,)))))))))))</f>
        <v>0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4.25" customHeight="1" x14ac:dyDescent="0.35">
      <c r="A137" s="18" t="s">
        <v>256</v>
      </c>
      <c r="B137" s="22" t="s">
        <v>217</v>
      </c>
      <c r="C137" s="23" t="s">
        <v>267</v>
      </c>
      <c r="D137" s="23" t="s">
        <v>223</v>
      </c>
      <c r="E137" s="24">
        <v>1</v>
      </c>
      <c r="F137" s="25">
        <v>0.97</v>
      </c>
      <c r="G137" s="25">
        <v>1.05</v>
      </c>
      <c r="H137" s="26" t="s">
        <v>243</v>
      </c>
      <c r="I137" s="27">
        <f t="shared" si="8"/>
        <v>1.05</v>
      </c>
      <c r="J137" s="28">
        <v>45352</v>
      </c>
      <c r="K137" s="29" t="s">
        <v>109</v>
      </c>
      <c r="L137" s="30">
        <f t="shared" si="7"/>
        <v>1.05</v>
      </c>
      <c r="M137" s="30">
        <f>IF(B137="Texion Textil",0,IF(C137="Malha",'Custos insumos'!$B$24,IF(C137="Dublagem Cretone",'Custos insumos'!$D$7,IF(C137="Dublagem Spun",'Custos insumos'!$D$4,IF(C137="Espelhamento",'Custos insumos'!$B$11,IF(C137="Espelhamento 2x",2*'Custos insumos'!$B$11,IF(C137="Esp. + Pel.",'Custos insumos'!$B$11,IF(C137="Pel. + Spun",'Custos insumos'!$D$4,IF(C137="Dublagem Cretone PES",'Custos insumos'!$D$7,IF(C137="Dublagem Barreira",'Custos insumos'!$D$11,IF(C137="Dublagem - MO + Filme",'Custos insumos'!$D$4,IF(C137="Dublagem Cretone HM50",'Custos insumos'!$D$26,IF(C137="Dublagem Cretone HM70",'Custos insumos'!$F$10,)))))))))))))</f>
        <v>0</v>
      </c>
      <c r="N137" s="30">
        <f>IF(B137="Texion Textil",0,IF(B137="Três Elos",0,IF(C137="Malha",0,IF(C137="Dublagem Cretone",'Custos insumos'!$D$23,IF(C137="Dublagem Spun",'Custos insumos'!$D$16,IF(C137="Espelhamento",0,IF(C137="Espelhamento 2x",0,IF(C137="Esp. + Pel.",0,IF(C137="Pel. + Spun",'Custos insumos'!$D$16,IF(C137="Dublagem Cretone PES",'Custos insumos'!$F$25,IF(C137="Dublagem Barreira",'Custos insumos'!$D$22,)))))))))))</f>
        <v>0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4.25" customHeight="1" x14ac:dyDescent="0.35">
      <c r="A138" s="18" t="s">
        <v>256</v>
      </c>
      <c r="B138" s="22" t="s">
        <v>217</v>
      </c>
      <c r="C138" s="23" t="s">
        <v>319</v>
      </c>
      <c r="D138" s="23"/>
      <c r="E138" s="24">
        <v>1</v>
      </c>
      <c r="F138" s="25">
        <v>3.2</v>
      </c>
      <c r="G138" s="25">
        <v>3.25</v>
      </c>
      <c r="H138" s="26" t="s">
        <v>243</v>
      </c>
      <c r="I138" s="27">
        <f t="shared" si="8"/>
        <v>3.25</v>
      </c>
      <c r="J138" s="28">
        <v>45352</v>
      </c>
      <c r="K138" s="29"/>
      <c r="L138" s="30">
        <f t="shared" si="7"/>
        <v>3.25</v>
      </c>
      <c r="M138" s="30">
        <f>IF(B138="Texion Textil",0,IF(C138="Malha",'Custos insumos'!$B$24,IF(C138="Dublagem Cretone",'Custos insumos'!$D$7,IF(C138="Dublagem Spun",'Custos insumos'!$D$4,IF(C138="Espelhamento",'Custos insumos'!$B$11,IF(C138="Espelhamento 2x",2*'Custos insumos'!$B$11,IF(C138="Esp. + Pel.",'Custos insumos'!$B$11,IF(C138="Pel. + Spun",'Custos insumos'!$D$4,IF(C138="Dublagem Cretone PES",'Custos insumos'!$D$7,IF(C138="Dublagem Barreira",'Custos insumos'!$D$11,IF(C138="Dublagem - MO + Filme",'Custos insumos'!$D$4,IF(C138="Dublagem Cretone HM50",'Custos insumos'!$D$26,IF(C138="Dublagem Cretone HM70",'Custos insumos'!$F$10,)))))))))))))</f>
        <v>0</v>
      </c>
      <c r="N138" s="30">
        <f>IF(B138="Texion Textil",0,IF(B138="Três Elos",0,IF(C138="Malha",0,IF(C138="Dublagem Cretone",'Custos insumos'!$D$23,IF(C138="Dublagem Spun",'Custos insumos'!$D$16,IF(C138="Espelhamento",0,IF(C138="Espelhamento 2x",0,IF(C138="Esp. + Pel.",0,IF(C138="Pel. + Spun",'Custos insumos'!$D$16,IF(C138="Dublagem Cretone PES",'Custos insumos'!$F$25,IF(C138="Dublagem Barreira",'Custos insumos'!$D$22,)))))))))))</f>
        <v>0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4.25" customHeight="1" x14ac:dyDescent="0.35">
      <c r="A139" s="18" t="s">
        <v>256</v>
      </c>
      <c r="B139" s="22" t="s">
        <v>217</v>
      </c>
      <c r="C139" s="42" t="s">
        <v>320</v>
      </c>
      <c r="D139" s="23" t="s">
        <v>225</v>
      </c>
      <c r="E139" s="24">
        <v>1</v>
      </c>
      <c r="F139" s="25">
        <v>1.62</v>
      </c>
      <c r="G139" s="25">
        <v>1.85</v>
      </c>
      <c r="H139" s="26" t="s">
        <v>243</v>
      </c>
      <c r="I139" s="27">
        <f t="shared" si="8"/>
        <v>1.85</v>
      </c>
      <c r="J139" s="28">
        <v>45352</v>
      </c>
      <c r="K139" s="29"/>
      <c r="L139" s="30">
        <f t="shared" si="7"/>
        <v>1.85</v>
      </c>
      <c r="M139" s="30">
        <f>IF(B139="Texion Textil",0,IF(C139="Malha",'Custos insumos'!$B$24,IF(C139="Dublagem Cretone",'Custos insumos'!$D$7,IF(C139="Dublagem Spun",'Custos insumos'!$D$4,IF(C139="Espelhamento",'Custos insumos'!$B$11,IF(C139="Espelhamento 2x",2*'Custos insumos'!$B$11,IF(C139="Esp. + Pel.",'Custos insumos'!$B$11,IF(C139="Pel. + Spun",'Custos insumos'!$D$4,IF(C139="Dublagem Cretone PES",'Custos insumos'!$D$7,IF(C139="Dublagem Barreira",'Custos insumos'!$D$11,IF(C139="Dublagem - MO + Filme",'Custos insumos'!$D$4,IF(C139="Dublagem Cretone HM50",'Custos insumos'!$D$26,IF(C139="Dublagem Cretone HM70",'Custos insumos'!$F$10,)))))))))))))</f>
        <v>0</v>
      </c>
      <c r="N139" s="30">
        <f>IF(B139="Texion Textil",0,IF(B139="Três Elos",0,IF(C139="Malha",0,IF(C139="Dublagem Cretone",'Custos insumos'!$D$23,IF(C139="Dublagem Spun",'Custos insumos'!$D$16,IF(C139="Espelhamento",0,IF(C139="Espelhamento 2x",0,IF(C139="Esp. + Pel.",0,IF(C139="Pel. + Spun",'Custos insumos'!$D$16,IF(C139="Dublagem Cretone PES",'Custos insumos'!$F$25,IF(C139="Dublagem Barreira",'Custos insumos'!$D$22,)))))))))))</f>
        <v>0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4.25" customHeight="1" x14ac:dyDescent="0.35">
      <c r="A140" s="18" t="s">
        <v>256</v>
      </c>
      <c r="B140" s="22" t="s">
        <v>226</v>
      </c>
      <c r="C140" s="23" t="s">
        <v>254</v>
      </c>
      <c r="D140" s="23"/>
      <c r="E140" s="24">
        <v>1</v>
      </c>
      <c r="F140" s="25">
        <v>0.4</v>
      </c>
      <c r="G140" s="25">
        <v>0.4</v>
      </c>
      <c r="H140" s="26" t="s">
        <v>243</v>
      </c>
      <c r="I140" s="27">
        <f t="shared" si="8"/>
        <v>0.4</v>
      </c>
      <c r="J140" s="28">
        <v>45301</v>
      </c>
      <c r="K140" s="29"/>
      <c r="L140" s="30">
        <f t="shared" si="7"/>
        <v>0.4</v>
      </c>
      <c r="M140" s="30">
        <f>IF(B140="Texion Textil",0,IF(C140="Malha",'Custos insumos'!$B$24,IF(C140="Dublagem Cretone",'Custos insumos'!$D$7,IF(C140="Dublagem Spun",'Custos insumos'!$D$4,IF(C140="Espelhamento",'Custos insumos'!$B$11,IF(C140="Espelhamento 2x",2*'Custos insumos'!$B$11,IF(C140="Esp. + Pel.",'Custos insumos'!$B$11,IF(C140="Pel. + Spun",'Custos insumos'!$D$4,IF(C140="Dublagem Cretone PES",'Custos insumos'!$D$7,IF(C140="Dublagem Barreira",'Custos insumos'!$D$11,IF(C140="Dublagem - MO + Filme",'Custos insumos'!$D$4,IF(C140="Dublagem Cretone HM50",'Custos insumos'!$D$26,IF(C140="Dublagem Cretone HM70",'Custos insumos'!$F$10,)))))))))))))</f>
        <v>0</v>
      </c>
      <c r="N140" s="30">
        <f>IF(B140="Texion Textil",0,IF(B140="Três Elos",0,IF(C140="Malha",0,IF(C140="Dublagem Cretone",'Custos insumos'!$D$23,IF(C140="Dublagem Spun",'Custos insumos'!$D$16,IF(C140="Espelhamento",0,IF(C140="Espelhamento 2x",0,IF(C140="Esp. + Pel.",0,IF(C140="Pel. + Spun",'Custos insumos'!$D$16,IF(C140="Dublagem Cretone PES",'Custos insumos'!$F$25,IF(C140="Dublagem Barreira",'Custos insumos'!$D$22,)))))))))))</f>
        <v>0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4.25" customHeight="1" x14ac:dyDescent="0.35">
      <c r="A141" s="18" t="s">
        <v>256</v>
      </c>
      <c r="B141" s="22" t="s">
        <v>226</v>
      </c>
      <c r="C141" s="23" t="s">
        <v>144</v>
      </c>
      <c r="D141" s="23"/>
      <c r="E141" s="24">
        <v>1</v>
      </c>
      <c r="F141" s="25">
        <v>0.4</v>
      </c>
      <c r="G141" s="25">
        <v>0.5</v>
      </c>
      <c r="H141" s="26" t="s">
        <v>243</v>
      </c>
      <c r="I141" s="27">
        <f t="shared" si="8"/>
        <v>0.5</v>
      </c>
      <c r="J141" s="28">
        <v>45301</v>
      </c>
      <c r="K141" s="29"/>
      <c r="L141" s="30">
        <f t="shared" si="7"/>
        <v>0.5</v>
      </c>
      <c r="M141" s="30">
        <f>IF(B141="Texion Textil",0,IF(C141="Malha",'Custos insumos'!$B$24,IF(C141="Dublagem Cretone",'Custos insumos'!$D$7,IF(C141="Dublagem Spun",'Custos insumos'!$D$4,IF(C141="Espelhamento",'Custos insumos'!$B$11,IF(C141="Espelhamento 2x",2*'Custos insumos'!$B$11,IF(C141="Esp. + Pel.",'Custos insumos'!$B$11,IF(C141="Pel. + Spun",'Custos insumos'!$D$4,IF(C141="Dublagem Cretone PES",'Custos insumos'!$D$7,IF(C141="Dublagem Barreira",'Custos insumos'!$D$11,IF(C141="Dublagem - MO + Filme",'Custos insumos'!$D$4,IF(C141="Dublagem Cretone HM50",'Custos insumos'!$D$26,IF(C141="Dublagem Cretone HM70",'Custos insumos'!$F$10,)))))))))))))</f>
        <v>0</v>
      </c>
      <c r="N141" s="30">
        <f>IF(B141="Texion Textil",0,IF(B141="Três Elos",0,IF(C141="Malha",0,IF(C141="Dublagem Cretone",'Custos insumos'!$D$23,IF(C141="Dublagem Spun",'Custos insumos'!$D$16,IF(C141="Espelhamento",0,IF(C141="Espelhamento 2x",0,IF(C141="Esp. + Pel.",0,IF(C141="Pel. + Spun",'Custos insumos'!$D$16,IF(C141="Dublagem Cretone PES",'Custos insumos'!$F$25,IF(C141="Dublagem Barreira",'Custos insumos'!$D$22,)))))))))))</f>
        <v>0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4.25" customHeight="1" x14ac:dyDescent="0.35">
      <c r="A142" s="18" t="s">
        <v>256</v>
      </c>
      <c r="B142" s="22" t="s">
        <v>321</v>
      </c>
      <c r="C142" s="23" t="s">
        <v>322</v>
      </c>
      <c r="D142" s="23"/>
      <c r="E142" s="24">
        <v>1</v>
      </c>
      <c r="F142" s="25">
        <v>9.6999999999999993</v>
      </c>
      <c r="G142" s="25">
        <v>9.6999999999999993</v>
      </c>
      <c r="H142" s="26" t="s">
        <v>243</v>
      </c>
      <c r="I142" s="27">
        <f t="shared" si="8"/>
        <v>9.6999999999999993</v>
      </c>
      <c r="J142" s="28">
        <v>45301</v>
      </c>
      <c r="K142" s="29" t="s">
        <v>248</v>
      </c>
      <c r="L142" s="30">
        <f t="shared" si="7"/>
        <v>6.1497996521739129</v>
      </c>
      <c r="M142" s="30">
        <f>IF(B142="Texion Textil",0,IF(C142="Malha",'Custos insumos'!$B$24,IF(C142="Dublagem Cretone",'Custos insumos'!$D$7,IF(C142="Dublagem Spun",'Custos insumos'!$D$4,IF(C142="Espelhamento",'Custos insumos'!$B$11,IF(C142="Espelhamento 2x",2*'Custos insumos'!$B$11,IF(C142="Esp. + Pel.",'Custos insumos'!$B$11,IF(C142="Pel. + Spun",'Custos insumos'!$D$4,IF(C142="Dublagem Cretone PES",'Custos insumos'!$D$7,IF(C142="Dublagem Barreira",'Custos insumos'!$D$11,IF(C142="Dublagem - MO + Filme",'Custos insumos'!$D$4,IF(C142="Dublagem Cretone HM50",'Custos insumos'!$D$26,IF(C142="Dublagem Cretone HM70",'Custos insumos'!$F$10,)))))))))))))</f>
        <v>1.270200347826087</v>
      </c>
      <c r="N142" s="30">
        <f>IF(B142="Texion Textil",0,IF(B142="Três Elos",0,IF(C142="Malha",0,IF(C142="Dublagem Cretone",'Custos insumos'!$D$23,IF(C142="Dublagem Spun",'Custos insumos'!$D$16,IF(C142="Espelhamento",0,IF(C142="Espelhamento 2x",0,IF(C142="Esp. + Pel.",0,IF(C142="Pel. + Spun",'Custos insumos'!$D$16,IF(C142="Dublagem Cretone PES",'Custos insumos'!$F$25,IF(C142="Dublagem Barreira",'Custos insumos'!$D$22,)))))))))))</f>
        <v>2.2799999999999998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4.25" customHeight="1" x14ac:dyDescent="0.35">
      <c r="A143" s="18" t="s">
        <v>256</v>
      </c>
      <c r="B143" s="22" t="s">
        <v>323</v>
      </c>
      <c r="C143" s="23" t="s">
        <v>142</v>
      </c>
      <c r="D143" s="23"/>
      <c r="E143" s="24">
        <v>1</v>
      </c>
      <c r="F143" s="25">
        <v>0.55000000000000004</v>
      </c>
      <c r="G143" s="25">
        <v>0.65</v>
      </c>
      <c r="H143" s="26" t="s">
        <v>243</v>
      </c>
      <c r="I143" s="27">
        <f t="shared" si="8"/>
        <v>0.65</v>
      </c>
      <c r="J143" s="28">
        <v>45301</v>
      </c>
      <c r="K143" s="29"/>
      <c r="L143" s="30">
        <f t="shared" si="7"/>
        <v>0.65</v>
      </c>
      <c r="M143" s="30">
        <f>IF(B143="Texion Textil",0,IF(C143="Malha",'Custos insumos'!$B$24,IF(C143="Dublagem Cretone",'Custos insumos'!$D$7,IF(C143="Dublagem Spun",'Custos insumos'!$D$4,IF(C143="Espelhamento",'Custos insumos'!$B$11,IF(C143="Espelhamento 2x",2*'Custos insumos'!$B$11,IF(C143="Esp. + Pel.",'Custos insumos'!$B$11,IF(C143="Pel. + Spun",'Custos insumos'!$D$4,IF(C143="Dublagem Cretone PES",'Custos insumos'!$D$7,IF(C143="Dublagem Barreira",'Custos insumos'!$D$11,IF(C143="Dublagem - MO + Filme",'Custos insumos'!$D$4,IF(C143="Dublagem Cretone HM50",'Custos insumos'!$D$26,IF(C143="Dublagem Cretone HM70",'Custos insumos'!$F$10,)))))))))))))</f>
        <v>0</v>
      </c>
      <c r="N143" s="30">
        <f>IF(B143="Texion Textil",0,IF(B143="Três Elos",0,IF(C143="Malha",0,IF(C143="Dublagem Cretone",'Custos insumos'!$D$23,IF(C143="Dublagem Spun",'Custos insumos'!$D$16,IF(C143="Espelhamento",0,IF(C143="Espelhamento 2x",0,IF(C143="Esp. + Pel.",0,IF(C143="Pel. + Spun",'Custos insumos'!$D$16,IF(C143="Dublagem Cretone PES",'Custos insumos'!$F$25,IF(C143="Dublagem Barreira",'Custos insumos'!$D$22,)))))))))))</f>
        <v>0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3.5" customHeight="1" x14ac:dyDescent="0.35">
      <c r="A144" s="18" t="s">
        <v>256</v>
      </c>
      <c r="B144" s="22" t="s">
        <v>228</v>
      </c>
      <c r="C144" s="23" t="s">
        <v>144</v>
      </c>
      <c r="D144" s="23"/>
      <c r="E144" s="24">
        <v>1</v>
      </c>
      <c r="F144" s="25">
        <v>0.5</v>
      </c>
      <c r="G144" s="25">
        <v>0.5</v>
      </c>
      <c r="H144" s="26" t="s">
        <v>243</v>
      </c>
      <c r="I144" s="27">
        <f t="shared" si="8"/>
        <v>0.5</v>
      </c>
      <c r="J144" s="28">
        <v>45301</v>
      </c>
      <c r="K144" s="29"/>
      <c r="L144" s="30">
        <f t="shared" si="7"/>
        <v>0.5</v>
      </c>
      <c r="M144" s="30">
        <f>IF(B144="Texion Textil",0,IF(C144="Malha",'Custos insumos'!$B$24,IF(C144="Dublagem Cretone",'Custos insumos'!$D$7,IF(C144="Dublagem Spun",'Custos insumos'!$D$4,IF(C144="Espelhamento",'Custos insumos'!$B$11,IF(C144="Espelhamento 2x",2*'Custos insumos'!$B$11,IF(C144="Esp. + Pel.",'Custos insumos'!$B$11,IF(C144="Pel. + Spun",'Custos insumos'!$D$4,IF(C144="Dublagem Cretone PES",'Custos insumos'!$D$7,IF(C144="Dublagem Barreira",'Custos insumos'!$D$11,IF(C144="Dublagem - MO + Filme",'Custos insumos'!$D$4,IF(C144="Dublagem Cretone HM50",'Custos insumos'!$D$26,IF(C144="Dublagem Cretone HM70",'Custos insumos'!$F$10,)))))))))))))</f>
        <v>0</v>
      </c>
      <c r="N144" s="30">
        <f>IF(B144="Texion Textil",0,IF(B144="Três Elos",0,IF(C144="Malha",0,IF(C144="Dublagem Cretone",'Custos insumos'!$D$23,IF(C144="Dublagem Spun",'Custos insumos'!$D$16,IF(C144="Espelhamento",0,IF(C144="Espelhamento 2x",0,IF(C144="Esp. + Pel.",0,IF(C144="Pel. + Spun",'Custos insumos'!$D$16,IF(C144="Dublagem Cretone PES",'Custos insumos'!$F$25,IF(C144="Dublagem Barreira",'Custos insumos'!$D$22,)))))))))))</f>
        <v>0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4.25" customHeight="1" x14ac:dyDescent="0.35">
      <c r="A145" s="18" t="s">
        <v>256</v>
      </c>
      <c r="B145" s="22" t="s">
        <v>228</v>
      </c>
      <c r="C145" s="23" t="s">
        <v>142</v>
      </c>
      <c r="D145" s="23"/>
      <c r="E145" s="24">
        <v>1</v>
      </c>
      <c r="F145" s="25">
        <v>0.6</v>
      </c>
      <c r="G145" s="25">
        <v>0.65</v>
      </c>
      <c r="H145" s="26" t="s">
        <v>243</v>
      </c>
      <c r="I145" s="27">
        <f t="shared" si="8"/>
        <v>0.65</v>
      </c>
      <c r="J145" s="28"/>
      <c r="K145" s="29"/>
      <c r="L145" s="30">
        <f t="shared" si="7"/>
        <v>0.65</v>
      </c>
      <c r="M145" s="30">
        <f>IF(B145="Texion Textil",0,IF(C145="Malha",'Custos insumos'!$B$24,IF(C145="Dublagem Cretone",'Custos insumos'!$D$7,IF(C145="Dublagem Spun",'Custos insumos'!$D$4,IF(C145="Espelhamento",'Custos insumos'!$B$11,IF(C145="Espelhamento 2x",2*'Custos insumos'!$B$11,IF(C145="Esp. + Pel.",'Custos insumos'!$B$11,IF(C145="Pel. + Spun",'Custos insumos'!$D$4,IF(C145="Dublagem Cretone PES",'Custos insumos'!$D$7,IF(C145="Dublagem Barreira",'Custos insumos'!$D$11,IF(C145="Dublagem - MO + Filme",'Custos insumos'!$D$4,IF(C145="Dublagem Cretone HM50",'Custos insumos'!$D$26,IF(C145="Dublagem Cretone HM70",'Custos insumos'!$F$10,)))))))))))))</f>
        <v>0</v>
      </c>
      <c r="N145" s="30">
        <f>IF(B145="Texion Textil",0,IF(B145="Três Elos",0,IF(C145="Malha",0,IF(C145="Dublagem Cretone",'Custos insumos'!$D$23,IF(C145="Dublagem Spun",'Custos insumos'!$D$16,IF(C145="Espelhamento",0,IF(C145="Espelhamento 2x",0,IF(C145="Esp. + Pel.",0,IF(C145="Pel. + Spun",'Custos insumos'!$D$16,IF(C145="Dublagem Cretone PES",'Custos insumos'!$F$25,IF(C145="Dublagem Barreira",'Custos insumos'!$D$22,)))))))))))</f>
        <v>0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4.25" customHeight="1" x14ac:dyDescent="0.35">
      <c r="A146" s="18" t="s">
        <v>256</v>
      </c>
      <c r="B146" s="22" t="s">
        <v>228</v>
      </c>
      <c r="C146" s="23" t="s">
        <v>260</v>
      </c>
      <c r="D146" s="23"/>
      <c r="E146" s="24">
        <v>1</v>
      </c>
      <c r="F146" s="25"/>
      <c r="G146" s="25">
        <v>1.1499999999999999</v>
      </c>
      <c r="H146" s="26" t="s">
        <v>243</v>
      </c>
      <c r="I146" s="27">
        <f t="shared" si="8"/>
        <v>1.1499999999999999</v>
      </c>
      <c r="J146" s="28"/>
      <c r="K146" s="29" t="s">
        <v>324</v>
      </c>
      <c r="L146" s="30">
        <f t="shared" si="7"/>
        <v>1.1499999999999999</v>
      </c>
      <c r="M146" s="30">
        <f>IF(B146="Texion Textil",0,IF(C146="Malha",'Custos insumos'!$B$24,IF(C146="Dublagem Cretone",'Custos insumos'!$D$7,IF(C146="Dublagem Spun",'Custos insumos'!$D$4,IF(C146="Espelhamento",'Custos insumos'!$B$11,IF(C146="Espelhamento 2x",2*'Custos insumos'!$B$11,IF(C146="Esp. + Pel.",'Custos insumos'!$B$11,IF(C146="Pel. + Spun",'Custos insumos'!$D$4,IF(C146="Dublagem Cretone PES",'Custos insumos'!$D$7,IF(C146="Dublagem Barreira",'Custos insumos'!$D$11,IF(C146="Dublagem - MO + Filme",'Custos insumos'!$D$4,IF(C146="Dublagem Cretone HM50",'Custos insumos'!$D$26,IF(C146="Dublagem Cretone HM70",'Custos insumos'!$F$10,)))))))))))))</f>
        <v>0</v>
      </c>
      <c r="N146" s="30">
        <f>IF(B146="Texion Textil",0,IF(B146="Três Elos",0,IF(C146="Malha",0,IF(C146="Dublagem Cretone",'Custos insumos'!$D$23,IF(C146="Dublagem Spun",'Custos insumos'!$D$16,IF(C146="Espelhamento",0,IF(C146="Espelhamento 2x",0,IF(C146="Esp. + Pel.",0,IF(C146="Pel. + Spun",'Custos insumos'!$D$16,IF(C146="Dublagem Cretone PES",'Custos insumos'!$F$25,IF(C146="Dublagem Barreira",'Custos insumos'!$D$22,)))))))))))</f>
        <v>0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4.25" customHeight="1" x14ac:dyDescent="0.35">
      <c r="A147" s="18" t="s">
        <v>256</v>
      </c>
      <c r="B147" s="22" t="s">
        <v>228</v>
      </c>
      <c r="C147" s="23" t="s">
        <v>249</v>
      </c>
      <c r="D147" s="23" t="s">
        <v>325</v>
      </c>
      <c r="E147" s="24">
        <v>1</v>
      </c>
      <c r="F147" s="25"/>
      <c r="G147" s="25">
        <v>3.6</v>
      </c>
      <c r="H147" s="26" t="s">
        <v>243</v>
      </c>
      <c r="I147" s="27">
        <f t="shared" si="8"/>
        <v>3.6</v>
      </c>
      <c r="J147" s="28"/>
      <c r="K147" s="29" t="s">
        <v>324</v>
      </c>
      <c r="L147" s="30">
        <f t="shared" si="7"/>
        <v>1.75908</v>
      </c>
      <c r="M147" s="30">
        <f>IF(B147="Texion Textil",0,IF(C147="Malha",'Custos insumos'!$B$24,IF(C147="Dublagem Cretone",'Custos insumos'!$D$7,IF(C147="Dublagem Spun",'Custos insumos'!$D$4,IF(C147="Espelhamento",'Custos insumos'!$B$11,IF(C147="Espelhamento 2x",2*'Custos insumos'!$B$11,IF(C147="Esp. + Pel.",'Custos insumos'!$B$11,IF(C147="Pel. + Spun",'Custos insumos'!$D$4,IF(C147="Dublagem Cretone PES",'Custos insumos'!$D$7,IF(C147="Dublagem Barreira",'Custos insumos'!$D$11,IF(C147="Dublagem - MO + Filme",'Custos insumos'!$D$4,IF(C147="Dublagem Cretone HM50",'Custos insumos'!$D$26,IF(C147="Dublagem Cretone HM70",'Custos insumos'!$F$10,)))))))))))))</f>
        <v>1.1232</v>
      </c>
      <c r="N147" s="30">
        <f>IF(B147="Texion Textil",0,IF(B147="Três Elos",0,IF(C147="Malha",0,IF(C147="Dublagem Cretone",'Custos insumos'!$D$23,IF(C147="Dublagem Spun",'Custos insumos'!$D$16,IF(C147="Espelhamento",0,IF(C147="Espelhamento 2x",0,IF(C147="Esp. + Pel.",0,IF(C147="Pel. + Spun",'Custos insumos'!$D$16,IF(C147="Dublagem Cretone PES",'Custos insumos'!$F$25,IF(C147="Dublagem Barreira",'Custos insumos'!$D$22,)))))))))))</f>
        <v>0.71771999999999991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4.25" customHeight="1" x14ac:dyDescent="0.35">
      <c r="A148" s="18" t="s">
        <v>256</v>
      </c>
      <c r="B148" s="22" t="s">
        <v>229</v>
      </c>
      <c r="C148" s="23" t="s">
        <v>144</v>
      </c>
      <c r="D148" s="23"/>
      <c r="E148" s="24">
        <v>1</v>
      </c>
      <c r="F148" s="25">
        <v>0.5</v>
      </c>
      <c r="G148" s="25">
        <v>0.55000000000000004</v>
      </c>
      <c r="H148" s="26" t="s">
        <v>243</v>
      </c>
      <c r="I148" s="27">
        <f t="shared" si="8"/>
        <v>0.55000000000000004</v>
      </c>
      <c r="J148" s="28">
        <v>45301</v>
      </c>
      <c r="K148" s="29"/>
      <c r="L148" s="30">
        <f t="shared" si="7"/>
        <v>0.55000000000000004</v>
      </c>
      <c r="M148" s="30">
        <f>IF(B148="Texion Textil",0,IF(C148="Malha",'Custos insumos'!$B$24,IF(C148="Dublagem Cretone",'Custos insumos'!$D$7,IF(C148="Dublagem Spun",'Custos insumos'!$D$4,IF(C148="Espelhamento",'Custos insumos'!$B$11,IF(C148="Espelhamento 2x",2*'Custos insumos'!$B$11,IF(C148="Esp. + Pel.",'Custos insumos'!$B$11,IF(C148="Pel. + Spun",'Custos insumos'!$D$4,IF(C148="Dublagem Cretone PES",'Custos insumos'!$D$7,IF(C148="Dublagem Barreira",'Custos insumos'!$D$11,IF(C148="Dublagem - MO + Filme",'Custos insumos'!$D$4,IF(C148="Dublagem Cretone HM50",'Custos insumos'!$D$26,IF(C148="Dublagem Cretone HM70",'Custos insumos'!$F$10,)))))))))))))</f>
        <v>0</v>
      </c>
      <c r="N148" s="30">
        <f>IF(B148="Texion Textil",0,IF(B148="Três Elos",0,IF(C148="Malha",0,IF(C148="Dublagem Cretone",'Custos insumos'!$D$23,IF(C148="Dublagem Spun",'Custos insumos'!$D$16,IF(C148="Espelhamento",0,IF(C148="Espelhamento 2x",0,IF(C148="Esp. + Pel.",0,IF(C148="Pel. + Spun",'Custos insumos'!$D$16,IF(C148="Dublagem Cretone PES",'Custos insumos'!$F$25,IF(C148="Dublagem Barreira",'Custos insumos'!$D$22,)))))))))))</f>
        <v>0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4.25" customHeight="1" x14ac:dyDescent="0.35">
      <c r="A149" s="18" t="s">
        <v>256</v>
      </c>
      <c r="B149" s="22" t="s">
        <v>229</v>
      </c>
      <c r="C149" s="23" t="s">
        <v>254</v>
      </c>
      <c r="D149" s="23"/>
      <c r="E149" s="24">
        <v>3</v>
      </c>
      <c r="F149" s="25">
        <v>1</v>
      </c>
      <c r="G149" s="25">
        <v>1.1000000000000001</v>
      </c>
      <c r="H149" s="26" t="s">
        <v>243</v>
      </c>
      <c r="I149" s="27">
        <f t="shared" si="8"/>
        <v>0.3666666666666667</v>
      </c>
      <c r="J149" s="28">
        <v>45301</v>
      </c>
      <c r="K149" s="29"/>
      <c r="L149" s="30">
        <f t="shared" si="7"/>
        <v>1.1000000000000001</v>
      </c>
      <c r="M149" s="30">
        <f>IF(B149="Texion Textil",0,IF(C149="Malha",'Custos insumos'!$B$24,IF(C149="Dublagem Cretone",'Custos insumos'!$D$7,IF(C149="Dublagem Spun",'Custos insumos'!$D$4,IF(C149="Espelhamento",'Custos insumos'!$B$11,IF(C149="Espelhamento 2x",2*'Custos insumos'!$B$11,IF(C149="Esp. + Pel.",'Custos insumos'!$B$11,IF(C149="Pel. + Spun",'Custos insumos'!$D$4,IF(C149="Dublagem Cretone PES",'Custos insumos'!$D$7,IF(C149="Dublagem Barreira",'Custos insumos'!$D$11,IF(C149="Dublagem - MO + Filme",'Custos insumos'!$D$4,IF(C149="Dublagem Cretone HM50",'Custos insumos'!$D$26,IF(C149="Dublagem Cretone HM70",'Custos insumos'!$F$10,)))))))))))))</f>
        <v>0</v>
      </c>
      <c r="N149" s="30">
        <f>IF(B149="Texion Textil",0,IF(B149="Três Elos",0,IF(C149="Malha",0,IF(C149="Dublagem Cretone",'Custos insumos'!$D$23,IF(C149="Dublagem Spun",'Custos insumos'!$D$16,IF(C149="Espelhamento",0,IF(C149="Espelhamento 2x",0,IF(C149="Esp. + Pel.",0,IF(C149="Pel. + Spun",'Custos insumos'!$D$16,IF(C149="Dublagem Cretone PES",'Custos insumos'!$F$25,IF(C149="Dublagem Barreira",'Custos insumos'!$D$22,)))))))))))</f>
        <v>0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4.25" customHeight="1" x14ac:dyDescent="0.35">
      <c r="A150" s="18" t="s">
        <v>256</v>
      </c>
      <c r="B150" s="22" t="s">
        <v>326</v>
      </c>
      <c r="C150" s="23" t="s">
        <v>144</v>
      </c>
      <c r="D150" s="23"/>
      <c r="E150" s="24">
        <v>1</v>
      </c>
      <c r="F150" s="25">
        <v>0.56999999999999995</v>
      </c>
      <c r="G150" s="25">
        <v>0.65</v>
      </c>
      <c r="H150" s="26" t="s">
        <v>243</v>
      </c>
      <c r="I150" s="27">
        <f t="shared" si="8"/>
        <v>0.65</v>
      </c>
      <c r="J150" s="28">
        <v>45301</v>
      </c>
      <c r="K150" s="29"/>
      <c r="L150" s="30">
        <f t="shared" si="7"/>
        <v>0.65</v>
      </c>
      <c r="M150" s="30">
        <f>IF(B150="Texion Textil",0,IF(C150="Malha",'Custos insumos'!$B$24,IF(C150="Dublagem Cretone",'Custos insumos'!$D$7,IF(C150="Dublagem Spun",'Custos insumos'!$D$4,IF(C150="Espelhamento",'Custos insumos'!$B$11,IF(C150="Espelhamento 2x",2*'Custos insumos'!$B$11,IF(C150="Esp. + Pel.",'Custos insumos'!$B$11,IF(C150="Pel. + Spun",'Custos insumos'!$D$4,IF(C150="Dublagem Cretone PES",'Custos insumos'!$D$7,IF(C150="Dublagem Barreira",'Custos insumos'!$D$11,IF(C150="Dublagem - MO + Filme",'Custos insumos'!$D$4,IF(C150="Dublagem Cretone HM50",'Custos insumos'!$D$26,IF(C150="Dublagem Cretone HM70",'Custos insumos'!$F$10,)))))))))))))</f>
        <v>0</v>
      </c>
      <c r="N150" s="30">
        <f>IF(B150="Texion Textil",0,IF(B150="Três Elos",0,IF(C150="Malha",0,IF(C150="Dublagem Cretone",'Custos insumos'!$D$23,IF(C150="Dublagem Spun",'Custos insumos'!$D$16,IF(C150="Espelhamento",0,IF(C150="Espelhamento 2x",0,IF(C150="Esp. + Pel.",0,IF(C150="Pel. + Spun",'Custos insumos'!$D$16,IF(C150="Dublagem Cretone PES",'Custos insumos'!$F$25,IF(C150="Dublagem Barreira",'Custos insumos'!$D$22,)))))))))))</f>
        <v>0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4.25" customHeight="1" x14ac:dyDescent="0.35">
      <c r="A151" s="18" t="s">
        <v>256</v>
      </c>
      <c r="B151" s="22" t="s">
        <v>326</v>
      </c>
      <c r="C151" s="23" t="s">
        <v>292</v>
      </c>
      <c r="D151" s="23" t="s">
        <v>193</v>
      </c>
      <c r="E151" s="24">
        <v>1</v>
      </c>
      <c r="F151" s="25">
        <v>1.61</v>
      </c>
      <c r="G151" s="25">
        <v>1.65</v>
      </c>
      <c r="H151" s="26" t="s">
        <v>243</v>
      </c>
      <c r="I151" s="27">
        <f t="shared" si="8"/>
        <v>1.65</v>
      </c>
      <c r="J151" s="28">
        <v>45301</v>
      </c>
      <c r="K151" s="29" t="s">
        <v>327</v>
      </c>
      <c r="L151" s="30">
        <f t="shared" si="7"/>
        <v>1.65</v>
      </c>
      <c r="M151" s="30">
        <f>IF(B151="Texion Textil",0,IF(C151="Malha",'Custos insumos'!$B$24,IF(C151="Dublagem Cretone",'Custos insumos'!$D$7,IF(C151="Dublagem Spun",'Custos insumos'!$D$4,IF(C151="Espelhamento",'Custos insumos'!$B$11,IF(C151="Espelhamento 2x",2*'Custos insumos'!$B$11,IF(C151="Esp. + Pel.",'Custos insumos'!$B$11,IF(C151="Pel. + Spun",'Custos insumos'!$D$4,IF(C151="Dublagem Cretone PES",'Custos insumos'!$D$7,IF(C151="Dublagem Barreira",'Custos insumos'!$D$11,IF(C151="Dublagem - MO + Filme",'Custos insumos'!$D$4,IF(C151="Dublagem Cretone HM50",'Custos insumos'!$D$26,IF(C151="Dublagem Cretone HM70",'Custos insumos'!$F$10,)))))))))))))</f>
        <v>0</v>
      </c>
      <c r="N151" s="30">
        <f>IF(B151="Texion Textil",0,IF(B151="Três Elos",0,IF(C151="Malha",0,IF(C151="Dublagem Cretone",'Custos insumos'!$D$23,IF(C151="Dublagem Spun",'Custos insumos'!$D$16,IF(C151="Espelhamento",0,IF(C151="Espelhamento 2x",0,IF(C151="Esp. + Pel.",0,IF(C151="Pel. + Spun",'Custos insumos'!$D$16,IF(C151="Dublagem Cretone PES",'Custos insumos'!$F$25,IF(C151="Dublagem Barreira",'Custos insumos'!$D$22,)))))))))))</f>
        <v>0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4.25" customHeight="1" x14ac:dyDescent="0.35">
      <c r="A152" s="18" t="s">
        <v>256</v>
      </c>
      <c r="B152" s="22" t="s">
        <v>326</v>
      </c>
      <c r="C152" s="23" t="s">
        <v>106</v>
      </c>
      <c r="D152" s="23"/>
      <c r="E152" s="24">
        <v>1</v>
      </c>
      <c r="F152" s="25">
        <v>3.68</v>
      </c>
      <c r="G152" s="25">
        <v>3.7</v>
      </c>
      <c r="H152" s="26" t="s">
        <v>243</v>
      </c>
      <c r="I152" s="27">
        <f t="shared" si="8"/>
        <v>3.7</v>
      </c>
      <c r="J152" s="28">
        <v>45301</v>
      </c>
      <c r="K152" s="29" t="s">
        <v>194</v>
      </c>
      <c r="L152" s="30">
        <f t="shared" si="7"/>
        <v>2.6414997101449273</v>
      </c>
      <c r="M152" s="30">
        <f>IF(B152="Texion Textil",0,IF(C152="Malha",'Custos insumos'!$B$24,IF(C152="Dublagem Cretone",'Custos insumos'!$D$7,IF(C152="Dublagem Spun",'Custos insumos'!$D$4,IF(C152="Espelhamento",'Custos insumos'!$B$11,IF(C152="Espelhamento 2x",2*'Custos insumos'!$B$11,IF(C152="Esp. + Pel.",'Custos insumos'!$B$11,IF(C152="Pel. + Spun",'Custos insumos'!$D$4,IF(C152="Dublagem Cretone PES",'Custos insumos'!$D$7,IF(C152="Dublagem Barreira",'Custos insumos'!$D$11,IF(C152="Dublagem - MO + Filme",'Custos insumos'!$D$4,IF(C152="Dublagem Cretone HM50",'Custos insumos'!$D$26,IF(C152="Dublagem Cretone HM70",'Custos insumos'!$F$10,)))))))))))))</f>
        <v>1.0585002898550726</v>
      </c>
      <c r="N152" s="30">
        <f>IF(B152="Texion Textil",0,IF(B152="Três Elos",0,IF(C152="Malha",0,IF(C152="Dublagem Cretone",'Custos insumos'!$D$23,IF(C152="Dublagem Spun",'Custos insumos'!$D$16,IF(C152="Espelhamento",0,IF(C152="Espelhamento 2x",0,IF(C152="Esp. + Pel.",0,IF(C152="Pel. + Spun",'Custos insumos'!$D$16,IF(C152="Dublagem Cretone PES",'Custos insumos'!$F$25,IF(C152="Dublagem Barreira",'Custos insumos'!$D$22,)))))))))))</f>
        <v>0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4.25" customHeight="1" x14ac:dyDescent="0.35">
      <c r="A153" s="18" t="s">
        <v>256</v>
      </c>
      <c r="B153" s="22" t="s">
        <v>326</v>
      </c>
      <c r="C153" s="23" t="s">
        <v>249</v>
      </c>
      <c r="D153" s="23"/>
      <c r="E153" s="24">
        <v>1</v>
      </c>
      <c r="F153" s="25">
        <v>5.6</v>
      </c>
      <c r="G153" s="25">
        <v>5.6</v>
      </c>
      <c r="H153" s="26" t="s">
        <v>243</v>
      </c>
      <c r="I153" s="27">
        <f t="shared" si="8"/>
        <v>5.6</v>
      </c>
      <c r="J153" s="28">
        <v>45301</v>
      </c>
      <c r="K153" s="29" t="s">
        <v>197</v>
      </c>
      <c r="L153" s="30">
        <f t="shared" si="7"/>
        <v>3.75908</v>
      </c>
      <c r="M153" s="30">
        <f>IF(B153="Texion Textil",0,IF(C153="Malha",'Custos insumos'!$B$24,IF(C153="Dublagem Cretone",'Custos insumos'!$D$7,IF(C153="Dublagem Spun",'Custos insumos'!$D$4,IF(C153="Espelhamento",'Custos insumos'!$B$11,IF(C153="Espelhamento 2x",2*'Custos insumos'!$B$11,IF(C153="Esp. + Pel.",'Custos insumos'!$B$11,IF(C153="Pel. + Spun",'Custos insumos'!$D$4,IF(C153="Dublagem Cretone PES",'Custos insumos'!$D$7,IF(C153="Dublagem Barreira",'Custos insumos'!$D$11,IF(C153="Dublagem - MO + Filme",'Custos insumos'!$D$4,IF(C153="Dublagem Cretone HM50",'Custos insumos'!$D$26,IF(C153="Dublagem Cretone HM70",'Custos insumos'!$F$10,)))))))))))))</f>
        <v>1.1232</v>
      </c>
      <c r="N153" s="30">
        <f>IF(B153="Texion Textil",0,IF(B153="Três Elos",0,IF(C153="Malha",0,IF(C153="Dublagem Cretone",'Custos insumos'!$D$23,IF(C153="Dublagem Spun",'Custos insumos'!$D$16,IF(C153="Espelhamento",0,IF(C153="Espelhamento 2x",0,IF(C153="Esp. + Pel.",0,IF(C153="Pel. + Spun",'Custos insumos'!$D$16,IF(C153="Dublagem Cretone PES",'Custos insumos'!$F$25,IF(C153="Dublagem Barreira",'Custos insumos'!$D$22,)))))))))))</f>
        <v>0.71771999999999991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4.25" customHeight="1" x14ac:dyDescent="0.35">
      <c r="A154" s="18" t="s">
        <v>256</v>
      </c>
      <c r="B154" s="22" t="s">
        <v>326</v>
      </c>
      <c r="C154" s="23" t="s">
        <v>106</v>
      </c>
      <c r="D154" s="23" t="s">
        <v>200</v>
      </c>
      <c r="E154" s="24">
        <v>1</v>
      </c>
      <c r="F154" s="25">
        <v>2.1</v>
      </c>
      <c r="G154" s="25">
        <v>2.35</v>
      </c>
      <c r="H154" s="26" t="s">
        <v>243</v>
      </c>
      <c r="I154" s="27">
        <f t="shared" si="8"/>
        <v>2.35</v>
      </c>
      <c r="J154" s="28">
        <v>45301</v>
      </c>
      <c r="K154" s="29" t="s">
        <v>199</v>
      </c>
      <c r="L154" s="30">
        <f t="shared" si="7"/>
        <v>1.2914997101449275</v>
      </c>
      <c r="M154" s="30">
        <f>IF(B154="Texion Textil",0,IF(C154="Malha",'Custos insumos'!$B$24,IF(C154="Dublagem Cretone",'Custos insumos'!$D$7,IF(C154="Dublagem Spun",'Custos insumos'!$D$4,IF(C154="Espelhamento",'Custos insumos'!$B$11,IF(C154="Espelhamento 2x",2*'Custos insumos'!$B$11,IF(C154="Esp. + Pel.",'Custos insumos'!$B$11,IF(C154="Pel. + Spun",'Custos insumos'!$D$4,IF(C154="Dublagem Cretone PES",'Custos insumos'!$D$7,IF(C154="Dublagem Barreira",'Custos insumos'!$D$11,IF(C154="Dublagem - MO + Filme",'Custos insumos'!$D$4,IF(C154="Dublagem Cretone HM50",'Custos insumos'!$D$26,IF(C154="Dublagem Cretone HM70",'Custos insumos'!$F$10,)))))))))))))</f>
        <v>1.0585002898550726</v>
      </c>
      <c r="N154" s="30">
        <f>IF(B154="Texion Textil",0,IF(B154="Três Elos",0,IF(C154="Malha",0,IF(C154="Dublagem Cretone",'Custos insumos'!$D$23,IF(C154="Dublagem Spun",'Custos insumos'!$D$16,IF(C154="Espelhamento",0,IF(C154="Espelhamento 2x",0,IF(C154="Esp. + Pel.",0,IF(C154="Pel. + Spun",'Custos insumos'!$D$16,IF(C154="Dublagem Cretone PES",'Custos insumos'!$F$25,IF(C154="Dublagem Barreira",'Custos insumos'!$D$22,)))))))))))</f>
        <v>0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4.25" customHeight="1" x14ac:dyDescent="0.35">
      <c r="A155" s="18" t="s">
        <v>256</v>
      </c>
      <c r="B155" s="22" t="s">
        <v>326</v>
      </c>
      <c r="C155" s="23" t="s">
        <v>142</v>
      </c>
      <c r="D155" s="23"/>
      <c r="E155" s="24">
        <v>1</v>
      </c>
      <c r="F155" s="25">
        <v>1.21</v>
      </c>
      <c r="G155" s="25">
        <v>1.25</v>
      </c>
      <c r="H155" s="26" t="s">
        <v>243</v>
      </c>
      <c r="I155" s="27">
        <f t="shared" si="8"/>
        <v>1.25</v>
      </c>
      <c r="J155" s="28">
        <v>45301</v>
      </c>
      <c r="K155" s="29"/>
      <c r="L155" s="30">
        <f t="shared" si="7"/>
        <v>1.25</v>
      </c>
      <c r="M155" s="30">
        <f>IF(B155="Texion Textil",0,IF(C155="Malha",'Custos insumos'!$B$24,IF(C155="Dublagem Cretone",'Custos insumos'!$D$7,IF(C155="Dublagem Spun",'Custos insumos'!$D$4,IF(C155="Espelhamento",'Custos insumos'!$B$11,IF(C155="Espelhamento 2x",2*'Custos insumos'!$B$11,IF(C155="Esp. + Pel.",'Custos insumos'!$B$11,IF(C155="Pel. + Spun",'Custos insumos'!$D$4,IF(C155="Dublagem Cretone PES",'Custos insumos'!$D$7,IF(C155="Dublagem Barreira",'Custos insumos'!$D$11,IF(C155="Dublagem - MO + Filme",'Custos insumos'!$D$4,IF(C155="Dublagem Cretone HM50",'Custos insumos'!$D$26,IF(C155="Dublagem Cretone HM70",'Custos insumos'!$F$10,)))))))))))))</f>
        <v>0</v>
      </c>
      <c r="N155" s="30">
        <f>IF(B155="Texion Textil",0,IF(B155="Três Elos",0,IF(C155="Malha",0,IF(C155="Dublagem Cretone",'Custos insumos'!$D$23,IF(C155="Dublagem Spun",'Custos insumos'!$D$16,IF(C155="Espelhamento",0,IF(C155="Espelhamento 2x",0,IF(C155="Esp. + Pel.",0,IF(C155="Pel. + Spun",'Custos insumos'!$D$16,IF(C155="Dublagem Cretone PES",'Custos insumos'!$F$25,IF(C155="Dublagem Barreira",'Custos insumos'!$D$22,)))))))))))</f>
        <v>0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4.25" customHeight="1" x14ac:dyDescent="0.35">
      <c r="A156" s="18"/>
      <c r="B156" s="22" t="s">
        <v>230</v>
      </c>
      <c r="C156" s="23" t="s">
        <v>68</v>
      </c>
      <c r="D156" s="23"/>
      <c r="E156" s="24">
        <v>1</v>
      </c>
      <c r="F156" s="25">
        <v>18.899999999999999</v>
      </c>
      <c r="G156" s="25">
        <v>20.9</v>
      </c>
      <c r="H156" s="26" t="s">
        <v>246</v>
      </c>
      <c r="I156" s="27">
        <f t="shared" si="8"/>
        <v>20.9</v>
      </c>
      <c r="J156" s="28">
        <v>45301</v>
      </c>
      <c r="K156" s="29"/>
      <c r="L156" s="30">
        <f t="shared" si="7"/>
        <v>8.3999999999999986</v>
      </c>
      <c r="M156" s="30">
        <f>IF(B156="Texion Textil",0,IF(C156="Malha",'Custos insumos'!$B$24,IF(C156="Dublagem Cretone",'Custos insumos'!$D$7,IF(C156="Dublagem Spun",'Custos insumos'!$D$4,IF(C156="Espelhamento",'Custos insumos'!$B$11,IF(C156="Espelhamento 2x",2*'Custos insumos'!$B$11,IF(C156="Esp. + Pel.",'Custos insumos'!$B$11,IF(C156="Pel. + Spun",'Custos insumos'!$D$4,IF(C156="Dublagem Cretone PES",'Custos insumos'!$D$7,IF(C156="Dublagem Barreira",'Custos insumos'!$D$11,IF(C156="Dublagem - MO + Filme",'Custos insumos'!$D$4,IF(C156="Dublagem Cretone HM50",'Custos insumos'!$D$26,IF(C156="Dublagem Cretone HM70",'Custos insumos'!$F$10,)))))))))))))</f>
        <v>12.5</v>
      </c>
      <c r="N156" s="30">
        <f>IF(B156="Texion Textil",0,IF(B156="Três Elos",0,IF(C156="Malha",0,IF(C156="Dublagem Cretone",'Custos insumos'!$D$23,IF(C156="Dublagem Spun",'Custos insumos'!$D$16,IF(C156="Espelhamento",0,IF(C156="Espelhamento 2x",0,IF(C156="Esp. + Pel.",0,IF(C156="Pel. + Spun",'Custos insumos'!$D$16,IF(C156="Dublagem Cretone PES",'Custos insumos'!$F$25,IF(C156="Dublagem Barreira",'Custos insumos'!$D$22,)))))))))))</f>
        <v>0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4.25" customHeight="1" x14ac:dyDescent="0.35">
      <c r="A157" s="18"/>
      <c r="B157" s="22" t="s">
        <v>328</v>
      </c>
      <c r="C157" s="23" t="s">
        <v>329</v>
      </c>
      <c r="D157" s="23" t="s">
        <v>330</v>
      </c>
      <c r="E157" s="24">
        <v>1</v>
      </c>
      <c r="F157" s="25"/>
      <c r="G157" s="25">
        <v>5.56</v>
      </c>
      <c r="H157" s="26" t="s">
        <v>243</v>
      </c>
      <c r="I157" s="27">
        <f t="shared" si="8"/>
        <v>5.56</v>
      </c>
      <c r="J157" s="28"/>
      <c r="K157" s="29" t="s">
        <v>331</v>
      </c>
      <c r="L157" s="30">
        <f t="shared" si="7"/>
        <v>2.4279999999999995</v>
      </c>
      <c r="M157" s="30">
        <f>IF(B157="Texion Textil",0,IF(C157="Malha",'Custos insumos'!$B$24,IF(C157="Dublagem Cretone",'Custos insumos'!$D$7,IF(C157="Dublagem Spun",'Custos insumos'!$D$4,IF(C157="Espelhamento",'Custos insumos'!$B$11,IF(C157="Espelhamento 2x",2*'Custos insumos'!$B$11,IF(C157="Esp. + Pel.",'Custos insumos'!$B$11,IF(C157="Pel. + Spun",'Custos insumos'!$D$4,IF(C157="Dublagem Cretone PES",'Custos insumos'!$D$7,IF(C157="Dublagem Barreira",'Custos insumos'!$D$11,IF(C157="Dublagem - MO + Filme",'Custos insumos'!$D$4,IF(C157="Dublagem Cretone HM50",'Custos insumos'!$D$26,IF(C157="Dublagem Cretone HM70",'Custos insumos'!$F$10,)))))))))))))</f>
        <v>3.1320000000000001</v>
      </c>
      <c r="N157" s="30">
        <f>IF(B157="Texion Textil",0,IF(B157="Três Elos",0,IF(C157="Malha",0,IF(C157="Dublagem Cretone",'Custos insumos'!$D$23,IF(C157="Dublagem Spun",'Custos insumos'!$D$16,IF(C157="Espelhamento",0,IF(C157="Espelhamento 2x",0,IF(C157="Esp. + Pel.",0,IF(C157="Pel. + Spun",'Custos insumos'!$D$16,IF(C157="Dublagem Cretone PES",'Custos insumos'!$F$25,IF(C157="Dublagem Barreira",'Custos insumos'!$D$22,)))))))))))</f>
        <v>0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4.25" customHeight="1" x14ac:dyDescent="0.35">
      <c r="A158" s="18"/>
      <c r="B158" s="22" t="s">
        <v>328</v>
      </c>
      <c r="C158" s="23" t="s">
        <v>332</v>
      </c>
      <c r="D158" s="23" t="s">
        <v>330</v>
      </c>
      <c r="E158" s="24">
        <v>1</v>
      </c>
      <c r="F158" s="25"/>
      <c r="G158" s="25">
        <v>4.43</v>
      </c>
      <c r="H158" s="26" t="s">
        <v>243</v>
      </c>
      <c r="I158" s="27">
        <f t="shared" si="8"/>
        <v>4.43</v>
      </c>
      <c r="J158" s="28"/>
      <c r="K158" s="29" t="s">
        <v>333</v>
      </c>
      <c r="L158" s="30">
        <f t="shared" si="7"/>
        <v>2.198</v>
      </c>
      <c r="M158" s="30">
        <f>IF(B158="Texion Textil",0,IF(C158="Malha",'Custos insumos'!$B$24,IF(C158="Dublagem Cretone",'Custos insumos'!$D$7,IF(C158="Dublagem Spun",'Custos insumos'!$D$4,IF(C158="Espelhamento",'Custos insumos'!$B$11,IF(C158="Espelhamento 2x",2*'Custos insumos'!$B$11,IF(C158="Esp. + Pel.",'Custos insumos'!$B$11,IF(C158="Pel. + Spun",'Custos insumos'!$D$4,IF(C158="Dublagem Cretone PES",'Custos insumos'!$D$7,IF(C158="Dublagem Barreira",'Custos insumos'!$D$11,IF(C158="Dublagem - MO + Filme",'Custos insumos'!$D$4,IF(C158="Dublagem Cretone HM50",'Custos insumos'!$F$9,IF(C158="Dublagem Cretone HM70",'Custos insumos'!$F$10,)))))))))))))</f>
        <v>2.2319999999999998</v>
      </c>
      <c r="N158" s="30">
        <f>IF(B158="Texion Textil",0,IF(B158="Três Elos",0,IF(C158="Malha",0,IF(C158="Dublagem Cretone",'Custos insumos'!$D$23,IF(C158="Dublagem Spun",'Custos insumos'!$D$16,IF(C158="Espelhamento",0,IF(C158="Espelhamento 2x",0,IF(C158="Esp. + Pel.",0,IF(C158="Pel. + Spun",'Custos insumos'!$D$16,IF(C158="Dublagem Cretone PES",'Custos insumos'!$F$25,IF(C158="Dublagem Barreira",'Custos insumos'!$D$22,)))))))))))</f>
        <v>0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4.25" customHeight="1" x14ac:dyDescent="0.35">
      <c r="A159" s="18"/>
      <c r="B159" s="22" t="s">
        <v>328</v>
      </c>
      <c r="C159" s="23" t="s">
        <v>251</v>
      </c>
      <c r="D159" s="23" t="s">
        <v>330</v>
      </c>
      <c r="E159" s="24">
        <v>1</v>
      </c>
      <c r="F159" s="25"/>
      <c r="G159" s="25">
        <f>2.32+1.28</f>
        <v>3.5999999999999996</v>
      </c>
      <c r="H159" s="26" t="s">
        <v>243</v>
      </c>
      <c r="I159" s="27">
        <f t="shared" si="8"/>
        <v>3.5999999999999996</v>
      </c>
      <c r="J159" s="28"/>
      <c r="K159" s="29" t="s">
        <v>334</v>
      </c>
      <c r="L159" s="30">
        <f t="shared" si="7"/>
        <v>1.6379999999999997</v>
      </c>
      <c r="M159" s="30">
        <f>IF(B159="Texion Textil",0,IF(C159="Malha",'Custos insumos'!$B$24,IF(C159="Dublagem Cretone",'Custos insumos'!$D$7,IF(C159="Dublagem Spun",'Custos insumos'!$D$4,IF(C159="Espelhamento",'Custos insumos'!$B$11,IF(C159="Espelhamento 2x",2*'Custos insumos'!$B$11,IF(C159="Esp. + Pel.",'Custos insumos'!$B$11,IF(C159="Pel. + Spun",'Custos insumos'!$D$4,IF(C159="Dublagem Cretone PES",'Custos insumos'!$D$7,IF(C159="Dublagem Barreira",'Custos insumos'!$D$11,IF(C159="Dublagem - MO + Filme",'Custos insumos'!$D$4,IF(C159="Dublagem Cretone HM50",'Custos insumos'!$F$9,IF(C159="Dublagem Cretone HM70",'Custos insumos'!$F$10,)))))))))))))</f>
        <v>1.962</v>
      </c>
      <c r="N159" s="30">
        <f>IF(B159="Texion Textil",0,IF(B159="Três Elos",0,IF(C159="Malha",0,IF(C159="Dublagem Cretone",'Custos insumos'!$D$23,IF(C159="Dublagem Spun",'Custos insumos'!$D$16,IF(C159="Espelhamento",0,IF(C159="Espelhamento 2x",0,IF(C159="Esp. + Pel.",0,IF(C159="Pel. + Spun",'Custos insumos'!$D$16,IF(C159="Dublagem Cretone PES",'Custos insumos'!$F$25,IF(C159="Dublagem Barreira",'Custos insumos'!$D$22,)))))))))))</f>
        <v>0</v>
      </c>
      <c r="O159" s="18"/>
      <c r="P159" s="18" t="s">
        <v>335</v>
      </c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4.25" customHeight="1" x14ac:dyDescent="0.35">
      <c r="A160" s="18" t="s">
        <v>256</v>
      </c>
      <c r="B160" s="22" t="s">
        <v>336</v>
      </c>
      <c r="C160" s="23" t="s">
        <v>337</v>
      </c>
      <c r="D160" s="23"/>
      <c r="E160" s="24">
        <v>1</v>
      </c>
      <c r="F160" s="25">
        <v>1.1499999999999999</v>
      </c>
      <c r="G160" s="27">
        <v>2.9</v>
      </c>
      <c r="H160" s="26" t="s">
        <v>243</v>
      </c>
      <c r="I160" s="27">
        <f t="shared" si="8"/>
        <v>2.9</v>
      </c>
      <c r="J160" s="28">
        <v>45301</v>
      </c>
      <c r="K160" s="29" t="s">
        <v>307</v>
      </c>
      <c r="L160" s="30">
        <f t="shared" si="7"/>
        <v>2.9</v>
      </c>
      <c r="M160" s="30">
        <f>IF(B160="Texion Textil",0,IF(C160="Malha",'Custos insumos'!$B$24,IF(C160="Dublagem Cretone",'Custos insumos'!$D$7,IF(C160="Dublagem Spun",'Custos insumos'!$D$4,IF(C160="Espelhamento",'Custos insumos'!$B$11,IF(C160="Espelhamento 2x",2*'Custos insumos'!$B$11,IF(C160="Esp. + Pel.",'Custos insumos'!$B$11,IF(C160="Pel. + Spun",'Custos insumos'!$D$4,IF(C160="Dublagem Cretone PES",'Custos insumos'!$D$7,IF(C160="Dublagem Barreira",'Custos insumos'!$D$11,IF(C160="Dublagem - MO + Filme",'Custos insumos'!$D$4,IF(C160="Dublagem Cretone HM50",'Custos insumos'!$F$9,IF(C160="Dublagem Cretone HM70",'Custos insumos'!$F$10,)))))))))))))</f>
        <v>0</v>
      </c>
      <c r="N160" s="30">
        <f>IF(B160="Texion Textil",0,IF(B160="Três Elos",0,IF(C160="Malha",0,IF(C160="Dublagem Cretone",'Custos insumos'!$D$23,IF(C160="Dublagem Spun",'Custos insumos'!$D$16,IF(C160="Espelhamento",0,IF(C160="Espelhamento 2x",0,IF(C160="Esp. + Pel.",0,IF(C160="Pel. + Spun",'Custos insumos'!$D$16,IF(C160="Dublagem Cretone PES",'Custos insumos'!$F$25,IF(C160="Dublagem Barreira",'Custos insumos'!$D$22,)))))))))))</f>
        <v>0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4.25" customHeight="1" x14ac:dyDescent="0.35">
      <c r="A161" s="18" t="s">
        <v>256</v>
      </c>
      <c r="B161" s="22" t="s">
        <v>336</v>
      </c>
      <c r="C161" s="23" t="s">
        <v>260</v>
      </c>
      <c r="D161" s="23"/>
      <c r="E161" s="24">
        <v>1</v>
      </c>
      <c r="F161" s="25">
        <v>1.1499999999999999</v>
      </c>
      <c r="G161" s="27">
        <v>1.1499999999999999</v>
      </c>
      <c r="H161" s="26" t="s">
        <v>243</v>
      </c>
      <c r="I161" s="27">
        <f t="shared" si="8"/>
        <v>1.1499999999999999</v>
      </c>
      <c r="J161" s="28">
        <v>45301</v>
      </c>
      <c r="K161" s="29" t="s">
        <v>307</v>
      </c>
      <c r="L161" s="30">
        <f t="shared" si="7"/>
        <v>1.1499999999999999</v>
      </c>
      <c r="M161" s="30">
        <f>IF(B161="Texion Textil",0,IF(C161="Malha",'Custos insumos'!$B$24,IF(C161="Dublagem Cretone",'Custos insumos'!$D$7,IF(C161="Dublagem Spun",'Custos insumos'!$D$4,IF(C161="Espelhamento",'Custos insumos'!$B$11,IF(C161="Espelhamento 2x",2*'Custos insumos'!$B$11,IF(C161="Esp. + Pel.",'Custos insumos'!$B$11,IF(C161="Pel. + Spun",'Custos insumos'!$D$4,IF(C161="Dublagem Cretone PES",'Custos insumos'!$D$7,IF(C161="Dublagem Barreira",'Custos insumos'!$D$11,IF(C161="Dublagem - MO + Filme",'Custos insumos'!$D$4,IF(C161="Dublagem Cretone HM50",'Custos insumos'!$F$9,IF(C161="Dublagem Cretone HM70",'Custos insumos'!$F$10,)))))))))))))</f>
        <v>0</v>
      </c>
      <c r="N161" s="30">
        <f>IF(B161="Texion Textil",0,IF(B161="Três Elos",0,IF(C161="Malha",0,IF(C161="Dublagem Cretone",'Custos insumos'!$D$23,IF(C161="Dublagem Spun",'Custos insumos'!$D$16,IF(C161="Espelhamento",0,IF(C161="Espelhamento 2x",0,IF(C161="Esp. + Pel.",0,IF(C161="Pel. + Spun",'Custos insumos'!$D$16,IF(C161="Dublagem Cretone PES",'Custos insumos'!$F$25,IF(C161="Dublagem Barreira",'Custos insumos'!$D$22,)))))))))))</f>
        <v>0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4.25" customHeight="1" x14ac:dyDescent="0.35">
      <c r="A162" s="18" t="s">
        <v>256</v>
      </c>
      <c r="B162" s="22" t="s">
        <v>336</v>
      </c>
      <c r="C162" s="23" t="s">
        <v>249</v>
      </c>
      <c r="D162" s="23"/>
      <c r="E162" s="24">
        <v>1</v>
      </c>
      <c r="F162" s="34"/>
      <c r="G162" s="35">
        <v>3.6</v>
      </c>
      <c r="H162" s="26" t="s">
        <v>243</v>
      </c>
      <c r="I162" s="27">
        <f t="shared" si="8"/>
        <v>3.6</v>
      </c>
      <c r="J162" s="28">
        <v>45301</v>
      </c>
      <c r="K162" s="36"/>
      <c r="L162" s="30">
        <f t="shared" si="7"/>
        <v>1.75908</v>
      </c>
      <c r="M162" s="30">
        <f>IF(B162="Texion Textil",0,IF(C162="Malha",'Custos insumos'!$B$24,IF(C162="Dublagem Cretone",'Custos insumos'!$D$7,IF(C162="Dublagem Spun",'Custos insumos'!$D$4,IF(C162="Espelhamento",'Custos insumos'!$B$11,IF(C162="Espelhamento 2x",2*'Custos insumos'!$B$11,IF(C162="Esp. + Pel.",'Custos insumos'!$B$11,IF(C162="Pel. + Spun",'Custos insumos'!$D$4,IF(C162="Dublagem Cretone PES",'Custos insumos'!$D$7,IF(C162="Dublagem Barreira",'Custos insumos'!$D$11,IF(C162="Dublagem - MO + Filme",'Custos insumos'!$D$4,IF(C162="Dublagem Cretone HM50",'Custos insumos'!$F$9,IF(C162="Dublagem Cretone HM70",'Custos insumos'!$F$10,)))))))))))))</f>
        <v>1.1232</v>
      </c>
      <c r="N162" s="30">
        <f>IF(B162="Texion Textil",0,IF(B162="Três Elos",0,IF(C162="Malha",0,IF(C162="Dublagem Cretone",'Custos insumos'!$D$23,IF(C162="Dublagem Spun",'Custos insumos'!$D$16,IF(C162="Espelhamento",0,IF(C162="Espelhamento 2x",0,IF(C162="Esp. + Pel.",0,IF(C162="Pel. + Spun",'Custos insumos'!$D$16,IF(C162="Dublagem Cretone PES",'Custos insumos'!$F$25,IF(C162="Dublagem Barreira",'Custos insumos'!$D$22,)))))))))))</f>
        <v>0.71771999999999991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4.25" customHeight="1" x14ac:dyDescent="0.35">
      <c r="A163" s="18" t="s">
        <v>256</v>
      </c>
      <c r="B163" s="22" t="s">
        <v>336</v>
      </c>
      <c r="C163" s="23" t="s">
        <v>244</v>
      </c>
      <c r="D163" s="23"/>
      <c r="E163" s="24">
        <v>1</v>
      </c>
      <c r="F163" s="34"/>
      <c r="G163" s="25">
        <f>4.1+1.5</f>
        <v>5.6</v>
      </c>
      <c r="H163" s="26" t="s">
        <v>243</v>
      </c>
      <c r="I163" s="27">
        <f t="shared" si="8"/>
        <v>5.6</v>
      </c>
      <c r="J163" s="28">
        <v>45301</v>
      </c>
      <c r="K163" s="36"/>
      <c r="L163" s="30">
        <f t="shared" si="7"/>
        <v>5.6</v>
      </c>
      <c r="M163" s="30">
        <f>IF(B163="Texion Textil",0,IF(C163="Malha",'Custos insumos'!$B$24,IF(C163="Dublagem Cretone",'Custos insumos'!$D$7,IF(C163="Dublagem Spun",'Custos insumos'!$D$4,IF(C163="Espelhamento",'Custos insumos'!$B$11,IF(C163="Espelhamento 2x",2*'Custos insumos'!$B$11,IF(C163="Esp. + Pel.",'Custos insumos'!$B$11,IF(C163="Pel. + Spun",'Custos insumos'!$D$4,IF(C163="Dublagem Cretone PES",'Custos insumos'!$D$7,IF(C163="Dublagem Barreira",'Custos insumos'!$D$11,IF(C163="Dublagem - MO + Filme",'Custos insumos'!$D$4,IF(C163="Dublagem Cretone HM50",'Custos insumos'!$F$9,IF(C163="Dublagem Cretone HM70",'Custos insumos'!$F$10,)))))))))))))</f>
        <v>0</v>
      </c>
      <c r="N163" s="30">
        <f>IF(B163="Texion Textil",0,IF(B163="Três Elos",0,IF(C163="Malha",0,IF(C163="Dublagem Cretone",'Custos insumos'!$D$23,IF(C163="Dublagem Spun",'Custos insumos'!$D$16,IF(C163="Espelhamento",0,IF(C163="Espelhamento 2x",0,IF(C163="Esp. + Pel.",0,IF(C163="Pel. + Spun",'Custos insumos'!$D$16,IF(C163="Dublagem Cretone PES",'Custos insumos'!$F$25,IF(C163="Dublagem Barreira",'Custos insumos'!$D$22,)))))))))))</f>
        <v>0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4.25" customHeight="1" x14ac:dyDescent="0.35">
      <c r="A164" s="18" t="s">
        <v>256</v>
      </c>
      <c r="B164" s="22" t="s">
        <v>336</v>
      </c>
      <c r="C164" s="23" t="s">
        <v>338</v>
      </c>
      <c r="D164" s="23"/>
      <c r="E164" s="24">
        <v>1</v>
      </c>
      <c r="F164" s="34"/>
      <c r="G164" s="35">
        <v>1.72</v>
      </c>
      <c r="H164" s="26" t="s">
        <v>243</v>
      </c>
      <c r="I164" s="27">
        <f t="shared" si="8"/>
        <v>1.72</v>
      </c>
      <c r="J164" s="28">
        <v>45301</v>
      </c>
      <c r="K164" s="36" t="s">
        <v>339</v>
      </c>
      <c r="L164" s="30">
        <f t="shared" si="7"/>
        <v>1.72</v>
      </c>
      <c r="M164" s="30">
        <f>IF(B164="Texion Textil",0,IF(C164="Malha",'Custos insumos'!$B$24,IF(C164="Dublagem Cretone",'Custos insumos'!$D$7,IF(C164="Dublagem Spun",'Custos insumos'!$D$4,IF(C164="Espelhamento",'Custos insumos'!$B$11,IF(C164="Espelhamento 2x",2*'Custos insumos'!$B$11,IF(C164="Esp. + Pel.",'Custos insumos'!$B$11,IF(C164="Pel. + Spun",'Custos insumos'!$D$4,IF(C164="Dublagem Cretone PES",'Custos insumos'!$D$7,IF(C164="Dublagem Barreira",'Custos insumos'!$D$11,IF(C164="Dublagem - MO + Filme",'Custos insumos'!$D$4,IF(C164="Dublagem Cretone HM50",'Custos insumos'!$F$9,IF(C164="Dublagem Cretone HM70",'Custos insumos'!$F$10,)))))))))))))</f>
        <v>0</v>
      </c>
      <c r="N164" s="30">
        <f>IF(B164="Texion Textil",0,IF(B164="Três Elos",0,IF(C164="Malha",0,IF(C164="Dublagem Cretone",'Custos insumos'!$D$23,IF(C164="Dublagem Spun",'Custos insumos'!$D$16,IF(C164="Espelhamento",0,IF(C164="Espelhamento 2x",0,IF(C164="Esp. + Pel.",0,IF(C164="Pel. + Spun",'Custos insumos'!$D$16,IF(C164="Dublagem Cretone PES",'Custos insumos'!$F$25,IF(C164="Dublagem Barreira",'Custos insumos'!$D$22,)))))))))))</f>
        <v>0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4.25" customHeight="1" x14ac:dyDescent="0.35">
      <c r="A165" s="18" t="s">
        <v>256</v>
      </c>
      <c r="B165" s="22" t="s">
        <v>336</v>
      </c>
      <c r="C165" s="23" t="s">
        <v>340</v>
      </c>
      <c r="D165" s="23"/>
      <c r="E165" s="24">
        <v>1</v>
      </c>
      <c r="F165" s="34"/>
      <c r="G165" s="35">
        <f>1.3+1.12</f>
        <v>2.42</v>
      </c>
      <c r="H165" s="26" t="s">
        <v>243</v>
      </c>
      <c r="I165" s="27">
        <f t="shared" si="8"/>
        <v>2.42</v>
      </c>
      <c r="J165" s="28">
        <v>45301</v>
      </c>
      <c r="K165" s="36" t="s">
        <v>339</v>
      </c>
      <c r="L165" s="30">
        <f t="shared" si="7"/>
        <v>2.42</v>
      </c>
      <c r="M165" s="30">
        <f>IF(B165="Texion Textil",0,IF(C165="Malha",'Custos insumos'!$B$24,IF(C165="Dublagem Cretone",'Custos insumos'!$D$7,IF(C165="Dublagem Spun",'Custos insumos'!$D$4,IF(C165="Espelhamento",'Custos insumos'!$B$11,IF(C165="Espelhamento 2x",2*'Custos insumos'!$B$11,IF(C165="Esp. + Pel.",'Custos insumos'!$B$11,IF(C165="Pel. + Spun",'Custos insumos'!$D$4,IF(C165="Dublagem Cretone PES",'Custos insumos'!$D$7,IF(C165="Dublagem Barreira",'Custos insumos'!$D$11,IF(C165="Dublagem - MO + Filme",'Custos insumos'!$D$4,IF(C165="Dublagem Cretone HM50",'Custos insumos'!$F$9,IF(C165="Dublagem Cretone HM70",'Custos insumos'!$F$10,)))))))))))))</f>
        <v>0</v>
      </c>
      <c r="N165" s="30">
        <f>IF(B165="Texion Textil",0,IF(B165="Três Elos",0,IF(C165="Malha",0,IF(C165="Dublagem Cretone",'Custos insumos'!$D$23,IF(C165="Dublagem Spun",'Custos insumos'!$D$16,IF(C165="Espelhamento",0,IF(C165="Espelhamento 2x",0,IF(C165="Esp. + Pel.",0,IF(C165="Pel. + Spun",'Custos insumos'!$D$16,IF(C165="Dublagem Cretone PES",'Custos insumos'!$F$25,IF(C165="Dublagem Barreira",'Custos insumos'!$D$22,)))))))))))</f>
        <v>0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4.25" customHeight="1" x14ac:dyDescent="0.35">
      <c r="A166" s="18" t="s">
        <v>256</v>
      </c>
      <c r="B166" s="22" t="s">
        <v>336</v>
      </c>
      <c r="C166" s="23" t="s">
        <v>341</v>
      </c>
      <c r="D166" s="23"/>
      <c r="E166" s="24">
        <v>1</v>
      </c>
      <c r="F166" s="34"/>
      <c r="G166" s="35">
        <f>1.3+1.12+0.55</f>
        <v>2.9699999999999998</v>
      </c>
      <c r="H166" s="26" t="s">
        <v>243</v>
      </c>
      <c r="I166" s="27">
        <f t="shared" si="8"/>
        <v>2.9699999999999998</v>
      </c>
      <c r="J166" s="28">
        <v>45301</v>
      </c>
      <c r="K166" s="36" t="s">
        <v>342</v>
      </c>
      <c r="L166" s="30">
        <f t="shared" si="7"/>
        <v>2.9699999999999998</v>
      </c>
      <c r="M166" s="30">
        <f>IF(B166="Texion Textil",0,IF(C166="Malha",'Custos insumos'!$B$24,IF(C166="Dublagem Cretone",'Custos insumos'!$D$7,IF(C166="Dublagem Spun",'Custos insumos'!$D$4,IF(C166="Espelhamento",'Custos insumos'!$B$11,IF(C166="Espelhamento 2x",2*'Custos insumos'!$B$11,IF(C166="Esp. + Pel.",'Custos insumos'!$B$11,IF(C166="Pel. + Spun",'Custos insumos'!$D$4,IF(C166="Dublagem Cretone PES",'Custos insumos'!$D$7,IF(C166="Dublagem Barreira",'Custos insumos'!$D$11,IF(C166="Dublagem - MO + Filme",'Custos insumos'!$D$4,IF(C166="Dublagem Cretone HM50",'Custos insumos'!$F$9,IF(C166="Dublagem Cretone HM70",'Custos insumos'!$F$10,)))))))))))))</f>
        <v>0</v>
      </c>
      <c r="N166" s="30">
        <f>IF(B166="Texion Textil",0,IF(B166="Três Elos",0,IF(C166="Malha",0,IF(C166="Dublagem Cretone",'Custos insumos'!$D$23,IF(C166="Dublagem Spun",'Custos insumos'!$D$16,IF(C166="Espelhamento",0,IF(C166="Espelhamento 2x",0,IF(C166="Esp. + Pel.",0,IF(C166="Pel. + Spun",'Custos insumos'!$D$16,IF(C166="Dublagem Cretone PES",'Custos insumos'!$F$25,IF(C166="Dublagem Barreira",'Custos insumos'!$D$22,)))))))))))</f>
        <v>0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4.25" customHeight="1" x14ac:dyDescent="0.35">
      <c r="A167" s="18"/>
      <c r="B167" s="43" t="s">
        <v>343</v>
      </c>
      <c r="C167" s="32" t="s">
        <v>344</v>
      </c>
      <c r="D167" s="32"/>
      <c r="E167" s="24">
        <v>1</v>
      </c>
      <c r="F167" s="34"/>
      <c r="G167" s="35">
        <v>3.05</v>
      </c>
      <c r="H167" s="26" t="s">
        <v>243</v>
      </c>
      <c r="I167" s="27"/>
      <c r="J167" s="28"/>
      <c r="K167" s="36"/>
      <c r="L167" s="30">
        <f t="shared" si="7"/>
        <v>1.484</v>
      </c>
      <c r="M167" s="30">
        <f>'Custos insumos'!F7</f>
        <v>1.5659999999999998</v>
      </c>
      <c r="N167" s="30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4.25" customHeight="1" x14ac:dyDescent="0.35">
      <c r="A168" s="18"/>
      <c r="B168" s="43" t="s">
        <v>343</v>
      </c>
      <c r="C168" s="32" t="s">
        <v>345</v>
      </c>
      <c r="D168" s="32"/>
      <c r="E168" s="24">
        <v>1</v>
      </c>
      <c r="F168" s="34"/>
      <c r="G168" s="35">
        <v>3.7</v>
      </c>
      <c r="H168" s="26" t="s">
        <v>243</v>
      </c>
      <c r="I168" s="27"/>
      <c r="J168" s="28"/>
      <c r="K168" s="36"/>
      <c r="L168" s="30">
        <f t="shared" si="7"/>
        <v>1.4680000000000004</v>
      </c>
      <c r="M168" s="30">
        <f>'Custos insumos'!F9</f>
        <v>2.2319999999999998</v>
      </c>
      <c r="N168" s="30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4.25" customHeight="1" x14ac:dyDescent="0.35">
      <c r="A169" s="18"/>
      <c r="B169" s="43" t="s">
        <v>343</v>
      </c>
      <c r="C169" s="32" t="s">
        <v>346</v>
      </c>
      <c r="D169" s="32"/>
      <c r="E169" s="24">
        <v>1</v>
      </c>
      <c r="F169" s="34"/>
      <c r="G169" s="35">
        <v>4.5999999999999996</v>
      </c>
      <c r="H169" s="26" t="s">
        <v>243</v>
      </c>
      <c r="I169" s="27"/>
      <c r="J169" s="28"/>
      <c r="K169" s="36"/>
      <c r="L169" s="30">
        <f t="shared" si="7"/>
        <v>1.4679999999999995</v>
      </c>
      <c r="M169" s="30">
        <f>'Custos insumos'!F10</f>
        <v>3.1320000000000001</v>
      </c>
      <c r="N169" s="30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4.25" customHeight="1" x14ac:dyDescent="0.35">
      <c r="A170" s="18"/>
      <c r="B170" s="43" t="s">
        <v>231</v>
      </c>
      <c r="C170" s="32" t="s">
        <v>142</v>
      </c>
      <c r="D170" s="32"/>
      <c r="E170" s="33">
        <v>1</v>
      </c>
      <c r="F170" s="34">
        <v>0.56999999999999995</v>
      </c>
      <c r="G170" s="35">
        <v>0.65</v>
      </c>
      <c r="H170" s="26" t="s">
        <v>243</v>
      </c>
      <c r="I170" s="27">
        <f t="shared" ref="I170:I184" si="10">G170/E170</f>
        <v>0.65</v>
      </c>
      <c r="J170" s="28">
        <v>45301</v>
      </c>
      <c r="K170" s="36"/>
      <c r="L170" s="30">
        <f t="shared" si="7"/>
        <v>0.65</v>
      </c>
      <c r="M170" s="30">
        <f>IF(B170="Texion Textil",0,IF(C170="Malha",'Custos insumos'!$B$24,IF(C170="Dublagem Cretone",'Custos insumos'!$D$7,IF(C170="Dublagem Spun",'Custos insumos'!$D$4,IF(C170="Espelhamento",'Custos insumos'!$B$11,IF(C170="Espelhamento 2x",2*'Custos insumos'!$B$11,IF(C170="Esp. + Pel.",'Custos insumos'!$B$11,IF(C170="Pel. + Spun",'Custos insumos'!$D$4,IF(C170="Dublagem Cretone PES",'Custos insumos'!$D$7,IF(C170="Dublagem Barreira",'Custos insumos'!$D$11,IF(C170="Dublagem - MO + Filme",'Custos insumos'!$D$4,IF(C170="Dublagem Cretone HM50",'Custos insumos'!$F$9,IF(C170="Dublagem Cretone HM70",'Custos insumos'!$F$10,)))))))))))))</f>
        <v>0</v>
      </c>
      <c r="N170" s="30">
        <f>IF(B170="Texion Textil",0,IF(B170="Três Elos",0,IF(C170="Malha",0,IF(C170="Dublagem Cretone",'Custos insumos'!$D$23,IF(C170="Dublagem Spun",'Custos insumos'!$D$16,IF(C170="Espelhamento",0,IF(C170="Espelhamento 2x",0,IF(C170="Esp. + Pel.",0,IF(C170="Pel. + Spun",'Custos insumos'!$D$16,IF(C170="Dublagem Cretone PES",'Custos insumos'!$F$25,IF(C170="Dublagem Barreira",'Custos insumos'!$D$22,)))))))))))</f>
        <v>0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4.25" customHeight="1" x14ac:dyDescent="0.35">
      <c r="A171" s="18" t="s">
        <v>256</v>
      </c>
      <c r="B171" s="43" t="s">
        <v>347</v>
      </c>
      <c r="C171" s="32" t="s">
        <v>142</v>
      </c>
      <c r="D171" s="32"/>
      <c r="E171" s="33">
        <v>1</v>
      </c>
      <c r="F171" s="34"/>
      <c r="G171" s="35">
        <v>0.9</v>
      </c>
      <c r="H171" s="26" t="s">
        <v>243</v>
      </c>
      <c r="I171" s="27">
        <f t="shared" si="10"/>
        <v>0.9</v>
      </c>
      <c r="J171" s="28"/>
      <c r="K171" s="36"/>
      <c r="L171" s="30">
        <f t="shared" si="7"/>
        <v>0.9</v>
      </c>
      <c r="M171" s="30">
        <f>IF(B171="Texion Textil",0,IF(C171="Malha",'Custos insumos'!$B$24,IF(C171="Dublagem Cretone",'Custos insumos'!$D$7,IF(C171="Dublagem Spun",'Custos insumos'!$D$4,IF(C171="Espelhamento",'Custos insumos'!$B$11,IF(C171="Espelhamento 2x",2*'Custos insumos'!$B$11,IF(C171="Esp. + Pel.",'Custos insumos'!$B$11,IF(C171="Pel. + Spun",'Custos insumos'!$D$4,IF(C171="Dublagem Cretone PES",'Custos insumos'!$D$7,IF(C171="Dublagem Barreira",'Custos insumos'!$D$11,IF(C171="Dublagem - MO + Filme",'Custos insumos'!$D$4,IF(C171="Dublagem Cretone HM50",'Custos insumos'!$F$9,IF(C171="Dublagem Cretone HM70",'Custos insumos'!$F$10,)))))))))))))</f>
        <v>0</v>
      </c>
      <c r="N171" s="30">
        <f>IF(B171="Texion Textil",0,IF(B171="Três Elos",0,IF(C171="Malha",0,IF(C171="Dublagem Cretone",'Custos insumos'!$D$23,IF(C171="Dublagem Spun",'Custos insumos'!$D$16,IF(C171="Espelhamento",0,IF(C171="Espelhamento 2x",0,IF(C171="Esp. + Pel.",0,IF(C171="Pel. + Spun",'Custos insumos'!$D$16,IF(C171="Dublagem Cretone PES",'Custos insumos'!$F$25,IF(C171="Dublagem Barreira",'Custos insumos'!$D$22,)))))))))))</f>
        <v>0</v>
      </c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4.25" customHeight="1" x14ac:dyDescent="0.35">
      <c r="A172" s="18" t="s">
        <v>256</v>
      </c>
      <c r="B172" s="43" t="s">
        <v>347</v>
      </c>
      <c r="C172" s="32" t="s">
        <v>144</v>
      </c>
      <c r="D172" s="32"/>
      <c r="E172" s="33">
        <v>1</v>
      </c>
      <c r="F172" s="34"/>
      <c r="G172" s="35">
        <v>0.55000000000000004</v>
      </c>
      <c r="H172" s="26" t="s">
        <v>243</v>
      </c>
      <c r="I172" s="27">
        <f t="shared" si="10"/>
        <v>0.55000000000000004</v>
      </c>
      <c r="J172" s="28"/>
      <c r="K172" s="36"/>
      <c r="L172" s="30">
        <f t="shared" si="7"/>
        <v>0.55000000000000004</v>
      </c>
      <c r="M172" s="30">
        <f>IF(B172="Texion Textil",0,IF(C172="Malha",'Custos insumos'!$B$24,IF(C172="Dublagem Cretone",'Custos insumos'!$D$7,IF(C172="Dublagem Spun",'Custos insumos'!$D$4,IF(C172="Espelhamento",'Custos insumos'!$B$11,IF(C172="Espelhamento 2x",2*'Custos insumos'!$B$11,IF(C172="Esp. + Pel.",'Custos insumos'!$B$11,IF(C172="Pel. + Spun",'Custos insumos'!$D$4,IF(C172="Dublagem Cretone PES",'Custos insumos'!$D$7,IF(C172="Dublagem Barreira",'Custos insumos'!$D$11,IF(C172="Dublagem - MO + Filme",'Custos insumos'!$D$4,IF(C172="Dublagem Cretone HM50",'Custos insumos'!$F$9,IF(C172="Dublagem Cretone HM70",'Custos insumos'!$F$10,)))))))))))))</f>
        <v>0</v>
      </c>
      <c r="N172" s="30">
        <f>IF(B172="Texion Textil",0,IF(B172="Três Elos",0,IF(C172="Malha",0,IF(C172="Dublagem Cretone",'Custos insumos'!$D$23,IF(C172="Dublagem Spun",'Custos insumos'!$D$16,IF(C172="Espelhamento",0,IF(C172="Espelhamento 2x",0,IF(C172="Esp. + Pel.",0,IF(C172="Pel. + Spun",'Custos insumos'!$D$16,IF(C172="Dublagem Cretone PES",'Custos insumos'!$F$25,IF(C172="Dublagem Barreira",'Custos insumos'!$D$22,)))))))))))</f>
        <v>0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4.25" customHeight="1" x14ac:dyDescent="0.35">
      <c r="A173" s="18"/>
      <c r="B173" s="43"/>
      <c r="C173" s="32" t="s">
        <v>254</v>
      </c>
      <c r="D173" s="32"/>
      <c r="E173" s="33">
        <v>1</v>
      </c>
      <c r="F173" s="34"/>
      <c r="G173" s="35">
        <v>0.4</v>
      </c>
      <c r="H173" s="26" t="s">
        <v>243</v>
      </c>
      <c r="I173" s="27">
        <f t="shared" si="10"/>
        <v>0.4</v>
      </c>
      <c r="J173" s="28">
        <v>45301</v>
      </c>
      <c r="K173" s="36"/>
      <c r="L173" s="30">
        <f t="shared" si="7"/>
        <v>0.4</v>
      </c>
      <c r="M173" s="30">
        <f>IF(B173="Texion Textil",0,IF(C173="Malha",'Custos insumos'!$B$24,IF(C173="Dublagem Cretone",'Custos insumos'!$D$7,IF(C173="Dublagem Spun",'Custos insumos'!$D$4,IF(C173="Espelhamento",'Custos insumos'!$B$11,IF(C173="Espelhamento 2x",2*'Custos insumos'!$B$11,IF(C173="Esp. + Pel.",'Custos insumos'!$B$11,IF(C173="Pel. + Spun",'Custos insumos'!$D$4,IF(C173="Dublagem Cretone PES",'Custos insumos'!$D$7,IF(C173="Dublagem Barreira",'Custos insumos'!$D$11,IF(C173="Dublagem - MO + Filme",'Custos insumos'!$D$4,IF(C173="Dublagem Cretone HM50",'Custos insumos'!$F$9,IF(C173="Dublagem Cretone HM70",'Custos insumos'!$F$10,)))))))))))))</f>
        <v>0</v>
      </c>
      <c r="N173" s="30">
        <f>IF(B173="Texion Textil",0,IF(B173="Três Elos",0,IF(C173="Malha",0,IF(C173="Dublagem Cretone",'Custos insumos'!$D$23,IF(C173="Dublagem Spun",'Custos insumos'!$D$16,IF(C173="Espelhamento",0,IF(C173="Espelhamento 2x",0,IF(C173="Esp. + Pel.",0,IF(C173="Pel. + Spun",'Custos insumos'!$D$16,IF(C173="Dublagem Cretone PES",'Custos insumos'!$F$25,IF(C173="Dublagem Barreira",'Custos insumos'!$D$22,)))))))))))</f>
        <v>0</v>
      </c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4.25" customHeight="1" x14ac:dyDescent="0.35">
      <c r="A174" s="18"/>
      <c r="B174" s="43"/>
      <c r="C174" s="32" t="s">
        <v>144</v>
      </c>
      <c r="D174" s="32"/>
      <c r="E174" s="33">
        <v>1</v>
      </c>
      <c r="F174" s="34"/>
      <c r="G174" s="35">
        <v>0.65</v>
      </c>
      <c r="H174" s="26" t="s">
        <v>243</v>
      </c>
      <c r="I174" s="27">
        <f t="shared" si="10"/>
        <v>0.65</v>
      </c>
      <c r="J174" s="28">
        <v>45301</v>
      </c>
      <c r="K174" s="36"/>
      <c r="L174" s="30">
        <f t="shared" si="7"/>
        <v>0.65</v>
      </c>
      <c r="M174" s="30">
        <f>IF(B174="Texion Textil",0,IF(C174="Malha",'Custos insumos'!$B$24,IF(C174="Dublagem Cretone",'Custos insumos'!$D$7,IF(C174="Dublagem Spun",'Custos insumos'!$D$4,IF(C174="Espelhamento",'Custos insumos'!$B$11,IF(C174="Espelhamento 2x",2*'Custos insumos'!$B$11,IF(C174="Esp. + Pel.",'Custos insumos'!$B$11,IF(C174="Pel. + Spun",'Custos insumos'!$D$4,IF(C174="Dublagem Cretone PES",'Custos insumos'!$D$7,IF(C174="Dublagem Barreira",'Custos insumos'!$D$11,IF(C174="Dublagem - MO + Filme",'Custos insumos'!$D$4,IF(C174="Dublagem Cretone HM50",'Custos insumos'!$F$9,IF(C174="Dublagem Cretone HM70",'Custos insumos'!$F$10,)))))))))))))</f>
        <v>0</v>
      </c>
      <c r="N174" s="30">
        <f>IF(B174="Texion Textil",0,IF(B174="Três Elos",0,IF(C174="Malha",0,IF(C174="Dublagem Cretone",'Custos insumos'!$D$23,IF(C174="Dublagem Spun",'Custos insumos'!$D$16,IF(C174="Espelhamento",0,IF(C174="Espelhamento 2x",0,IF(C174="Esp. + Pel.",0,IF(C174="Pel. + Spun",'Custos insumos'!$D$16,IF(C174="Dublagem Cretone PES",'Custos insumos'!$F$25,IF(C174="Dublagem Barreira",'Custos insumos'!$D$22,)))))))))))</f>
        <v>0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4.25" customHeight="1" x14ac:dyDescent="0.35">
      <c r="A175" s="18"/>
      <c r="B175" s="43"/>
      <c r="C175" s="32" t="s">
        <v>142</v>
      </c>
      <c r="D175" s="32"/>
      <c r="E175" s="33">
        <v>1</v>
      </c>
      <c r="F175" s="34"/>
      <c r="G175" s="35">
        <v>0.65</v>
      </c>
      <c r="H175" s="26" t="s">
        <v>243</v>
      </c>
      <c r="I175" s="27">
        <f t="shared" si="10"/>
        <v>0.65</v>
      </c>
      <c r="J175" s="28">
        <v>45301</v>
      </c>
      <c r="K175" s="36"/>
      <c r="L175" s="30">
        <f t="shared" si="7"/>
        <v>0.65</v>
      </c>
      <c r="M175" s="30">
        <f>IF(B175="Texion Textil",0,IF(C175="Malha",'Custos insumos'!$B$24,IF(C175="Dublagem Cretone",'Custos insumos'!$D$7,IF(C175="Dublagem Spun",'Custos insumos'!$D$4,IF(C175="Espelhamento",'Custos insumos'!$B$11,IF(C175="Espelhamento 2x",2*'Custos insumos'!$B$11,IF(C175="Esp. + Pel.",'Custos insumos'!$B$11,IF(C175="Pel. + Spun",'Custos insumos'!$D$4,IF(C175="Dublagem Cretone PES",'Custos insumos'!$D$7,IF(C175="Dublagem Barreira",'Custos insumos'!$D$11,IF(C175="Dublagem - MO + Filme",'Custos insumos'!$D$4,IF(C175="Dublagem Cretone HM50",'Custos insumos'!$F$9,IF(C175="Dublagem Cretone HM70",'Custos insumos'!$F$10,)))))))))))))</f>
        <v>0</v>
      </c>
      <c r="N175" s="30">
        <f>IF(B175="Texion Textil",0,IF(B175="Três Elos",0,IF(C175="Malha",0,IF(C175="Dublagem Cretone",'Custos insumos'!$D$23,IF(C175="Dublagem Spun",'Custos insumos'!$D$16,IF(C175="Espelhamento",0,IF(C175="Espelhamento 2x",0,IF(C175="Esp. + Pel.",0,IF(C175="Pel. + Spun",'Custos insumos'!$D$16,IF(C175="Dublagem Cretone PES",'Custos insumos'!$F$25,IF(C175="Dublagem Barreira",'Custos insumos'!$D$22,)))))))))))</f>
        <v>0</v>
      </c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4.25" customHeight="1" x14ac:dyDescent="0.35">
      <c r="A176" s="18"/>
      <c r="B176" s="43"/>
      <c r="C176" s="32" t="s">
        <v>257</v>
      </c>
      <c r="D176" s="32"/>
      <c r="E176" s="33">
        <v>1</v>
      </c>
      <c r="F176" s="34"/>
      <c r="G176" s="35">
        <v>1.1499999999999999</v>
      </c>
      <c r="H176" s="26" t="s">
        <v>243</v>
      </c>
      <c r="I176" s="27">
        <f t="shared" si="10"/>
        <v>1.1499999999999999</v>
      </c>
      <c r="J176" s="28">
        <v>45301</v>
      </c>
      <c r="K176" s="36" t="s">
        <v>258</v>
      </c>
      <c r="L176" s="30">
        <f t="shared" si="7"/>
        <v>1.1499999999999999</v>
      </c>
      <c r="M176" s="30">
        <f>IF(B176="Texion Textil",0,IF(C176="Malha",'Custos insumos'!$B$24,IF(C176="Dublagem Cretone",'Custos insumos'!$D$7,IF(C176="Dublagem Spun",'Custos insumos'!$D$4,IF(C176="Espelhamento",'Custos insumos'!$B$11,IF(C176="Espelhamento 2x",2*'Custos insumos'!$B$11,IF(C176="Esp. + Pel.",'Custos insumos'!$B$11,IF(C176="Pel. + Spun",'Custos insumos'!$D$4,IF(C176="Dublagem Cretone PES",'Custos insumos'!$D$7,IF(C176="Dublagem Barreira",'Custos insumos'!$D$11,IF(C176="Dublagem - MO + Filme",'Custos insumos'!$D$4,IF(C176="Dublagem Cretone HM50",'Custos insumos'!$F$9,IF(C176="Dublagem Cretone HM70",'Custos insumos'!$F$10,)))))))))))))</f>
        <v>0</v>
      </c>
      <c r="N176" s="30">
        <f>IF(B176="Texion Textil",0,IF(B176="Três Elos",0,IF(C176="Malha",0,IF(C176="Dublagem Cretone",'Custos insumos'!$D$23,IF(C176="Dublagem Spun",'Custos insumos'!$D$16,IF(C176="Espelhamento",0,IF(C176="Espelhamento 2x",0,IF(C176="Esp. + Pel.",0,IF(C176="Pel. + Spun",'Custos insumos'!$D$16,IF(C176="Dublagem Cretone PES",'Custos insumos'!$F$25,IF(C176="Dublagem Barreira",'Custos insumos'!$D$22,)))))))))))</f>
        <v>0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4.25" customHeight="1" x14ac:dyDescent="0.35">
      <c r="A177" s="18"/>
      <c r="B177" s="43"/>
      <c r="C177" s="32" t="s">
        <v>106</v>
      </c>
      <c r="D177" s="32"/>
      <c r="E177" s="33">
        <v>1</v>
      </c>
      <c r="F177" s="34"/>
      <c r="G177" s="35">
        <v>2.4</v>
      </c>
      <c r="H177" s="26" t="s">
        <v>243</v>
      </c>
      <c r="I177" s="27">
        <f t="shared" si="10"/>
        <v>2.4</v>
      </c>
      <c r="J177" s="28">
        <v>45301</v>
      </c>
      <c r="K177" s="36" t="s">
        <v>259</v>
      </c>
      <c r="L177" s="30">
        <f t="shared" si="7"/>
        <v>1.3414997101449273</v>
      </c>
      <c r="M177" s="30">
        <f>IF(B177="Texion Textil",0,IF(C177="Malha",'Custos insumos'!$B$24,IF(C177="Dublagem Cretone",'Custos insumos'!$D$7,IF(C177="Dublagem Spun",'Custos insumos'!$D$4,IF(C177="Espelhamento",'Custos insumos'!$B$11,IF(C177="Espelhamento 2x",2*'Custos insumos'!$B$11,IF(C177="Esp. + Pel.",'Custos insumos'!$B$11,IF(C177="Pel. + Spun",'Custos insumos'!$D$4,IF(C177="Dublagem Cretone PES",'Custos insumos'!$D$7,IF(C177="Dublagem Barreira",'Custos insumos'!$D$11,IF(C177="Dublagem - MO + Filme",'Custos insumos'!$D$4,IF(C177="Dublagem Cretone HM50",'Custos insumos'!$F$9,IF(C177="Dublagem Cretone HM70",'Custos insumos'!$F$10,)))))))))))))</f>
        <v>1.0585002898550726</v>
      </c>
      <c r="N177" s="30">
        <f>IF(B177="Texion Textil",0,IF(B177="Três Elos",0,IF(C177="Malha",0,IF(C177="Dublagem Cretone",'Custos insumos'!$D$23,IF(C177="Dublagem Spun",'Custos insumos'!$D$16,IF(C177="Espelhamento",0,IF(C177="Espelhamento 2x",0,IF(C177="Esp. + Pel.",0,IF(C177="Pel. + Spun",'Custos insumos'!$D$16,IF(C177="Dublagem Cretone PES",'Custos insumos'!$F$25,IF(C177="Dublagem Barreira",'Custos insumos'!$D$22,)))))))))))</f>
        <v>0</v>
      </c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4.25" customHeight="1" x14ac:dyDescent="0.35">
      <c r="A178" s="18"/>
      <c r="B178" s="43"/>
      <c r="C178" s="32" t="s">
        <v>322</v>
      </c>
      <c r="D178" s="32"/>
      <c r="E178" s="33">
        <v>1</v>
      </c>
      <c r="F178" s="34"/>
      <c r="G178" s="35">
        <v>4.75</v>
      </c>
      <c r="H178" s="26" t="s">
        <v>243</v>
      </c>
      <c r="I178" s="27">
        <f t="shared" si="10"/>
        <v>4.75</v>
      </c>
      <c r="J178" s="28">
        <v>45301</v>
      </c>
      <c r="K178" s="36" t="s">
        <v>259</v>
      </c>
      <c r="L178" s="30">
        <f t="shared" si="7"/>
        <v>1.1997996521739132</v>
      </c>
      <c r="M178" s="30">
        <f>IF(B178="Texion Textil",0,IF(C178="Malha",'Custos insumos'!$B$24,IF(C178="Dublagem Cretone",'Custos insumos'!$D$7,IF(C178="Dublagem Spun",'Custos insumos'!$D$4,IF(C178="Espelhamento",'Custos insumos'!$B$11,IF(C178="Espelhamento 2x",2*'Custos insumos'!$B$11,IF(C178="Esp. + Pel.",'Custos insumos'!$B$11,IF(C178="Pel. + Spun",'Custos insumos'!$D$4,IF(C178="Dublagem Cretone PES",'Custos insumos'!$D$7,IF(C178="Dublagem Barreira",'Custos insumos'!$D$11,IF(C178="Dublagem - MO + Filme",'Custos insumos'!$D$4,IF(C178="Dublagem Cretone HM50",'Custos insumos'!$F$9,IF(C178="Dublagem Cretone HM70",'Custos insumos'!$F$10,)))))))))))))</f>
        <v>1.270200347826087</v>
      </c>
      <c r="N178" s="30">
        <f>IF(B178="Texion Textil",0,IF(B178="Três Elos",0,IF(C178="Malha",0,IF(C178="Dublagem Cretone",'Custos insumos'!$D$23,IF(C178="Dublagem Spun",'Custos insumos'!$D$16,IF(C178="Espelhamento",0,IF(C178="Espelhamento 2x",0,IF(C178="Esp. + Pel.",0,IF(C178="Pel. + Spun",'Custos insumos'!$D$16,IF(C178="Dublagem Cretone PES",'Custos insumos'!$F$25,IF(C178="Dublagem Barreira",'Custos insumos'!$D$22,)))))))))))</f>
        <v>2.2799999999999998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4.25" customHeight="1" x14ac:dyDescent="0.35">
      <c r="A179" s="18"/>
      <c r="B179" s="43"/>
      <c r="C179" s="32" t="s">
        <v>260</v>
      </c>
      <c r="D179" s="32"/>
      <c r="E179" s="33">
        <v>1</v>
      </c>
      <c r="F179" s="34"/>
      <c r="G179" s="35">
        <v>1.1499999999999999</v>
      </c>
      <c r="H179" s="26" t="s">
        <v>243</v>
      </c>
      <c r="I179" s="27">
        <f t="shared" si="10"/>
        <v>1.1499999999999999</v>
      </c>
      <c r="J179" s="28">
        <v>45301</v>
      </c>
      <c r="K179" s="36" t="s">
        <v>258</v>
      </c>
      <c r="L179" s="30">
        <f t="shared" si="7"/>
        <v>1.1499999999999999</v>
      </c>
      <c r="M179" s="30">
        <f>IF(B179="Texion Textil",0,IF(C179="Malha",'Custos insumos'!$B$24,IF(C179="Dublagem Cretone",'Custos insumos'!$D$7,IF(C179="Dublagem Spun",'Custos insumos'!$D$4,IF(C179="Espelhamento",'Custos insumos'!$B$11,IF(C179="Espelhamento 2x",2*'Custos insumos'!$B$11,IF(C179="Esp. + Pel.",'Custos insumos'!$B$11,IF(C179="Pel. + Spun",'Custos insumos'!$D$4,IF(C179="Dublagem Cretone PES",'Custos insumos'!$D$7,IF(C179="Dublagem Barreira",'Custos insumos'!$D$11,IF(C179="Dublagem - MO + Filme",'Custos insumos'!$D$4,IF(C179="Dublagem Cretone HM50",'Custos insumos'!$F$9,IF(C179="Dublagem Cretone HM70",'Custos insumos'!$F$10,)))))))))))))</f>
        <v>0</v>
      </c>
      <c r="N179" s="30">
        <f>IF(B179="Texion Textil",0,IF(B179="Três Elos",0,IF(C179="Malha",0,IF(C179="Dublagem Cretone",'Custos insumos'!$D$23,IF(C179="Dublagem Spun",'Custos insumos'!$D$16,IF(C179="Espelhamento",0,IF(C179="Espelhamento 2x",0,IF(C179="Esp. + Pel.",0,IF(C179="Pel. + Spun",'Custos insumos'!$D$16,IF(C179="Dublagem Cretone PES",'Custos insumos'!$F$25,IF(C179="Dublagem Barreira",'Custos insumos'!$D$22,)))))))))))</f>
        <v>0</v>
      </c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4.25" customHeight="1" x14ac:dyDescent="0.35">
      <c r="A180" s="18"/>
      <c r="B180" s="43"/>
      <c r="C180" s="32" t="s">
        <v>249</v>
      </c>
      <c r="D180" s="32"/>
      <c r="E180" s="33">
        <v>1</v>
      </c>
      <c r="F180" s="34"/>
      <c r="G180" s="35">
        <v>4.5</v>
      </c>
      <c r="H180" s="26" t="s">
        <v>243</v>
      </c>
      <c r="I180" s="27">
        <f t="shared" si="10"/>
        <v>4.5</v>
      </c>
      <c r="J180" s="28">
        <v>45301</v>
      </c>
      <c r="K180" s="36" t="s">
        <v>259</v>
      </c>
      <c r="L180" s="30">
        <f t="shared" si="7"/>
        <v>2.6590800000000003</v>
      </c>
      <c r="M180" s="30">
        <f>IF(B180="Texion Textil",0,IF(C180="Malha",'Custos insumos'!$B$24,IF(C180="Dublagem Cretone",'Custos insumos'!$D$7,IF(C180="Dublagem Spun",'Custos insumos'!$D$4,IF(C180="Espelhamento",'Custos insumos'!$B$11,IF(C180="Espelhamento 2x",2*'Custos insumos'!$B$11,IF(C180="Esp. + Pel.",'Custos insumos'!$B$11,IF(C180="Pel. + Spun",'Custos insumos'!$D$4,IF(C180="Dublagem Cretone PES",'Custos insumos'!$D$7,IF(C180="Dublagem Barreira",'Custos insumos'!$D$11,IF(C180="Dublagem - MO + Filme",'Custos insumos'!$D$4,IF(C180="Dublagem Cretone HM50",'Custos insumos'!$F$9,IF(C180="Dublagem Cretone HM70",'Custos insumos'!$F$10,)))))))))))))</f>
        <v>1.1232</v>
      </c>
      <c r="N180" s="30">
        <f>IF(B180="Texion Textil",0,IF(B180="Três Elos",0,IF(C180="Malha",0,IF(C180="Dublagem Cretone",'Custos insumos'!$D$23,IF(C180="Dublagem Spun",'Custos insumos'!$D$16,IF(C180="Espelhamento",0,IF(C180="Espelhamento 2x",0,IF(C180="Esp. + Pel.",0,IF(C180="Pel. + Spun",'Custos insumos'!$D$16,IF(C180="Dublagem Cretone PES",'Custos insumos'!$F$25,IF(C180="Dublagem Barreira",'Custos insumos'!$D$22,)))))))))))</f>
        <v>0.71771999999999991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4.25" customHeight="1" x14ac:dyDescent="0.35">
      <c r="A181" s="18"/>
      <c r="B181" s="43"/>
      <c r="C181" s="32" t="s">
        <v>348</v>
      </c>
      <c r="D181" s="32"/>
      <c r="E181" s="33">
        <v>1</v>
      </c>
      <c r="F181" s="34"/>
      <c r="G181" s="35">
        <v>1.1499999999999999</v>
      </c>
      <c r="H181" s="26" t="s">
        <v>243</v>
      </c>
      <c r="I181" s="27">
        <f t="shared" si="10"/>
        <v>1.1499999999999999</v>
      </c>
      <c r="J181" s="28">
        <v>45301</v>
      </c>
      <c r="K181" s="36" t="s">
        <v>258</v>
      </c>
      <c r="L181" s="30">
        <f t="shared" si="7"/>
        <v>1.1499999999999999</v>
      </c>
      <c r="M181" s="30">
        <f>IF(B181="Texion Textil",0,IF(C181="Malha",'Custos insumos'!$B$24,IF(C181="Dublagem Cretone",'Custos insumos'!$D$7,IF(C181="Dublagem Spun",'Custos insumos'!$D$4,IF(C181="Espelhamento",'Custos insumos'!$B$11,IF(C181="Espelhamento 2x",2*'Custos insumos'!$B$11,IF(C181="Esp. + Pel.",'Custos insumos'!$B$11,IF(C181="Pel. + Spun",'Custos insumos'!$D$4,IF(C181="Dublagem Cretone PES",'Custos insumos'!$D$7,IF(C181="Dublagem Barreira",'Custos insumos'!$D$11,IF(C181="Dublagem - MO + Filme",'Custos insumos'!$D$4,IF(C181="Dublagem Cretone HM50",'Custos insumos'!$F$9,IF(C181="Dublagem Cretone HM70",'Custos insumos'!$F$10,)))))))))))))</f>
        <v>0</v>
      </c>
      <c r="N181" s="30">
        <f>IF(B181="Texion Textil",0,IF(B181="Três Elos",0,IF(C181="Malha",0,IF(C181="Dublagem Cretone",'Custos insumos'!$D$23,IF(C181="Dublagem Spun",'Custos insumos'!$D$16,IF(C181="Espelhamento",0,IF(C181="Espelhamento 2x",0,IF(C181="Esp. + Pel.",0,IF(C181="Pel. + Spun",'Custos insumos'!$D$16,IF(C181="Dublagem Cretone PES",'Custos insumos'!$F$25,IF(C181="Dublagem Barreira",'Custos insumos'!$D$22,)))))))))))</f>
        <v>0</v>
      </c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4.25" customHeight="1" x14ac:dyDescent="0.35">
      <c r="A182" s="18"/>
      <c r="B182" s="43"/>
      <c r="C182" s="32" t="s">
        <v>247</v>
      </c>
      <c r="D182" s="32"/>
      <c r="E182" s="33">
        <v>1</v>
      </c>
      <c r="F182" s="34"/>
      <c r="G182" s="35">
        <v>5.9</v>
      </c>
      <c r="H182" s="26" t="s">
        <v>243</v>
      </c>
      <c r="I182" s="27">
        <f t="shared" si="10"/>
        <v>5.9</v>
      </c>
      <c r="J182" s="28">
        <v>45301</v>
      </c>
      <c r="K182" s="36" t="s">
        <v>259</v>
      </c>
      <c r="L182" s="30">
        <f t="shared" si="7"/>
        <v>1.6100000000000008</v>
      </c>
      <c r="M182" s="30">
        <f>IF(B182="Texion Textil",0,IF(C182="Malha",'Custos insumos'!$B$24,IF(C182="Dublagem Cretone",'Custos insumos'!$D$7,IF(C182="Dublagem Spun",'Custos insumos'!$D$4,IF(C182="Espelhamento",'Custos insumos'!$B$11,IF(C182="Espelhamento 2x",2*'Custos insumos'!$B$11,IF(C182="Esp. + Pel.",'Custos insumos'!$B$11,IF(C182="Pel. + Spun",'Custos insumos'!$D$4,IF(C182="Dublagem Cretone PES",'Custos insumos'!$D$7,IF(C182="Dublagem Barreira",'Custos insumos'!$D$11,IF(C182="Dublagem - MO + Filme",'Custos insumos'!$D$4,IF(C182="Dublagem Cretone HM50",'Custos insumos'!$F$9,IF(C182="Dublagem Cretone HM70",'Custos insumos'!$F$10,)))))))))))))</f>
        <v>1.962</v>
      </c>
      <c r="N182" s="30">
        <f>IF(B182="Texion Textil",0,IF(B182="Três Elos",0,IF(C182="Malha",0,IF(C182="Dublagem Cretone",'Custos insumos'!$D$23,IF(C182="Dublagem Spun",'Custos insumos'!$D$16,IF(C182="Espelhamento",0,IF(C182="Espelhamento 2x",0,IF(C182="Esp. + Pel.",0,IF(C182="Pel. + Spun",'Custos insumos'!$D$16,IF(C182="Dublagem Cretone PES",'Custos insumos'!$F$25,IF(C182="Dublagem Barreira",'Custos insumos'!$D$22,)))))))))))</f>
        <v>2.3279999999999998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4.25" customHeight="1" x14ac:dyDescent="0.35">
      <c r="A183" s="18"/>
      <c r="B183" s="43"/>
      <c r="C183" s="32" t="s">
        <v>261</v>
      </c>
      <c r="D183" s="32"/>
      <c r="E183" s="33">
        <v>1</v>
      </c>
      <c r="F183" s="34"/>
      <c r="G183" s="35">
        <v>1.1499999999999999</v>
      </c>
      <c r="H183" s="26" t="s">
        <v>243</v>
      </c>
      <c r="I183" s="27">
        <f t="shared" si="10"/>
        <v>1.1499999999999999</v>
      </c>
      <c r="J183" s="28">
        <v>45301</v>
      </c>
      <c r="K183" s="36" t="s">
        <v>258</v>
      </c>
      <c r="L183" s="30">
        <f t="shared" si="7"/>
        <v>1.1499999999999999</v>
      </c>
      <c r="M183" s="30">
        <f>IF(B183="Texion Textil",0,IF(C183="Malha",'Custos insumos'!$B$24,IF(C183="Dublagem Cretone",'Custos insumos'!$D$7,IF(C183="Dublagem Spun",'Custos insumos'!$D$4,IF(C183="Espelhamento",'Custos insumos'!$B$11,IF(C183="Espelhamento 2x",2*'Custos insumos'!$B$11,IF(C183="Esp. + Pel.",'Custos insumos'!$B$11,IF(C183="Pel. + Spun",'Custos insumos'!$D$4,IF(C183="Dublagem Cretone PES",'Custos insumos'!$D$7,IF(C183="Dublagem Barreira",'Custos insumos'!$D$11,IF(C183="Dublagem - MO + Filme",'Custos insumos'!$D$4,IF(C183="Dublagem Cretone HM50",'Custos insumos'!$F$9,IF(C183="Dublagem Cretone HM70",'Custos insumos'!$F$10,)))))))))))))</f>
        <v>0</v>
      </c>
      <c r="N183" s="30">
        <f>IF(B183="Texion Textil",0,IF(B183="Três Elos",0,IF(C183="Malha",0,IF(C183="Dublagem Cretone",'Custos insumos'!$D$23,IF(C183="Dublagem Spun",'Custos insumos'!$D$16,IF(C183="Espelhamento",0,IF(C183="Espelhamento 2x",0,IF(C183="Esp. + Pel.",0,IF(C183="Pel. + Spun",'Custos insumos'!$D$16,IF(C183="Dublagem Cretone PES",'Custos insumos'!$F$25,IF(C183="Dublagem Barreira",'Custos insumos'!$D$22,)))))))))))</f>
        <v>0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4.25" customHeight="1" x14ac:dyDescent="0.35">
      <c r="A184" s="18"/>
      <c r="B184" s="44"/>
      <c r="C184" s="45" t="s">
        <v>251</v>
      </c>
      <c r="D184" s="45"/>
      <c r="E184" s="46">
        <v>1</v>
      </c>
      <c r="F184" s="41"/>
      <c r="G184" s="47">
        <v>5.9</v>
      </c>
      <c r="H184" s="48" t="s">
        <v>243</v>
      </c>
      <c r="I184" s="27">
        <f t="shared" si="10"/>
        <v>5.9</v>
      </c>
      <c r="J184" s="28">
        <v>45301</v>
      </c>
      <c r="K184" s="49" t="s">
        <v>259</v>
      </c>
      <c r="L184" s="30">
        <f t="shared" si="7"/>
        <v>1.6100000000000008</v>
      </c>
      <c r="M184" s="30">
        <f>IF(B184="Texion Textil",0,IF(C184="Malha",'Custos insumos'!$B$24,IF(C184="Dublagem Cretone",'Custos insumos'!$D$7,IF(C184="Dublagem Spun",'Custos insumos'!$D$4,IF(C184="Espelhamento",'Custos insumos'!$B$11,IF(C184="Espelhamento 2x",2*'Custos insumos'!$B$11,IF(C184="Esp. + Pel.",'Custos insumos'!$B$11,IF(C184="Pel. + Spun",'Custos insumos'!$D$4,IF(C184="Dublagem Cretone PES",'Custos insumos'!$D$7,IF(C184="Dublagem Barreira",'Custos insumos'!$D$11,IF(C184="Dublagem - MO + Filme",'Custos insumos'!$D$4,IF(C184="Dublagem Cretone HM50",'Custos insumos'!$F$9,IF(C184="Dublagem Cretone HM70",'Custos insumos'!$F$10,)))))))))))))</f>
        <v>1.962</v>
      </c>
      <c r="N184" s="30">
        <f>IF(B184="Texion Textil",0,IF(B184="Três Elos",0,IF(C184="Malha",0,IF(C184="Dublagem Cretone",'Custos insumos'!$D$23,IF(C184="Dublagem Spun",'Custos insumos'!$D$16,IF(C184="Espelhamento",0,IF(C184="Espelhamento 2x",0,IF(C184="Esp. + Pel.",0,IF(C184="Pel. + Spun",'Custos insumos'!$D$16,IF(C184="Dublagem Cretone PES",'Custos insumos'!$F$25,IF(C184="Dublagem Barreira",'Custos insumos'!$D$22,)))))))))))</f>
        <v>2.3279999999999998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4.25" customHeight="1" x14ac:dyDescent="0.3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4.25" customHeight="1" x14ac:dyDescent="0.3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>
        <v>1.3</v>
      </c>
      <c r="M186" s="18">
        <v>1.06</v>
      </c>
      <c r="N186" s="18">
        <v>1.06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4.25" customHeight="1" x14ac:dyDescent="0.3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4.25" customHeight="1" x14ac:dyDescent="0.35">
      <c r="A188" s="18"/>
      <c r="B188" s="18"/>
      <c r="C188" s="18"/>
      <c r="D188" s="18"/>
      <c r="E188" s="18"/>
      <c r="F188" s="18"/>
      <c r="G188" s="50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4.25" customHeight="1" x14ac:dyDescent="0.3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>
        <f>3.4*20</f>
        <v>68</v>
      </c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4.25" customHeight="1" x14ac:dyDescent="0.3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4.25" customHeight="1" x14ac:dyDescent="0.3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4.25" customHeight="1" x14ac:dyDescent="0.3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4.25" customHeight="1" x14ac:dyDescent="0.3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4.25" customHeight="1" x14ac:dyDescent="0.3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4.25" customHeight="1" x14ac:dyDescent="0.3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4.25" customHeight="1" x14ac:dyDescent="0.3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4.25" customHeight="1" x14ac:dyDescent="0.3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4.25" customHeight="1" x14ac:dyDescent="0.3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4.25" customHeight="1" x14ac:dyDescent="0.3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4.25" customHeight="1" x14ac:dyDescent="0.3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4.25" customHeight="1" x14ac:dyDescent="0.3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4.25" customHeight="1" x14ac:dyDescent="0.3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4.25" customHeight="1" x14ac:dyDescent="0.3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4.25" customHeight="1" x14ac:dyDescent="0.3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4.25" customHeight="1" x14ac:dyDescent="0.3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4.25" customHeight="1" x14ac:dyDescent="0.3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4.25" customHeight="1" x14ac:dyDescent="0.3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4.25" customHeight="1" x14ac:dyDescent="0.3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4.25" customHeight="1" x14ac:dyDescent="0.3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4.25" customHeight="1" x14ac:dyDescent="0.3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4.25" customHeight="1" x14ac:dyDescent="0.3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4.25" customHeight="1" x14ac:dyDescent="0.3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4.25" customHeight="1" x14ac:dyDescent="0.3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4.25" customHeight="1" x14ac:dyDescent="0.3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4.25" customHeight="1" x14ac:dyDescent="0.3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4.25" customHeight="1" x14ac:dyDescent="0.3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4.25" customHeight="1" x14ac:dyDescent="0.3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4.25" customHeight="1" x14ac:dyDescent="0.3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4.25" customHeight="1" x14ac:dyDescent="0.3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4.25" customHeight="1" x14ac:dyDescent="0.3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4.25" customHeight="1" x14ac:dyDescent="0.3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4.25" customHeight="1" x14ac:dyDescent="0.3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4.25" customHeight="1" x14ac:dyDescent="0.3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25" customHeight="1" x14ac:dyDescent="0.3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4.25" customHeight="1" x14ac:dyDescent="0.3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4.25" customHeight="1" x14ac:dyDescent="0.3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4.25" customHeight="1" x14ac:dyDescent="0.3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4.25" customHeight="1" x14ac:dyDescent="0.3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4.25" customHeight="1" x14ac:dyDescent="0.3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4.25" customHeight="1" x14ac:dyDescent="0.3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4.25" customHeight="1" x14ac:dyDescent="0.3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4.25" customHeight="1" x14ac:dyDescent="0.3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4.25" customHeight="1" x14ac:dyDescent="0.3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4.25" customHeight="1" x14ac:dyDescent="0.3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4.25" customHeight="1" x14ac:dyDescent="0.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4.25" customHeight="1" x14ac:dyDescent="0.3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4.25" customHeight="1" x14ac:dyDescent="0.3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4.25" customHeight="1" x14ac:dyDescent="0.3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4.25" customHeight="1" x14ac:dyDescent="0.3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4.25" customHeight="1" x14ac:dyDescent="0.3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4.25" customHeight="1" x14ac:dyDescent="0.3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4.25" customHeight="1" x14ac:dyDescent="0.3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4.25" customHeight="1" x14ac:dyDescent="0.3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4.25" customHeight="1" x14ac:dyDescent="0.3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4.25" customHeight="1" x14ac:dyDescent="0.3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4.25" customHeight="1" x14ac:dyDescent="0.3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4.25" customHeight="1" x14ac:dyDescent="0.3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4.25" customHeight="1" x14ac:dyDescent="0.3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4.25" customHeight="1" x14ac:dyDescent="0.3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4.25" customHeight="1" x14ac:dyDescent="0.3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4.25" customHeight="1" x14ac:dyDescent="0.3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4.25" customHeight="1" x14ac:dyDescent="0.3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4.25" customHeight="1" x14ac:dyDescent="0.3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4.25" customHeight="1" x14ac:dyDescent="0.3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4.25" customHeight="1" x14ac:dyDescent="0.3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4.25" customHeight="1" x14ac:dyDescent="0.3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4.25" customHeight="1" x14ac:dyDescent="0.3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4.25" customHeight="1" x14ac:dyDescent="0.3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4.25" customHeight="1" x14ac:dyDescent="0.3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4.25" customHeight="1" x14ac:dyDescent="0.3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4.25" customHeight="1" x14ac:dyDescent="0.3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4.25" customHeight="1" x14ac:dyDescent="0.3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4.25" customHeight="1" x14ac:dyDescent="0.3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4.25" customHeight="1" x14ac:dyDescent="0.3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4.25" customHeight="1" x14ac:dyDescent="0.3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4.25" customHeight="1" x14ac:dyDescent="0.3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4.25" customHeight="1" x14ac:dyDescent="0.3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4.25" customHeight="1" x14ac:dyDescent="0.3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4.25" customHeight="1" x14ac:dyDescent="0.3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4.25" customHeight="1" x14ac:dyDescent="0.3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4.25" customHeight="1" x14ac:dyDescent="0.3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4.25" customHeight="1" x14ac:dyDescent="0.3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4.25" customHeight="1" x14ac:dyDescent="0.3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4.25" customHeight="1" x14ac:dyDescent="0.3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4.25" customHeight="1" x14ac:dyDescent="0.3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4.25" customHeight="1" x14ac:dyDescent="0.3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4.25" customHeight="1" x14ac:dyDescent="0.3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4.25" customHeight="1" x14ac:dyDescent="0.3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4.25" customHeight="1" x14ac:dyDescent="0.3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4.25" customHeight="1" x14ac:dyDescent="0.3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4.25" customHeight="1" x14ac:dyDescent="0.3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4.25" customHeight="1" x14ac:dyDescent="0.3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4.25" customHeight="1" x14ac:dyDescent="0.3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4.25" customHeight="1" x14ac:dyDescent="0.3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4.25" customHeight="1" x14ac:dyDescent="0.3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4.25" customHeight="1" x14ac:dyDescent="0.3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4.25" customHeight="1" x14ac:dyDescent="0.3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4.25" customHeight="1" x14ac:dyDescent="0.3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4.25" customHeight="1" x14ac:dyDescent="0.3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4.25" customHeight="1" x14ac:dyDescent="0.3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4.25" customHeight="1" x14ac:dyDescent="0.3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4.25" customHeight="1" x14ac:dyDescent="0.3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4.25" customHeight="1" x14ac:dyDescent="0.3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4.25" customHeight="1" x14ac:dyDescent="0.3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4.25" customHeight="1" x14ac:dyDescent="0.3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4.25" customHeight="1" x14ac:dyDescent="0.3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4.25" customHeight="1" x14ac:dyDescent="0.3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4.25" customHeight="1" x14ac:dyDescent="0.3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4.25" customHeight="1" x14ac:dyDescent="0.3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4.25" customHeight="1" x14ac:dyDescent="0.3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4.25" customHeight="1" x14ac:dyDescent="0.3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4.25" customHeight="1" x14ac:dyDescent="0.3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4.25" customHeight="1" x14ac:dyDescent="0.3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4.25" customHeight="1" x14ac:dyDescent="0.3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4.25" customHeight="1" x14ac:dyDescent="0.3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4.25" customHeight="1" x14ac:dyDescent="0.3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4.25" customHeight="1" x14ac:dyDescent="0.3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4.25" customHeight="1" x14ac:dyDescent="0.3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4.25" customHeight="1" x14ac:dyDescent="0.3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4.25" customHeight="1" x14ac:dyDescent="0.3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4.25" customHeight="1" x14ac:dyDescent="0.3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4.25" customHeight="1" x14ac:dyDescent="0.3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4.25" customHeight="1" x14ac:dyDescent="0.3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4.25" customHeight="1" x14ac:dyDescent="0.3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4.25" customHeight="1" x14ac:dyDescent="0.3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4.25" customHeight="1" x14ac:dyDescent="0.3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4.25" customHeight="1" x14ac:dyDescent="0.3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4.25" customHeight="1" x14ac:dyDescent="0.3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4.25" customHeight="1" x14ac:dyDescent="0.3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4.25" customHeight="1" x14ac:dyDescent="0.3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4.25" customHeight="1" x14ac:dyDescent="0.3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4.25" customHeight="1" x14ac:dyDescent="0.3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4.25" customHeight="1" x14ac:dyDescent="0.3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4.25" customHeight="1" x14ac:dyDescent="0.3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4.25" customHeight="1" x14ac:dyDescent="0.3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4.25" customHeight="1" x14ac:dyDescent="0.3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4.25" customHeight="1" x14ac:dyDescent="0.3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4.25" customHeight="1" x14ac:dyDescent="0.3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4.25" customHeight="1" x14ac:dyDescent="0.3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4.25" customHeight="1" x14ac:dyDescent="0.3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4.25" customHeight="1" x14ac:dyDescent="0.3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4.25" customHeight="1" x14ac:dyDescent="0.3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4.25" customHeight="1" x14ac:dyDescent="0.3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4.25" customHeight="1" x14ac:dyDescent="0.3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4.25" customHeight="1" x14ac:dyDescent="0.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4.25" customHeight="1" x14ac:dyDescent="0.3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4.25" customHeight="1" x14ac:dyDescent="0.3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4.25" customHeight="1" x14ac:dyDescent="0.3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4.25" customHeight="1" x14ac:dyDescent="0.3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4.25" customHeight="1" x14ac:dyDescent="0.3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4.25" customHeight="1" x14ac:dyDescent="0.3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4.25" customHeight="1" x14ac:dyDescent="0.3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4.25" customHeight="1" x14ac:dyDescent="0.3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4.25" customHeight="1" x14ac:dyDescent="0.3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4.25" customHeight="1" x14ac:dyDescent="0.3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4.25" customHeight="1" x14ac:dyDescent="0.3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4.25" customHeight="1" x14ac:dyDescent="0.3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4.25" customHeight="1" x14ac:dyDescent="0.3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4.25" customHeight="1" x14ac:dyDescent="0.3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4.25" customHeight="1" x14ac:dyDescent="0.3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4.25" customHeight="1" x14ac:dyDescent="0.3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4.25" customHeight="1" x14ac:dyDescent="0.3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4.25" customHeight="1" x14ac:dyDescent="0.3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4.25" customHeight="1" x14ac:dyDescent="0.3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4.25" customHeight="1" x14ac:dyDescent="0.3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4.25" customHeight="1" x14ac:dyDescent="0.3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4.25" customHeight="1" x14ac:dyDescent="0.3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4.25" customHeight="1" x14ac:dyDescent="0.3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4.25" customHeight="1" x14ac:dyDescent="0.3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4.25" customHeight="1" x14ac:dyDescent="0.3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4.25" customHeight="1" x14ac:dyDescent="0.3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4.25" customHeight="1" x14ac:dyDescent="0.3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4.25" customHeight="1" x14ac:dyDescent="0.3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4.25" customHeight="1" x14ac:dyDescent="0.3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4.25" customHeight="1" x14ac:dyDescent="0.3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4.25" customHeight="1" x14ac:dyDescent="0.3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4.25" customHeight="1" x14ac:dyDescent="0.3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4.25" customHeight="1" x14ac:dyDescent="0.3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4.25" customHeight="1" x14ac:dyDescent="0.3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4.25" customHeight="1" x14ac:dyDescent="0.3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4.25" customHeight="1" x14ac:dyDescent="0.3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4.25" customHeight="1" x14ac:dyDescent="0.3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4.25" customHeight="1" x14ac:dyDescent="0.3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4.25" customHeight="1" x14ac:dyDescent="0.3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4.25" customHeight="1" x14ac:dyDescent="0.3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4.25" customHeight="1" x14ac:dyDescent="0.3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4.25" customHeight="1" x14ac:dyDescent="0.3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4.25" customHeight="1" x14ac:dyDescent="0.3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4.25" customHeight="1" x14ac:dyDescent="0.3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4.25" customHeight="1" x14ac:dyDescent="0.3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4.25" customHeight="1" x14ac:dyDescent="0.3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4.25" customHeight="1" x14ac:dyDescent="0.3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4.25" customHeight="1" x14ac:dyDescent="0.3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4.25" customHeight="1" x14ac:dyDescent="0.3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4.25" customHeight="1" x14ac:dyDescent="0.3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4.25" customHeight="1" x14ac:dyDescent="0.3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4.25" customHeight="1" x14ac:dyDescent="0.3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4.25" customHeight="1" x14ac:dyDescent="0.3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4.25" customHeight="1" x14ac:dyDescent="0.3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4.25" customHeight="1" x14ac:dyDescent="0.3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4.25" customHeight="1" x14ac:dyDescent="0.3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4.25" customHeight="1" x14ac:dyDescent="0.3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4.25" customHeight="1" x14ac:dyDescent="0.3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4.25" customHeight="1" x14ac:dyDescent="0.3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4.25" customHeight="1" x14ac:dyDescent="0.3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4.25" customHeight="1" x14ac:dyDescent="0.3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4.25" customHeight="1" x14ac:dyDescent="0.3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4.25" customHeight="1" x14ac:dyDescent="0.3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4.25" customHeight="1" x14ac:dyDescent="0.3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4.25" customHeight="1" x14ac:dyDescent="0.3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4.25" customHeight="1" x14ac:dyDescent="0.3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4.25" customHeight="1" x14ac:dyDescent="0.3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4.25" customHeight="1" x14ac:dyDescent="0.3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4.25" customHeight="1" x14ac:dyDescent="0.3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4.25" customHeight="1" x14ac:dyDescent="0.3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4.25" customHeight="1" x14ac:dyDescent="0.3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4.25" customHeight="1" x14ac:dyDescent="0.3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4.25" customHeight="1" x14ac:dyDescent="0.3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4.25" customHeight="1" x14ac:dyDescent="0.3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4.25" customHeight="1" x14ac:dyDescent="0.3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4.25" customHeight="1" x14ac:dyDescent="0.3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4.25" customHeight="1" x14ac:dyDescent="0.3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4.25" customHeight="1" x14ac:dyDescent="0.3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4.25" customHeight="1" x14ac:dyDescent="0.3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4.25" customHeight="1" x14ac:dyDescent="0.3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4.25" customHeight="1" x14ac:dyDescent="0.3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4.25" customHeight="1" x14ac:dyDescent="0.3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4.25" customHeight="1" x14ac:dyDescent="0.3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4.25" customHeight="1" x14ac:dyDescent="0.3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4.25" customHeight="1" x14ac:dyDescent="0.3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4.25" customHeight="1" x14ac:dyDescent="0.3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4.25" customHeight="1" x14ac:dyDescent="0.3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4.25" customHeight="1" x14ac:dyDescent="0.3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4.25" customHeight="1" x14ac:dyDescent="0.3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4.25" customHeight="1" x14ac:dyDescent="0.3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4.25" customHeight="1" x14ac:dyDescent="0.3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4.25" customHeight="1" x14ac:dyDescent="0.3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4.25" customHeight="1" x14ac:dyDescent="0.3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4.25" customHeight="1" x14ac:dyDescent="0.3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4.25" customHeight="1" x14ac:dyDescent="0.3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4.25" customHeight="1" x14ac:dyDescent="0.3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4.25" customHeight="1" x14ac:dyDescent="0.3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4.25" customHeight="1" x14ac:dyDescent="0.3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4.25" customHeight="1" x14ac:dyDescent="0.3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4.25" customHeight="1" x14ac:dyDescent="0.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4.25" customHeight="1" x14ac:dyDescent="0.3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4.25" customHeight="1" x14ac:dyDescent="0.3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4.25" customHeight="1" x14ac:dyDescent="0.3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4.25" customHeight="1" x14ac:dyDescent="0.3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4.25" customHeight="1" x14ac:dyDescent="0.3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4.25" customHeight="1" x14ac:dyDescent="0.3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4.25" customHeight="1" x14ac:dyDescent="0.3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4.25" customHeight="1" x14ac:dyDescent="0.3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4.25" customHeight="1" x14ac:dyDescent="0.3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4.25" customHeight="1" x14ac:dyDescent="0.3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4.25" customHeight="1" x14ac:dyDescent="0.3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4.25" customHeight="1" x14ac:dyDescent="0.3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4.25" customHeight="1" x14ac:dyDescent="0.3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4.25" customHeight="1" x14ac:dyDescent="0.3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4.25" customHeight="1" x14ac:dyDescent="0.3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4.25" customHeight="1" x14ac:dyDescent="0.3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4.25" customHeight="1" x14ac:dyDescent="0.3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4.25" customHeight="1" x14ac:dyDescent="0.3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4.25" customHeight="1" x14ac:dyDescent="0.3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4.25" customHeight="1" x14ac:dyDescent="0.3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4.25" customHeight="1" x14ac:dyDescent="0.3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4.25" customHeight="1" x14ac:dyDescent="0.3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4.25" customHeight="1" x14ac:dyDescent="0.3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4.25" customHeight="1" x14ac:dyDescent="0.3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4.25" customHeight="1" x14ac:dyDescent="0.3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4.25" customHeight="1" x14ac:dyDescent="0.3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4.25" customHeight="1" x14ac:dyDescent="0.3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4.25" customHeight="1" x14ac:dyDescent="0.3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4.25" customHeight="1" x14ac:dyDescent="0.3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4.25" customHeight="1" x14ac:dyDescent="0.3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4.25" customHeight="1" x14ac:dyDescent="0.3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4.25" customHeight="1" x14ac:dyDescent="0.3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4.25" customHeight="1" x14ac:dyDescent="0.3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4.25" customHeight="1" x14ac:dyDescent="0.3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4.25" customHeight="1" x14ac:dyDescent="0.3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4.25" customHeight="1" x14ac:dyDescent="0.3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4.25" customHeight="1" x14ac:dyDescent="0.3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4.25" customHeight="1" x14ac:dyDescent="0.3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4.25" customHeight="1" x14ac:dyDescent="0.3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4.25" customHeight="1" x14ac:dyDescent="0.3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4.25" customHeight="1" x14ac:dyDescent="0.3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4.25" customHeight="1" x14ac:dyDescent="0.3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4.25" customHeight="1" x14ac:dyDescent="0.3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4.25" customHeight="1" x14ac:dyDescent="0.3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4.25" customHeight="1" x14ac:dyDescent="0.3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4.25" customHeight="1" x14ac:dyDescent="0.3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4.25" customHeight="1" x14ac:dyDescent="0.3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4.25" customHeight="1" x14ac:dyDescent="0.3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4.25" customHeight="1" x14ac:dyDescent="0.3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4.25" customHeight="1" x14ac:dyDescent="0.3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4.25" customHeight="1" x14ac:dyDescent="0.3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4.25" customHeight="1" x14ac:dyDescent="0.3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4.25" customHeight="1" x14ac:dyDescent="0.3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4.25" customHeight="1" x14ac:dyDescent="0.3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4.25" customHeight="1" x14ac:dyDescent="0.3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4.25" customHeight="1" x14ac:dyDescent="0.3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4.25" customHeight="1" x14ac:dyDescent="0.3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4.25" customHeight="1" x14ac:dyDescent="0.3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4.25" customHeight="1" x14ac:dyDescent="0.3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4.25" customHeight="1" x14ac:dyDescent="0.3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4.25" customHeight="1" x14ac:dyDescent="0.3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4.25" customHeight="1" x14ac:dyDescent="0.3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4.25" customHeight="1" x14ac:dyDescent="0.3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4.25" customHeight="1" x14ac:dyDescent="0.3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4.25" customHeight="1" x14ac:dyDescent="0.3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4.25" customHeight="1" x14ac:dyDescent="0.3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4.25" customHeight="1" x14ac:dyDescent="0.3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4.25" customHeight="1" x14ac:dyDescent="0.3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4.25" customHeight="1" x14ac:dyDescent="0.3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4.25" customHeight="1" x14ac:dyDescent="0.3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4.25" customHeight="1" x14ac:dyDescent="0.3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4.25" customHeight="1" x14ac:dyDescent="0.3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4.25" customHeight="1" x14ac:dyDescent="0.3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4.25" customHeight="1" x14ac:dyDescent="0.3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4.25" customHeight="1" x14ac:dyDescent="0.3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4.25" customHeight="1" x14ac:dyDescent="0.3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4.25" customHeight="1" x14ac:dyDescent="0.3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4.25" customHeight="1" x14ac:dyDescent="0.3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4.25" customHeight="1" x14ac:dyDescent="0.3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4.25" customHeight="1" x14ac:dyDescent="0.3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4.25" customHeight="1" x14ac:dyDescent="0.3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4.25" customHeight="1" x14ac:dyDescent="0.3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4.25" customHeight="1" x14ac:dyDescent="0.3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4.25" customHeight="1" x14ac:dyDescent="0.3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4.25" customHeight="1" x14ac:dyDescent="0.3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4.25" customHeight="1" x14ac:dyDescent="0.3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4.25" customHeight="1" x14ac:dyDescent="0.3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4.25" customHeight="1" x14ac:dyDescent="0.3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4.25" customHeight="1" x14ac:dyDescent="0.3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4.25" customHeight="1" x14ac:dyDescent="0.3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4.25" customHeight="1" x14ac:dyDescent="0.3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4.25" customHeight="1" x14ac:dyDescent="0.3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4.25" customHeight="1" x14ac:dyDescent="0.3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4.25" customHeight="1" x14ac:dyDescent="0.3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4.25" customHeight="1" x14ac:dyDescent="0.3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4.25" customHeight="1" x14ac:dyDescent="0.3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4.25" customHeight="1" x14ac:dyDescent="0.3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4.25" customHeight="1" x14ac:dyDescent="0.3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4.25" customHeight="1" x14ac:dyDescent="0.3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4.25" customHeight="1" x14ac:dyDescent="0.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4.25" customHeight="1" x14ac:dyDescent="0.3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4.25" customHeight="1" x14ac:dyDescent="0.3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4.25" customHeight="1" x14ac:dyDescent="0.3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4.25" customHeight="1" x14ac:dyDescent="0.3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4.25" customHeight="1" x14ac:dyDescent="0.3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4.25" customHeight="1" x14ac:dyDescent="0.3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4.25" customHeight="1" x14ac:dyDescent="0.3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4.25" customHeight="1" x14ac:dyDescent="0.3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4.25" customHeight="1" x14ac:dyDescent="0.3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4.25" customHeight="1" x14ac:dyDescent="0.3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4.25" customHeight="1" x14ac:dyDescent="0.3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4.25" customHeight="1" x14ac:dyDescent="0.3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4.25" customHeight="1" x14ac:dyDescent="0.3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4.25" customHeight="1" x14ac:dyDescent="0.3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4.25" customHeight="1" x14ac:dyDescent="0.3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4.25" customHeight="1" x14ac:dyDescent="0.3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4.25" customHeight="1" x14ac:dyDescent="0.3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4.25" customHeight="1" x14ac:dyDescent="0.3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4.25" customHeight="1" x14ac:dyDescent="0.3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4.25" customHeight="1" x14ac:dyDescent="0.3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4.25" customHeight="1" x14ac:dyDescent="0.3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4.25" customHeight="1" x14ac:dyDescent="0.3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4.25" customHeight="1" x14ac:dyDescent="0.3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4.25" customHeight="1" x14ac:dyDescent="0.3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4.25" customHeight="1" x14ac:dyDescent="0.3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4.25" customHeight="1" x14ac:dyDescent="0.3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4.25" customHeight="1" x14ac:dyDescent="0.3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4.25" customHeight="1" x14ac:dyDescent="0.3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4.25" customHeight="1" x14ac:dyDescent="0.3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4.25" customHeight="1" x14ac:dyDescent="0.3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4.25" customHeight="1" x14ac:dyDescent="0.3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4.25" customHeight="1" x14ac:dyDescent="0.3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4.25" customHeight="1" x14ac:dyDescent="0.3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4.25" customHeight="1" x14ac:dyDescent="0.3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4.25" customHeight="1" x14ac:dyDescent="0.3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4.25" customHeight="1" x14ac:dyDescent="0.3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4.25" customHeight="1" x14ac:dyDescent="0.3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4.25" customHeight="1" x14ac:dyDescent="0.3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4.25" customHeight="1" x14ac:dyDescent="0.3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4.25" customHeight="1" x14ac:dyDescent="0.3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4.25" customHeight="1" x14ac:dyDescent="0.3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4.25" customHeight="1" x14ac:dyDescent="0.3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4.25" customHeight="1" x14ac:dyDescent="0.3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4.25" customHeight="1" x14ac:dyDescent="0.3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4.25" customHeight="1" x14ac:dyDescent="0.3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4.25" customHeight="1" x14ac:dyDescent="0.3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4.25" customHeight="1" x14ac:dyDescent="0.3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4.25" customHeight="1" x14ac:dyDescent="0.3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4.25" customHeight="1" x14ac:dyDescent="0.3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4.25" customHeight="1" x14ac:dyDescent="0.3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4.25" customHeight="1" x14ac:dyDescent="0.3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4.25" customHeight="1" x14ac:dyDescent="0.3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4.25" customHeight="1" x14ac:dyDescent="0.3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4.25" customHeight="1" x14ac:dyDescent="0.3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4.25" customHeight="1" x14ac:dyDescent="0.3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4.25" customHeight="1" x14ac:dyDescent="0.3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4.25" customHeight="1" x14ac:dyDescent="0.3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4.25" customHeight="1" x14ac:dyDescent="0.3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4.25" customHeight="1" x14ac:dyDescent="0.3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4.25" customHeight="1" x14ac:dyDescent="0.3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4.25" customHeight="1" x14ac:dyDescent="0.3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4.25" customHeight="1" x14ac:dyDescent="0.3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4.25" customHeight="1" x14ac:dyDescent="0.3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4.25" customHeight="1" x14ac:dyDescent="0.3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4.25" customHeight="1" x14ac:dyDescent="0.3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4.25" customHeight="1" x14ac:dyDescent="0.3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4.25" customHeight="1" x14ac:dyDescent="0.3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4.25" customHeight="1" x14ac:dyDescent="0.3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4.25" customHeight="1" x14ac:dyDescent="0.3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4.25" customHeight="1" x14ac:dyDescent="0.3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4.25" customHeight="1" x14ac:dyDescent="0.3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4.25" customHeight="1" x14ac:dyDescent="0.3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4.25" customHeight="1" x14ac:dyDescent="0.3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4.25" customHeight="1" x14ac:dyDescent="0.3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4.25" customHeight="1" x14ac:dyDescent="0.3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4.25" customHeight="1" x14ac:dyDescent="0.3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4.25" customHeight="1" x14ac:dyDescent="0.3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4.25" customHeight="1" x14ac:dyDescent="0.3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4.25" customHeight="1" x14ac:dyDescent="0.3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4.25" customHeight="1" x14ac:dyDescent="0.3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4.25" customHeight="1" x14ac:dyDescent="0.3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4.25" customHeight="1" x14ac:dyDescent="0.3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4.25" customHeight="1" x14ac:dyDescent="0.3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4.25" customHeight="1" x14ac:dyDescent="0.3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4.25" customHeight="1" x14ac:dyDescent="0.3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4.25" customHeight="1" x14ac:dyDescent="0.3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4.25" customHeight="1" x14ac:dyDescent="0.3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4.25" customHeight="1" x14ac:dyDescent="0.3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4.25" customHeight="1" x14ac:dyDescent="0.3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4.25" customHeight="1" x14ac:dyDescent="0.3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4.25" customHeight="1" x14ac:dyDescent="0.3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4.25" customHeight="1" x14ac:dyDescent="0.3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4.25" customHeight="1" x14ac:dyDescent="0.3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4.25" customHeight="1" x14ac:dyDescent="0.3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4.25" customHeight="1" x14ac:dyDescent="0.3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4.25" customHeight="1" x14ac:dyDescent="0.3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4.25" customHeight="1" x14ac:dyDescent="0.3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4.25" customHeight="1" x14ac:dyDescent="0.3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4.25" customHeight="1" x14ac:dyDescent="0.3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4.25" customHeight="1" x14ac:dyDescent="0.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4.25" customHeight="1" x14ac:dyDescent="0.3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4.25" customHeight="1" x14ac:dyDescent="0.3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4.25" customHeight="1" x14ac:dyDescent="0.3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4.25" customHeight="1" x14ac:dyDescent="0.3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4.25" customHeight="1" x14ac:dyDescent="0.3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4.25" customHeight="1" x14ac:dyDescent="0.3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4.25" customHeight="1" x14ac:dyDescent="0.3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4.25" customHeight="1" x14ac:dyDescent="0.3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4.25" customHeight="1" x14ac:dyDescent="0.3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4.25" customHeight="1" x14ac:dyDescent="0.3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4.25" customHeight="1" x14ac:dyDescent="0.3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4.25" customHeight="1" x14ac:dyDescent="0.3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4.25" customHeight="1" x14ac:dyDescent="0.3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4.25" customHeight="1" x14ac:dyDescent="0.3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4.25" customHeight="1" x14ac:dyDescent="0.3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4.25" customHeight="1" x14ac:dyDescent="0.3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4.25" customHeight="1" x14ac:dyDescent="0.3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4.25" customHeight="1" x14ac:dyDescent="0.3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4.25" customHeight="1" x14ac:dyDescent="0.3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4.25" customHeight="1" x14ac:dyDescent="0.3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4.25" customHeight="1" x14ac:dyDescent="0.3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4.25" customHeight="1" x14ac:dyDescent="0.3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4.25" customHeight="1" x14ac:dyDescent="0.3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4.25" customHeight="1" x14ac:dyDescent="0.3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4.25" customHeight="1" x14ac:dyDescent="0.3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4.25" customHeight="1" x14ac:dyDescent="0.3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4.25" customHeight="1" x14ac:dyDescent="0.3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4.25" customHeight="1" x14ac:dyDescent="0.3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4.25" customHeight="1" x14ac:dyDescent="0.3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4.25" customHeight="1" x14ac:dyDescent="0.3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4.25" customHeight="1" x14ac:dyDescent="0.3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4.25" customHeight="1" x14ac:dyDescent="0.3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4.25" customHeight="1" x14ac:dyDescent="0.3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4.25" customHeight="1" x14ac:dyDescent="0.3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4.25" customHeight="1" x14ac:dyDescent="0.3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4.25" customHeight="1" x14ac:dyDescent="0.3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4.25" customHeight="1" x14ac:dyDescent="0.3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4.25" customHeight="1" x14ac:dyDescent="0.3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4.25" customHeight="1" x14ac:dyDescent="0.3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4.25" customHeight="1" x14ac:dyDescent="0.3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4.25" customHeight="1" x14ac:dyDescent="0.3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4.25" customHeight="1" x14ac:dyDescent="0.3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4.25" customHeight="1" x14ac:dyDescent="0.3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4.25" customHeight="1" x14ac:dyDescent="0.3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4.25" customHeight="1" x14ac:dyDescent="0.3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4.25" customHeight="1" x14ac:dyDescent="0.3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4.25" customHeight="1" x14ac:dyDescent="0.3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4.25" customHeight="1" x14ac:dyDescent="0.3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4.25" customHeight="1" x14ac:dyDescent="0.3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4.25" customHeight="1" x14ac:dyDescent="0.3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4.25" customHeight="1" x14ac:dyDescent="0.3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4.25" customHeight="1" x14ac:dyDescent="0.3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4.25" customHeight="1" x14ac:dyDescent="0.3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4.25" customHeight="1" x14ac:dyDescent="0.3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4.25" customHeight="1" x14ac:dyDescent="0.3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4.25" customHeight="1" x14ac:dyDescent="0.3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4.25" customHeight="1" x14ac:dyDescent="0.3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4.25" customHeight="1" x14ac:dyDescent="0.3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4.25" customHeight="1" x14ac:dyDescent="0.3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4.25" customHeight="1" x14ac:dyDescent="0.3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4.25" customHeight="1" x14ac:dyDescent="0.3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4.25" customHeight="1" x14ac:dyDescent="0.3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4.25" customHeight="1" x14ac:dyDescent="0.3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4.25" customHeight="1" x14ac:dyDescent="0.3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4.25" customHeight="1" x14ac:dyDescent="0.3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4.25" customHeight="1" x14ac:dyDescent="0.3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4.25" customHeight="1" x14ac:dyDescent="0.3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4.25" customHeight="1" x14ac:dyDescent="0.3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4.25" customHeight="1" x14ac:dyDescent="0.3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4.25" customHeight="1" x14ac:dyDescent="0.3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4.25" customHeight="1" x14ac:dyDescent="0.3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4.25" customHeight="1" x14ac:dyDescent="0.3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4.25" customHeight="1" x14ac:dyDescent="0.3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4.25" customHeight="1" x14ac:dyDescent="0.3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4.25" customHeight="1" x14ac:dyDescent="0.3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4.25" customHeight="1" x14ac:dyDescent="0.3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4.25" customHeight="1" x14ac:dyDescent="0.3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4.25" customHeight="1" x14ac:dyDescent="0.3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4.25" customHeight="1" x14ac:dyDescent="0.3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4.25" customHeight="1" x14ac:dyDescent="0.3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4.25" customHeight="1" x14ac:dyDescent="0.3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4.25" customHeight="1" x14ac:dyDescent="0.3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4.25" customHeight="1" x14ac:dyDescent="0.3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4.25" customHeight="1" x14ac:dyDescent="0.3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4.25" customHeight="1" x14ac:dyDescent="0.3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4.25" customHeight="1" x14ac:dyDescent="0.3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4.25" customHeight="1" x14ac:dyDescent="0.3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4.25" customHeight="1" x14ac:dyDescent="0.3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4.25" customHeight="1" x14ac:dyDescent="0.3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4.25" customHeight="1" x14ac:dyDescent="0.3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4.25" customHeight="1" x14ac:dyDescent="0.3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4.25" customHeight="1" x14ac:dyDescent="0.3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4.25" customHeight="1" x14ac:dyDescent="0.3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4.25" customHeight="1" x14ac:dyDescent="0.3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4.25" customHeight="1" x14ac:dyDescent="0.3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4.25" customHeight="1" x14ac:dyDescent="0.3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4.25" customHeight="1" x14ac:dyDescent="0.3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4.25" customHeight="1" x14ac:dyDescent="0.3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4.25" customHeight="1" x14ac:dyDescent="0.3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4.25" customHeight="1" x14ac:dyDescent="0.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4.25" customHeight="1" x14ac:dyDescent="0.3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4.25" customHeight="1" x14ac:dyDescent="0.3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4.25" customHeight="1" x14ac:dyDescent="0.3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4.25" customHeight="1" x14ac:dyDescent="0.3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4.25" customHeight="1" x14ac:dyDescent="0.3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4.25" customHeight="1" x14ac:dyDescent="0.3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4.25" customHeight="1" x14ac:dyDescent="0.3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4.25" customHeight="1" x14ac:dyDescent="0.3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4.25" customHeight="1" x14ac:dyDescent="0.3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4.25" customHeight="1" x14ac:dyDescent="0.3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4.25" customHeight="1" x14ac:dyDescent="0.3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4.25" customHeight="1" x14ac:dyDescent="0.3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4.25" customHeight="1" x14ac:dyDescent="0.3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4.25" customHeight="1" x14ac:dyDescent="0.3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4.25" customHeight="1" x14ac:dyDescent="0.3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4.25" customHeight="1" x14ac:dyDescent="0.3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4.25" customHeight="1" x14ac:dyDescent="0.3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4.25" customHeight="1" x14ac:dyDescent="0.3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4.25" customHeight="1" x14ac:dyDescent="0.3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4.25" customHeight="1" x14ac:dyDescent="0.3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4.25" customHeight="1" x14ac:dyDescent="0.3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4.25" customHeight="1" x14ac:dyDescent="0.3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4.25" customHeight="1" x14ac:dyDescent="0.3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4.25" customHeight="1" x14ac:dyDescent="0.3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4.25" customHeight="1" x14ac:dyDescent="0.3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4.25" customHeight="1" x14ac:dyDescent="0.3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4.25" customHeight="1" x14ac:dyDescent="0.3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4.25" customHeight="1" x14ac:dyDescent="0.3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4.25" customHeight="1" x14ac:dyDescent="0.3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4.25" customHeight="1" x14ac:dyDescent="0.3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4.25" customHeight="1" x14ac:dyDescent="0.3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4.25" customHeight="1" x14ac:dyDescent="0.3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4.25" customHeight="1" x14ac:dyDescent="0.3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4.25" customHeight="1" x14ac:dyDescent="0.3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4.25" customHeight="1" x14ac:dyDescent="0.3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4.25" customHeight="1" x14ac:dyDescent="0.3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4.25" customHeight="1" x14ac:dyDescent="0.3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4.25" customHeight="1" x14ac:dyDescent="0.3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4.25" customHeight="1" x14ac:dyDescent="0.3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4.25" customHeight="1" x14ac:dyDescent="0.3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4.25" customHeight="1" x14ac:dyDescent="0.3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4.25" customHeight="1" x14ac:dyDescent="0.3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4.25" customHeight="1" x14ac:dyDescent="0.3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4.25" customHeight="1" x14ac:dyDescent="0.3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4.25" customHeight="1" x14ac:dyDescent="0.3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4.25" customHeight="1" x14ac:dyDescent="0.3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4.25" customHeight="1" x14ac:dyDescent="0.3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4.25" customHeight="1" x14ac:dyDescent="0.3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4.25" customHeight="1" x14ac:dyDescent="0.3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4.25" customHeight="1" x14ac:dyDescent="0.3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4.25" customHeight="1" x14ac:dyDescent="0.3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4.25" customHeight="1" x14ac:dyDescent="0.3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4.25" customHeight="1" x14ac:dyDescent="0.3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4.25" customHeight="1" x14ac:dyDescent="0.3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4.25" customHeight="1" x14ac:dyDescent="0.3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4.25" customHeight="1" x14ac:dyDescent="0.3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4.25" customHeight="1" x14ac:dyDescent="0.3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4.25" customHeight="1" x14ac:dyDescent="0.3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4.25" customHeight="1" x14ac:dyDescent="0.3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4.25" customHeight="1" x14ac:dyDescent="0.3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4.25" customHeight="1" x14ac:dyDescent="0.3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4.25" customHeight="1" x14ac:dyDescent="0.3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4.25" customHeight="1" x14ac:dyDescent="0.3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4.25" customHeight="1" x14ac:dyDescent="0.3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4.25" customHeight="1" x14ac:dyDescent="0.3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4.25" customHeight="1" x14ac:dyDescent="0.3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4.25" customHeight="1" x14ac:dyDescent="0.3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4.25" customHeight="1" x14ac:dyDescent="0.3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4.25" customHeight="1" x14ac:dyDescent="0.3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4.25" customHeight="1" x14ac:dyDescent="0.3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4.25" customHeight="1" x14ac:dyDescent="0.3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4.25" customHeight="1" x14ac:dyDescent="0.3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4.25" customHeight="1" x14ac:dyDescent="0.3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4.25" customHeight="1" x14ac:dyDescent="0.3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4.25" customHeight="1" x14ac:dyDescent="0.3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4.25" customHeight="1" x14ac:dyDescent="0.3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4.25" customHeight="1" x14ac:dyDescent="0.3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4.25" customHeight="1" x14ac:dyDescent="0.3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4.25" customHeight="1" x14ac:dyDescent="0.3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4.25" customHeight="1" x14ac:dyDescent="0.3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4.25" customHeight="1" x14ac:dyDescent="0.3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4.25" customHeight="1" x14ac:dyDescent="0.3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4.25" customHeight="1" x14ac:dyDescent="0.3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4.25" customHeight="1" x14ac:dyDescent="0.3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4.25" customHeight="1" x14ac:dyDescent="0.3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4.25" customHeight="1" x14ac:dyDescent="0.3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4.25" customHeight="1" x14ac:dyDescent="0.3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4.25" customHeight="1" x14ac:dyDescent="0.3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4.25" customHeight="1" x14ac:dyDescent="0.3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4.25" customHeight="1" x14ac:dyDescent="0.3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4.25" customHeight="1" x14ac:dyDescent="0.3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4.25" customHeight="1" x14ac:dyDescent="0.3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4.25" customHeight="1" x14ac:dyDescent="0.3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4.25" customHeight="1" x14ac:dyDescent="0.3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4.25" customHeight="1" x14ac:dyDescent="0.3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4.25" customHeight="1" x14ac:dyDescent="0.3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4.25" customHeight="1" x14ac:dyDescent="0.3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4.25" customHeight="1" x14ac:dyDescent="0.3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4.25" customHeight="1" x14ac:dyDescent="0.3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4.25" customHeight="1" x14ac:dyDescent="0.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4.25" customHeight="1" x14ac:dyDescent="0.3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4.25" customHeight="1" x14ac:dyDescent="0.3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4.25" customHeight="1" x14ac:dyDescent="0.3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4.25" customHeight="1" x14ac:dyDescent="0.3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4.25" customHeight="1" x14ac:dyDescent="0.3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4.25" customHeight="1" x14ac:dyDescent="0.3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4.25" customHeight="1" x14ac:dyDescent="0.3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4.25" customHeight="1" x14ac:dyDescent="0.3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4.25" customHeight="1" x14ac:dyDescent="0.3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4.25" customHeight="1" x14ac:dyDescent="0.3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4.25" customHeight="1" x14ac:dyDescent="0.3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4.25" customHeight="1" x14ac:dyDescent="0.3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4.25" customHeight="1" x14ac:dyDescent="0.3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4.25" customHeight="1" x14ac:dyDescent="0.3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4.25" customHeight="1" x14ac:dyDescent="0.3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4.25" customHeight="1" x14ac:dyDescent="0.3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4.25" customHeight="1" x14ac:dyDescent="0.3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4.25" customHeight="1" x14ac:dyDescent="0.3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4.25" customHeight="1" x14ac:dyDescent="0.3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4.25" customHeight="1" x14ac:dyDescent="0.3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4.25" customHeight="1" x14ac:dyDescent="0.3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4.25" customHeight="1" x14ac:dyDescent="0.3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4.25" customHeight="1" x14ac:dyDescent="0.3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4.25" customHeight="1" x14ac:dyDescent="0.3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4.25" customHeight="1" x14ac:dyDescent="0.3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4.25" customHeight="1" x14ac:dyDescent="0.3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4.25" customHeight="1" x14ac:dyDescent="0.3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4.25" customHeight="1" x14ac:dyDescent="0.3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4.25" customHeight="1" x14ac:dyDescent="0.3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4.25" customHeight="1" x14ac:dyDescent="0.3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4.25" customHeight="1" x14ac:dyDescent="0.3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4.25" customHeight="1" x14ac:dyDescent="0.3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4.25" customHeight="1" x14ac:dyDescent="0.3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4.25" customHeight="1" x14ac:dyDescent="0.3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4.25" customHeight="1" x14ac:dyDescent="0.3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4.25" customHeight="1" x14ac:dyDescent="0.3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4.25" customHeight="1" x14ac:dyDescent="0.3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4.25" customHeight="1" x14ac:dyDescent="0.3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4.25" customHeight="1" x14ac:dyDescent="0.3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4.25" customHeight="1" x14ac:dyDescent="0.3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4.25" customHeight="1" x14ac:dyDescent="0.3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4.25" customHeight="1" x14ac:dyDescent="0.3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4.25" customHeight="1" x14ac:dyDescent="0.3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4.25" customHeight="1" x14ac:dyDescent="0.3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4.25" customHeight="1" x14ac:dyDescent="0.3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4.25" customHeight="1" x14ac:dyDescent="0.3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4.25" customHeight="1" x14ac:dyDescent="0.3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4.25" customHeight="1" x14ac:dyDescent="0.3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4.25" customHeight="1" x14ac:dyDescent="0.3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4.25" customHeight="1" x14ac:dyDescent="0.3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4.25" customHeight="1" x14ac:dyDescent="0.3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4.25" customHeight="1" x14ac:dyDescent="0.3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4.25" customHeight="1" x14ac:dyDescent="0.3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4.25" customHeight="1" x14ac:dyDescent="0.3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4.25" customHeight="1" x14ac:dyDescent="0.3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4.25" customHeight="1" x14ac:dyDescent="0.3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4.25" customHeight="1" x14ac:dyDescent="0.3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4.25" customHeight="1" x14ac:dyDescent="0.3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4.25" customHeight="1" x14ac:dyDescent="0.3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4.25" customHeight="1" x14ac:dyDescent="0.3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4.25" customHeight="1" x14ac:dyDescent="0.3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4.25" customHeight="1" x14ac:dyDescent="0.3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4.25" customHeight="1" x14ac:dyDescent="0.3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4.25" customHeight="1" x14ac:dyDescent="0.3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4.25" customHeight="1" x14ac:dyDescent="0.3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4.25" customHeight="1" x14ac:dyDescent="0.3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4.25" customHeight="1" x14ac:dyDescent="0.3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4.25" customHeight="1" x14ac:dyDescent="0.3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4.25" customHeight="1" x14ac:dyDescent="0.3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4.25" customHeight="1" x14ac:dyDescent="0.3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4.25" customHeight="1" x14ac:dyDescent="0.3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4.25" customHeight="1" x14ac:dyDescent="0.3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4.25" customHeight="1" x14ac:dyDescent="0.3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4.25" customHeight="1" x14ac:dyDescent="0.3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4.25" customHeight="1" x14ac:dyDescent="0.3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4.25" customHeight="1" x14ac:dyDescent="0.3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4.25" customHeight="1" x14ac:dyDescent="0.3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4.25" customHeight="1" x14ac:dyDescent="0.3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4.25" customHeight="1" x14ac:dyDescent="0.3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4.25" customHeight="1" x14ac:dyDescent="0.3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4.25" customHeight="1" x14ac:dyDescent="0.3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4.25" customHeight="1" x14ac:dyDescent="0.3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4.25" customHeight="1" x14ac:dyDescent="0.3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4.25" customHeight="1" x14ac:dyDescent="0.3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4.25" customHeight="1" x14ac:dyDescent="0.3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4.25" customHeight="1" x14ac:dyDescent="0.3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4.25" customHeight="1" x14ac:dyDescent="0.3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4.25" customHeight="1" x14ac:dyDescent="0.3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4.25" customHeight="1" x14ac:dyDescent="0.3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4.25" customHeight="1" x14ac:dyDescent="0.3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4.25" customHeight="1" x14ac:dyDescent="0.3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4.25" customHeight="1" x14ac:dyDescent="0.3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4.25" customHeight="1" x14ac:dyDescent="0.3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4.25" customHeight="1" x14ac:dyDescent="0.3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4.25" customHeight="1" x14ac:dyDescent="0.3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4.25" customHeight="1" x14ac:dyDescent="0.3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4.25" customHeight="1" x14ac:dyDescent="0.3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4.25" customHeight="1" x14ac:dyDescent="0.3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4.25" customHeight="1" x14ac:dyDescent="0.3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4.25" customHeight="1" x14ac:dyDescent="0.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4.25" customHeight="1" x14ac:dyDescent="0.3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4.25" customHeight="1" x14ac:dyDescent="0.3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4.25" customHeight="1" x14ac:dyDescent="0.3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4.25" customHeight="1" x14ac:dyDescent="0.3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4.25" customHeight="1" x14ac:dyDescent="0.3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4.25" customHeight="1" x14ac:dyDescent="0.3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4.25" customHeight="1" x14ac:dyDescent="0.3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4.25" customHeight="1" x14ac:dyDescent="0.3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4.25" customHeight="1" x14ac:dyDescent="0.3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4.25" customHeight="1" x14ac:dyDescent="0.3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4.25" customHeight="1" x14ac:dyDescent="0.3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4.25" customHeight="1" x14ac:dyDescent="0.3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4.25" customHeight="1" x14ac:dyDescent="0.3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4.25" customHeight="1" x14ac:dyDescent="0.3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4.25" customHeight="1" x14ac:dyDescent="0.3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4.25" customHeight="1" x14ac:dyDescent="0.3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4.25" customHeight="1" x14ac:dyDescent="0.3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4.25" customHeight="1" x14ac:dyDescent="0.3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4.25" customHeight="1" x14ac:dyDescent="0.3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4.25" customHeight="1" x14ac:dyDescent="0.3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4.25" customHeight="1" x14ac:dyDescent="0.3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4.25" customHeight="1" x14ac:dyDescent="0.3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4.25" customHeight="1" x14ac:dyDescent="0.3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4.25" customHeight="1" x14ac:dyDescent="0.3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4.25" customHeight="1" x14ac:dyDescent="0.3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4.25" customHeight="1" x14ac:dyDescent="0.3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4.25" customHeight="1" x14ac:dyDescent="0.3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4.25" customHeight="1" x14ac:dyDescent="0.3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4.25" customHeight="1" x14ac:dyDescent="0.3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4.25" customHeight="1" x14ac:dyDescent="0.3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4.25" customHeight="1" x14ac:dyDescent="0.3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4.25" customHeight="1" x14ac:dyDescent="0.3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4.25" customHeight="1" x14ac:dyDescent="0.3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4.25" customHeight="1" x14ac:dyDescent="0.3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4.25" customHeight="1" x14ac:dyDescent="0.3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4.25" customHeight="1" x14ac:dyDescent="0.3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4.25" customHeight="1" x14ac:dyDescent="0.3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4.25" customHeight="1" x14ac:dyDescent="0.3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4.25" customHeight="1" x14ac:dyDescent="0.3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4.25" customHeight="1" x14ac:dyDescent="0.3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4.25" customHeight="1" x14ac:dyDescent="0.3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4.25" customHeight="1" x14ac:dyDescent="0.3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4.25" customHeight="1" x14ac:dyDescent="0.3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4.25" customHeight="1" x14ac:dyDescent="0.3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4.25" customHeight="1" x14ac:dyDescent="0.3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4.25" customHeight="1" x14ac:dyDescent="0.3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4.25" customHeight="1" x14ac:dyDescent="0.3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4.25" customHeight="1" x14ac:dyDescent="0.3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4.25" customHeight="1" x14ac:dyDescent="0.3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4.25" customHeight="1" x14ac:dyDescent="0.3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4.25" customHeight="1" x14ac:dyDescent="0.3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4.25" customHeight="1" x14ac:dyDescent="0.3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4.25" customHeight="1" x14ac:dyDescent="0.3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4.25" customHeight="1" x14ac:dyDescent="0.3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4.25" customHeight="1" x14ac:dyDescent="0.3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4.25" customHeight="1" x14ac:dyDescent="0.3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4.25" customHeight="1" x14ac:dyDescent="0.3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4.25" customHeight="1" x14ac:dyDescent="0.3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4.25" customHeight="1" x14ac:dyDescent="0.3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4.25" customHeight="1" x14ac:dyDescent="0.3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4.25" customHeight="1" x14ac:dyDescent="0.3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4.25" customHeight="1" x14ac:dyDescent="0.3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4.25" customHeight="1" x14ac:dyDescent="0.3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4.25" customHeight="1" x14ac:dyDescent="0.3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4.25" customHeight="1" x14ac:dyDescent="0.3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B1:N184" xr:uid="{00000000-0009-0000-0000-000002000000}"/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40"/>
  <sheetViews>
    <sheetView zoomScale="115" zoomScaleNormal="115" workbookViewId="0">
      <pane ySplit="1" topLeftCell="A187" activePane="bottomLeft" state="frozen"/>
      <selection pane="bottomLeft" activeCell="A60" sqref="A60:XFD60"/>
    </sheetView>
  </sheetViews>
  <sheetFormatPr defaultColWidth="14.453125" defaultRowHeight="15" customHeight="1" x14ac:dyDescent="0.35"/>
  <cols>
    <col min="1" max="1" width="2.36328125" customWidth="1"/>
    <col min="2" max="2" width="23.08984375" customWidth="1"/>
    <col min="3" max="3" width="35" customWidth="1"/>
    <col min="4" max="4" width="30.81640625" hidden="1" customWidth="1"/>
    <col min="5" max="5" width="11.36328125" hidden="1" customWidth="1"/>
    <col min="6" max="6" width="10.6328125" hidden="1" customWidth="1"/>
    <col min="7" max="7" width="10" customWidth="1"/>
    <col min="8" max="8" width="11" hidden="1" customWidth="1"/>
    <col min="9" max="9" width="9.36328125" hidden="1" customWidth="1"/>
    <col min="10" max="10" width="11.54296875" hidden="1" customWidth="1"/>
    <col min="11" max="11" width="26.36328125" hidden="1" customWidth="1"/>
    <col min="12" max="12" width="11.453125" customWidth="1"/>
    <col min="13" max="13" width="13.08984375" customWidth="1"/>
    <col min="14" max="14" width="12.08984375" customWidth="1"/>
    <col min="15" max="15" width="11.6328125" customWidth="1"/>
    <col min="16" max="16" width="8.90625" customWidth="1"/>
    <col min="17" max="17" width="10" customWidth="1"/>
    <col min="18" max="18" width="13.36328125" customWidth="1"/>
    <col min="19" max="19" width="11.54296875" customWidth="1"/>
    <col min="20" max="26" width="8.90625" customWidth="1"/>
    <col min="27" max="27" width="9.36328125" customWidth="1"/>
  </cols>
  <sheetData>
    <row r="1" spans="1:27" ht="42" customHeight="1" x14ac:dyDescent="0.35">
      <c r="A1" s="18"/>
      <c r="B1" s="19" t="s">
        <v>57</v>
      </c>
      <c r="C1" s="20" t="s">
        <v>58</v>
      </c>
      <c r="D1" s="20" t="s">
        <v>59</v>
      </c>
      <c r="E1" s="20" t="s">
        <v>232</v>
      </c>
      <c r="F1" s="20" t="s">
        <v>233</v>
      </c>
      <c r="G1" s="20" t="s">
        <v>234</v>
      </c>
      <c r="H1" s="20" t="s">
        <v>235</v>
      </c>
      <c r="I1" s="20" t="s">
        <v>236</v>
      </c>
      <c r="J1" s="20" t="s">
        <v>237</v>
      </c>
      <c r="K1" s="21" t="s">
        <v>238</v>
      </c>
      <c r="L1" s="20" t="s">
        <v>239</v>
      </c>
      <c r="M1" s="20" t="s">
        <v>240</v>
      </c>
      <c r="N1" s="20" t="s">
        <v>241</v>
      </c>
      <c r="O1" s="18"/>
      <c r="P1" s="51" t="s">
        <v>349</v>
      </c>
      <c r="Q1" s="52" t="s">
        <v>350</v>
      </c>
      <c r="R1" s="52" t="s">
        <v>351</v>
      </c>
      <c r="S1" s="52" t="s">
        <v>352</v>
      </c>
      <c r="T1" s="51" t="s">
        <v>353</v>
      </c>
      <c r="U1" s="51" t="s">
        <v>354</v>
      </c>
      <c r="V1" s="51" t="s">
        <v>355</v>
      </c>
      <c r="W1" s="18"/>
      <c r="X1" s="51" t="s">
        <v>353</v>
      </c>
      <c r="Y1" s="51" t="s">
        <v>354</v>
      </c>
      <c r="Z1" s="51" t="s">
        <v>355</v>
      </c>
      <c r="AA1" s="18"/>
    </row>
    <row r="2" spans="1:27" ht="14.25" customHeight="1" x14ac:dyDescent="0.35">
      <c r="A2" s="18"/>
      <c r="B2" s="22" t="s">
        <v>242</v>
      </c>
      <c r="C2" s="23" t="s">
        <v>142</v>
      </c>
      <c r="D2" s="23"/>
      <c r="E2" s="24">
        <v>1</v>
      </c>
      <c r="F2" s="25">
        <v>0.65</v>
      </c>
      <c r="G2" s="25">
        <f>F2</f>
        <v>0.65</v>
      </c>
      <c r="H2" s="26" t="s">
        <v>243</v>
      </c>
      <c r="I2" s="27"/>
      <c r="J2" s="28">
        <v>45663</v>
      </c>
      <c r="K2" s="29"/>
      <c r="L2" s="30">
        <f t="shared" ref="L2:L24" si="0">G2-M2-N2</f>
        <v>0.65</v>
      </c>
      <c r="M2" s="30"/>
      <c r="N2" s="30"/>
      <c r="O2" s="18"/>
      <c r="P2" s="53">
        <f>(Q2-S2)/Q2</f>
        <v>0.2476571428571428</v>
      </c>
      <c r="Q2" s="50">
        <f>G2*R2</f>
        <v>227.5</v>
      </c>
      <c r="R2" s="50" cm="1">
        <f t="array" ref="R2">_xlfn.IFS(C2="Calandra",(350),C2="Peletização",(421),C2="Dublagem Spun",(250),C2="Dublagem Cretone PES",(180),C2="Felpagem",(270/E2),C2="Emborrachamento",(200),C2="Espelhamento",(250),C2="Malha",(1),C2="Dublagem Cretone",(180),C2="Malha",(1),C2="Dublagem Spun - MO",250,C2="Dublagem Cretone - MO",180,C2="Dublagem Cretone PES - MO",180,C2="Espelhamento - MO",250,C2="Emborrachamento",100,C2="Malha",0,C2="Dublagem Barreira",100,C2="Pel. + Cal.",350,C2="Fel. + Pel. + Cal.",270,C2="Pel. + Spun",250,C2="Espelhamento - L: 1,45m",200,C2="Espelhamento - L: 1,65m",200,C2="Estampagem",100,C2="Fel. + Cal.",270,C2="Dublagem Juta",180,C2="Dublagem Cretone - MO (Juta)",180,C2="Dublagem Tapete",150,C2="Esp. + Pel.",200,C2="Espelhamento 2x",100)</f>
        <v>350</v>
      </c>
      <c r="S2" s="50">
        <f>(T2*X2)+(U2*Y2)+(V2*Z2)+((M2+N2)*(R2))</f>
        <v>171.15800000000002</v>
      </c>
      <c r="T2" s="18" cm="1">
        <f t="array" ref="T2">_xlfn.IFS(C2="Calandra",0.4,C2="Felpagem",0.3,C2="Dublagem Spun",0.8,C2="Dublagem Cretone",0.8,C2="Dublagem Cretone PES",0.8,C2="Espelhamento",0.8,C2="Peletização",0.5,C2="Dublagem Spun - MO",0.8,C2="Dublagem Cretone - MO",0.8,C2="Dublagem Cretone PES - MO",0.8,C2="Espelhamento - MO",0.8,C2="Emborrachamento",1,C2="Malha",0,C2="Dublagem Barreira",1,C2="Pel. + Cal.",0.4,C2="Fel. + Pel. + Cal.",0.5,C2="Pel. + Spun",0.8,C2="Espelhamento - L: 1,45m",0.8,C2="Espelhamento - L: 1,65m",0.8,C2="Estampagem",1,C2="Fel. + Cal.",0.4,C2="Dublagem Juta",0.8,C2="Dublagem Cretone - MO (Juta)",0.8,C2="Dublagem Tapete",0.8,C2="Esp. + Pel.",0.8,C2="Espelhamento 2x",0.8)</f>
        <v>0.4</v>
      </c>
      <c r="U2" s="18">
        <v>1</v>
      </c>
      <c r="V2" s="18">
        <v>1</v>
      </c>
      <c r="W2" s="18"/>
      <c r="X2" s="18">
        <v>39.67</v>
      </c>
      <c r="Y2" s="18">
        <v>38.51</v>
      </c>
      <c r="Z2" s="18">
        <v>116.78</v>
      </c>
      <c r="AA2" s="18"/>
    </row>
    <row r="3" spans="1:27" ht="14.25" customHeight="1" x14ac:dyDescent="0.35">
      <c r="A3" s="18"/>
      <c r="B3" s="22" t="s">
        <v>242</v>
      </c>
      <c r="C3" s="23" t="s">
        <v>244</v>
      </c>
      <c r="D3" s="23"/>
      <c r="E3" s="24">
        <v>1</v>
      </c>
      <c r="F3" s="25">
        <f>4.1+1.5</f>
        <v>5.6</v>
      </c>
      <c r="G3" s="25">
        <f>F3</f>
        <v>5.6</v>
      </c>
      <c r="H3" s="26" t="s">
        <v>243</v>
      </c>
      <c r="I3" s="27"/>
      <c r="J3" s="28">
        <v>45663</v>
      </c>
      <c r="K3" s="29"/>
      <c r="L3" s="30">
        <f t="shared" si="0"/>
        <v>2.0999999999999996</v>
      </c>
      <c r="M3" s="30">
        <v>3.5</v>
      </c>
      <c r="N3" s="30"/>
      <c r="O3" s="18"/>
      <c r="P3" s="53">
        <f t="shared" ref="P3:P92" si="1">(Q3-S3)/Q3</f>
        <v>0.2009285714285714</v>
      </c>
      <c r="Q3" s="50">
        <f t="shared" ref="Q3:Q92" si="2">G3*R3</f>
        <v>1120</v>
      </c>
      <c r="R3" s="50" cm="1">
        <f t="array" ref="R3">_xlfn.IFS(C3="Calandra",(350),C3="Peletização",(421),C3="Dublagem Spun",(250),C3="Dublagem Cretone PES",(180),C3="Felpagem",(270/E3),C3="Emborrachamento",(200),C3="Espelhamento",(250),C3="Malha",(1),C3="Dublagem Cretone",(180),C3="Malha",(1),C3="Dublagem Spun - MO",250,C3="Dublagem Cretone - MO",180,C3="Dublagem Cretone PES - MO",180,C3="Espelhamento - MO",250,C3="Emborrachamento",100,C3="Malha",0,C3="Dublagem Barreira",100,C3="Pel. + Cal.",350,C3="Fel. + Pel. + Cal.",270,C3="Pel. + Spun",250,C3="Espelhamento - L: 1,45m",200,C3="Espelhamento - L: 1,65m",200,C3="Estampagem",100,C3="Fel. + Cal.",270,C3="Dublagem Juta",180,C3="Dublagem Cretone - MO (Juta)",180,C3="Dublagem Tapete",150,C3="Esp. + Pel.",200,C3="Espelhamento 2x",100)</f>
        <v>200</v>
      </c>
      <c r="S3" s="50">
        <f t="shared" ref="S3:S73" si="3">(T3*X3)+(U3*Y3)+(V3*Z3)+((M3+N3)*(R3))</f>
        <v>894.96</v>
      </c>
      <c r="T3" s="18" cm="1">
        <f t="array" ref="T3">_xlfn.IFS(C3="Calandra",0.4,C3="Felpagem",0.3,C3="Dublagem Spun",0.8,C3="Dublagem Cretone",0.8,C3="Dublagem Cretone PES",0.8,C3="Espelhamento",0.8,C3="Peletização",0.5,C3="Dublagem Spun - MO",0.8,C3="Dublagem Cretone - MO",0.8,C3="Dublagem Cretone PES - MO",0.8,C3="Espelhamento - MO",0.8,C3="Emborrachamento",1,C3="Malha",0,C3="Dublagem Barreira",1,C3="Pel. + Cal.",0.4,C3="Fel. + Pel. + Cal.",0.5,C3="Pel. + Spun",0.8,C3="Espelhamento - L: 1,45m",0.8,C3="Espelhamento - L: 1,65m",0.8,C3="Estampagem",1,C3="Fel. + Cal.",0.4,C3="Dublagem Juta",0.8,C3="Dublagem Cretone - MO (Juta)",0.8,C3="Dublagem Tapete",0.8,C3="Esp. + Pel.",0.8,C3="Espelhamento 2x",0.8)</f>
        <v>1</v>
      </c>
      <c r="U3" s="18">
        <v>1</v>
      </c>
      <c r="V3" s="18">
        <v>1</v>
      </c>
      <c r="W3" s="18"/>
      <c r="X3" s="18">
        <v>39.67</v>
      </c>
      <c r="Y3" s="18">
        <v>38.51</v>
      </c>
      <c r="Z3" s="18">
        <v>116.78</v>
      </c>
      <c r="AA3" s="18"/>
    </row>
    <row r="4" spans="1:27" ht="14.25" customHeight="1" x14ac:dyDescent="0.35">
      <c r="A4" s="18"/>
      <c r="B4" s="22" t="s">
        <v>245</v>
      </c>
      <c r="C4" s="23" t="s">
        <v>144</v>
      </c>
      <c r="D4" s="23"/>
      <c r="E4" s="24">
        <v>1</v>
      </c>
      <c r="F4" s="25">
        <v>0.65</v>
      </c>
      <c r="G4" s="25">
        <f>F4</f>
        <v>0.65</v>
      </c>
      <c r="H4" s="26" t="s">
        <v>243</v>
      </c>
      <c r="I4" s="31">
        <f t="shared" ref="I4:I20" si="4">G4/E4</f>
        <v>0.65</v>
      </c>
      <c r="J4" s="28">
        <v>45663</v>
      </c>
      <c r="K4" s="29"/>
      <c r="L4" s="30">
        <f t="shared" si="0"/>
        <v>0.65</v>
      </c>
      <c r="M4" s="30">
        <f>IF(B4="Texion Textil",0,IF(C4="Malha",'Custos insumos'!$B$24,IF(C4="Dublagem Cretone",'Custos insumos'!$D$7,IF(C4="Dublagem Spun",'Custos insumos'!$D$4,IF(C4="Espelhamento",'Custos insumos'!$B$11,IF(C4="Espelhamento 2x",2*'Custos insumos'!$B$11,IF(C4="Esp. + Pel.",'Custos insumos'!$B$11,IF(C4="Pel. + Spun",'Custos insumos'!$D$4,IF(C4="Dublagem Cretone PES",'Custos insumos'!$D$7,IF(C4="Dublagem Barreira",'Custos insumos'!$D$11,IF(C4="Dublagem - MO + Filme",'Custos insumos'!$D$4,)))))))))))</f>
        <v>0</v>
      </c>
      <c r="N4" s="30">
        <f>IF(B4="Texion Textil",0,IF(B4="Três Elos",0,IF(C4="Malha",0,IF(C4="Dublagem Cretone",'Custos insumos'!$D$23,IF(C4="Dublagem Spun",'Custos insumos'!$D$19,IF(C4="Espelhamento",0,IF(C4="Espelhamento 2x",0,IF(C4="Esp. + Pel.",0,IF(C4="Pel. + Spun",'Custos insumos'!$D$19,IF(C4="Dublagem Cretone PES",'Custos insumos'!$F$25,IF(C4="Dublagem Barreira",'Custos insumos'!$D$22,)))))))))))</f>
        <v>0</v>
      </c>
      <c r="O4" s="18"/>
      <c r="P4" s="53">
        <f t="shared" si="1"/>
        <v>0.36004019733235892</v>
      </c>
      <c r="Q4" s="50">
        <f t="shared" si="2"/>
        <v>273.65000000000003</v>
      </c>
      <c r="R4" s="50" cm="1">
        <f t="array" ref="R4">_xlfn.IFS(C4="Calandra",(350),C4="Peletização",(421),C4="Dublagem Spun",(250),C4="Dublagem Cretone PES",(180),C4="Felpagem",(270/E4),C4="Emborrachamento",(200),C4="Espelhamento",(250),C4="Malha",(1),C4="Dublagem Cretone",(180),C4="Malha",(1),C4="Dublagem Spun - MO",250,C4="Dublagem Cretone - MO",180,C4="Dublagem Cretone PES - MO",180,C4="Espelhamento - MO",250,C4="Emborrachamento",100,C4="Malha",0,C4="Dublagem Barreira",100,C4="Pel. + Cal.",350,C4="Fel. + Pel. + Cal.",270,C4="Pel. + Spun",250,C4="Espelhamento - L: 1,45m",200,C4="Espelhamento - L: 1,65m",200,C4="Estampagem",100,C4="Fel. + Cal.",270,C4="Dublagem Juta",180,C4="Dublagem Cretone - MO (Juta)",180,C4="Dublagem Tapete",150,C4="Esp. + Pel.",200,C4="Espelhamento 2x",100)</f>
        <v>421</v>
      </c>
      <c r="S4" s="50">
        <f t="shared" si="3"/>
        <v>175.125</v>
      </c>
      <c r="T4" s="18" cm="1">
        <f t="array" ref="T4">_xlfn.IFS(C4="Calandra",0.4,C4="Felpagem",0.3,C4="Dublagem Spun",0.8,C4="Dublagem Cretone",0.8,C4="Dublagem Cretone PES",0.8,C4="Espelhamento",0.8,C4="Peletização",0.5,C4="Dublagem Spun - MO",0.8,C4="Dublagem Cretone - MO",0.8,C4="Dublagem Cretone PES - MO",0.8,C4="Espelhamento - MO",0.8,C4="Emborrachamento",1,C4="Malha",0,C4="Dublagem Barreira",1,C4="Pel. + Cal.",0.4,C4="Fel. + Pel. + Cal.",0.5,C4="Pel. + Spun",0.8,C4="Espelhamento - L: 1,45m",0.8,C4="Espelhamento - L: 1,65m",0.8,C4="Estampagem",1,C4="Fel. + Cal.",0.4,C4="Dublagem Juta",0.8,C4="Dublagem Cretone - MO (Juta)",0.8,C4="Dublagem Tapete",0.8,C4="Esp. + Pel.",0.8,C4="Espelhamento 2x",0.8)</f>
        <v>0.5</v>
      </c>
      <c r="U4" s="18">
        <v>1</v>
      </c>
      <c r="V4" s="18">
        <v>1</v>
      </c>
      <c r="W4" s="18"/>
      <c r="X4" s="18">
        <v>39.67</v>
      </c>
      <c r="Y4" s="18">
        <v>38.51</v>
      </c>
      <c r="Z4" s="18">
        <v>116.78</v>
      </c>
      <c r="AA4" s="18"/>
    </row>
    <row r="5" spans="1:27" ht="14.25" customHeight="1" x14ac:dyDescent="0.35">
      <c r="A5" s="18"/>
      <c r="B5" s="22" t="s">
        <v>67</v>
      </c>
      <c r="C5" s="23" t="s">
        <v>68</v>
      </c>
      <c r="D5" s="23"/>
      <c r="E5" s="24">
        <v>1</v>
      </c>
      <c r="F5" s="25">
        <v>20.9</v>
      </c>
      <c r="G5" s="25">
        <v>22.9</v>
      </c>
      <c r="H5" s="24" t="s">
        <v>246</v>
      </c>
      <c r="I5" s="27">
        <f t="shared" si="4"/>
        <v>22.9</v>
      </c>
      <c r="J5" s="28">
        <v>45663</v>
      </c>
      <c r="K5" s="29"/>
      <c r="L5" s="30">
        <f t="shared" si="0"/>
        <v>10.399999999999999</v>
      </c>
      <c r="M5" s="30">
        <f>IF(B5="Texion Textil",0,IF(C5="Malha",'Custos insumos'!$B$24,IF(C5="Dublagem Cretone",'Custos insumos'!$D$7,IF(C5="Dublagem Spun",'Custos insumos'!$D$4,IF(C5="Espelhamento",'Custos insumos'!$B$11,IF(C5="Espelhamento 2x",2*'Custos insumos'!$B$11,IF(C5="Esp. + Pel.",'Custos insumos'!$B$11,IF(C5="Pel. + Spun",'Custos insumos'!$D$4,IF(C5="Dublagem Cretone PES",'Custos insumos'!$D$7,IF(C5="Dublagem Barreira",'Custos insumos'!$D$11,IF(C5="Dublagem - MO + Filme",'Custos insumos'!$D$4,)))))))))))</f>
        <v>12.5</v>
      </c>
      <c r="N5" s="30">
        <f>IF(B5="Texion Textil",0,IF(B5="Três Elos",0,IF(C5="Malha",0,IF(C5="Dublagem Cretone",'Custos insumos'!$D$23,IF(C5="Dublagem Spun",'Custos insumos'!$D$19,IF(C5="Espelhamento",0,IF(C5="Espelhamento 2x",0,IF(C5="Esp. + Pel.",0,IF(C5="Pel. + Spun",'Custos insumos'!$D$19,IF(C5="Dublagem Cretone PES",'Custos insumos'!$F$25,IF(C5="Dublagem Barreira",'Custos insumos'!$D$22,)))))))))))</f>
        <v>0</v>
      </c>
      <c r="O5" s="18"/>
      <c r="P5" s="53">
        <f t="shared" si="1"/>
        <v>-6.32707423580786</v>
      </c>
      <c r="Q5" s="50">
        <f t="shared" si="2"/>
        <v>22.9</v>
      </c>
      <c r="R5" s="50" cm="1">
        <f t="array" ref="R5">_xlfn.IFS(C5="Calandra",(350),C5="Peletização",(421),C5="Dublagem Spun",(250),C5="Dublagem Cretone PES",(180),C5="Felpagem",(270/E5),C5="Emborrachamento",(200),C5="Espelhamento",(250),C5="Malha",(1),C5="Dublagem Cretone",(180),C5="Malha",(1),C5="Dublagem Spun - MO",250,C5="Dublagem Cretone - MO",180,C5="Dublagem Cretone PES - MO",180,C5="Espelhamento - MO",250,C5="Emborrachamento",100,C5="Malha",0,C5="Dublagem Barreira",100,C5="Pel. + Cal.",350,C5="Fel. + Pel. + Cal.",270,C5="Pel. + Spun",250,C5="Espelhamento - L: 1,45m",200,C5="Espelhamento - L: 1,65m",200,C5="Estampagem",100,C5="Fel. + Cal.",270,C5="Dublagem Juta",180,C5="Dublagem Cretone - MO (Juta)",180,C5="Dublagem Tapete",150,C5="Esp. + Pel.",200,C5="Espelhamento 2x",100)</f>
        <v>1</v>
      </c>
      <c r="S5" s="50">
        <f t="shared" si="3"/>
        <v>167.79</v>
      </c>
      <c r="T5" s="18" cm="1">
        <f t="array" ref="T5">_xlfn.IFS(C5="Calandra",0.4,C5="Felpagem",0.3,C5="Dublagem Spun",0.8,C5="Dublagem Cretone",0.8,C5="Dublagem Cretone PES",0.8,C5="Espelhamento",0.8,C5="Peletização",0.5,C5="Dublagem Spun - MO",0.8,C5="Dublagem Cretone - MO",0.8,C5="Dublagem Cretone PES - MO",0.8,C5="Espelhamento - MO",0.8,C5="Emborrachamento",1,C5="Malha",0,C5="Dublagem Barreira",1,C5="Pel. + Cal.",0.4,C5="Fel. + Pel. + Cal.",0.5,C5="Pel. + Spun",0.8,C5="Espelhamento - L: 1,45m",0.8,C5="Espelhamento - L: 1,65m",0.8,C5="Estampagem",1,C5="Fel. + Cal.",0.4,C5="Dublagem Juta",0.8,C5="Dublagem Cretone - MO (Juta)",0.8,C5="Dublagem Tapete",0.8,C5="Esp. + Pel.",0.8,C5="Espelhamento 2x",0.8)</f>
        <v>0</v>
      </c>
      <c r="U5" s="18">
        <v>1</v>
      </c>
      <c r="V5" s="18">
        <v>1</v>
      </c>
      <c r="W5" s="18"/>
      <c r="X5" s="18">
        <v>39.67</v>
      </c>
      <c r="Y5" s="18">
        <v>38.51</v>
      </c>
      <c r="Z5" s="18">
        <v>116.78</v>
      </c>
      <c r="AA5" s="18"/>
    </row>
    <row r="6" spans="1:27" ht="14.25" customHeight="1" x14ac:dyDescent="0.35">
      <c r="A6" s="18"/>
      <c r="B6" s="22" t="s">
        <v>74</v>
      </c>
      <c r="C6" s="23" t="s">
        <v>247</v>
      </c>
      <c r="D6" s="23"/>
      <c r="E6" s="24">
        <v>1</v>
      </c>
      <c r="F6" s="25">
        <v>6.5</v>
      </c>
      <c r="G6" s="25">
        <f>F6</f>
        <v>6.5</v>
      </c>
      <c r="H6" s="26" t="s">
        <v>243</v>
      </c>
      <c r="I6" s="27">
        <f t="shared" si="4"/>
        <v>6.5</v>
      </c>
      <c r="J6" s="28">
        <v>45663</v>
      </c>
      <c r="K6" s="29" t="s">
        <v>248</v>
      </c>
      <c r="L6" s="30">
        <f t="shared" si="0"/>
        <v>2.2100000000000004</v>
      </c>
      <c r="M6" s="30">
        <f>IF(B6="Texion Textil",0,IF(C6="Malha",'Custos insumos'!$B$24,IF(C6="Dublagem Cretone",'Custos insumos'!$D$7,IF(C6="Dublagem Spun",'Custos insumos'!$D$4,IF(C6="Espelhamento",'Custos insumos'!$B$11,IF(C6="Espelhamento 2x",2*'Custos insumos'!$B$11,IF(C6="Esp. + Pel.",'Custos insumos'!$B$11,IF(C6="Pel. + Spun",'Custos insumos'!$D$4,IF(C6="Dublagem Cretone PES",'Custos insumos'!$D$7,IF(C6="Dublagem Barreira",'Custos insumos'!$D$11,IF(C6="Dublagem - MO + Filme",'Custos insumos'!$D$4,IF(C6="Dublagem Cretone HM50",'Custos insumos'!$D$26,IF(C6="Dublagem Cretone HM70",'Custos insumos'!$F$10,)))))))))))))</f>
        <v>1.962</v>
      </c>
      <c r="N6" s="30">
        <f>IF(B6="Texion Textil",0,IF(B6="Três Elos",0,IF(C6="Malha",0,IF(C6="Dublagem Cretone",'Custos insumos'!$D$23,IF(C6="Dublagem Spun",'Custos insumos'!$D$19,IF(C6="Espelhamento",0,IF(C6="Espelhamento 2x",0,IF(C6="Esp. + Pel.",0,IF(C6="Pel. + Spun",'Custos insumos'!$D$19,IF(C6="Dublagem Cretone PES",'Custos insumos'!$F$25,IF(C6="Dublagem Barreira",'Custos insumos'!$D$22,)))))))))))</f>
        <v>2.3279999999999998</v>
      </c>
      <c r="O6" s="18"/>
      <c r="P6" s="53">
        <f t="shared" si="1"/>
        <v>0.18014871794871784</v>
      </c>
      <c r="Q6" s="50">
        <f t="shared" si="2"/>
        <v>1170</v>
      </c>
      <c r="R6" s="50" cm="1">
        <f t="array" ref="R6">_xlfn.IFS(C6="Calandra",(350),C6="Peletização",(421),C6="Dublagem Spun",(250),C6="Dublagem Cretone PES",(180),C6="Felpagem",(270/E6),C6="Emborrachamento",(200),C6="Espelhamento",(250),C6="Malha",(1),C6="Dublagem Cretone",(180),C6="Malha",(1),C6="Dublagem Spun - MO",250,C6="Dublagem Cretone - MO",180,C6="Dublagem Cretone PES - MO",180,C6="Espelhamento - MO",250,C6="Emborrachamento",100,C6="Malha",0,C6="Dublagem Barreira",100,C6="Pel. + Cal.",350,C6="Fel. + Pel. + Cal.",270,C6="Pel. + Spun",250,C6="Espelhamento - L: 1,45m",200,C6="Espelhamento - L: 1,65m",200,C6="Estampagem",100,C6="Fel. + Cal.",270,C6="Dublagem Juta",180,C6="Dublagem Cretone - MO (Juta)",180,C6="Dublagem Tapete",150,C6="Esp. + Pel.",200,C6="Espelhamento 2x",100)</f>
        <v>180</v>
      </c>
      <c r="S6" s="50">
        <f t="shared" si="3"/>
        <v>959.22600000000011</v>
      </c>
      <c r="T6" s="18" cm="1">
        <f t="array" ref="T6">_xlfn.IFS(C6="Calandra",0.4,C6="Felpagem",0.3,C6="Dublagem Spun",0.8,C6="Dublagem Cretone",0.8,C6="Dublagem Cretone PES",0.8,C6="Espelhamento",0.8,C6="Peletização",0.5,C6="Dublagem Spun - MO",0.8,C6="Dublagem Cretone - MO",0.8,C6="Dublagem Cretone PES - MO",0.8,C6="Espelhamento - MO",0.8,C6="Emborrachamento",1,C6="Malha",0,C6="Dublagem Barreira",1,C6="Pel. + Cal.",0.4,C6="Fel. + Pel. + Cal.",0.5,C6="Pel. + Spun",0.8,C6="Espelhamento - L: 1,45m",0.8,C6="Espelhamento - L: 1,65m",0.8,C6="Estampagem",1,C6="Fel. + Cal.",0.4,C6="Dublagem Juta",0.8,C6="Dublagem Cretone - MO (Juta)",0.8,C6="Dublagem Tapete",0.8,C6="Esp. + Pel.",0.8,C6="Espelhamento 2x",0.8)</f>
        <v>0.8</v>
      </c>
      <c r="U6" s="18">
        <v>1</v>
      </c>
      <c r="V6" s="18">
        <v>1</v>
      </c>
      <c r="W6" s="18"/>
      <c r="X6" s="18">
        <v>39.67</v>
      </c>
      <c r="Y6" s="18">
        <v>38.51</v>
      </c>
      <c r="Z6" s="18">
        <v>116.78</v>
      </c>
      <c r="AA6" s="18"/>
    </row>
    <row r="7" spans="1:27" ht="14.25" customHeight="1" x14ac:dyDescent="0.35">
      <c r="A7" s="18"/>
      <c r="B7" s="22" t="s">
        <v>74</v>
      </c>
      <c r="C7" s="23" t="s">
        <v>249</v>
      </c>
      <c r="D7" s="23" t="s">
        <v>250</v>
      </c>
      <c r="E7" s="24">
        <v>1</v>
      </c>
      <c r="F7" s="25">
        <v>6.5</v>
      </c>
      <c r="G7" s="25">
        <f>F7</f>
        <v>6.5</v>
      </c>
      <c r="H7" s="26" t="s">
        <v>243</v>
      </c>
      <c r="I7" s="27">
        <f t="shared" si="4"/>
        <v>6.5</v>
      </c>
      <c r="J7" s="28">
        <v>45663</v>
      </c>
      <c r="K7" s="29" t="s">
        <v>248</v>
      </c>
      <c r="L7" s="30">
        <f t="shared" si="0"/>
        <v>4.4858000000000002</v>
      </c>
      <c r="M7" s="30">
        <f>IF(B7="Texion Textil",0,IF(C7="Malha",'Custos insumos'!$B$24,IF(C7="Dublagem Cretone",'Custos insumos'!$D$7,IF(C7="Dublagem Spun",'Custos insumos'!$D$4,IF(C7="Espelhamento",'Custos insumos'!$B$11,IF(C7="Espelhamento 2x",2*'Custos insumos'!$B$11,IF(C7="Esp. + Pel.",'Custos insumos'!$B$11,IF(C7="Pel. + Spun",'Custos insumos'!$D$4,IF(C7="Dublagem Cretone PES",'Custos insumos'!$D$7,IF(C7="Dublagem Barreira",'Custos insumos'!$D$11,IF(C7="Dublagem - MO + Filme",'Custos insumos'!$D$4,IF(C7="Dublagem Cretone HM50",'Custos insumos'!$D$26,IF(C7="Dublagem Cretone HM70",'Custos insumos'!$F$10,)))))))))))))</f>
        <v>1.1232</v>
      </c>
      <c r="N7" s="30">
        <f>IF(B7="Texion Textil",0,IF(B7="Três Elos",0,IF(C7="Malha",0,IF(C7="Dublagem Cretone",'Custos insumos'!$D$23,IF(C7="Dublagem Spun",'Custos insumos'!$D$19,IF(C7="Espelhamento",0,IF(C7="Espelhamento 2x",0,IF(C7="Esp. + Pel.",0,IF(C7="Pel. + Spun",'Custos insumos'!$D$19,IF(C7="Dublagem Cretone PES",'Custos insumos'!$F$25,IF(C7="Dublagem Barreira",'Custos insumos'!$D$22,)))))))))))</f>
        <v>0.89100000000000001</v>
      </c>
      <c r="O7" s="18"/>
      <c r="P7" s="53">
        <f t="shared" si="1"/>
        <v>0.57503015384615386</v>
      </c>
      <c r="Q7" s="50">
        <f t="shared" si="2"/>
        <v>1625</v>
      </c>
      <c r="R7" s="50" cm="1">
        <f t="array" ref="R7">_xlfn.IFS(C7="Calandra",(350),C7="Peletização",(421),C7="Dublagem Spun",(250),C7="Dublagem Cretone PES",(180),C7="Felpagem",(270/E7),C7="Emborrachamento",(200),C7="Espelhamento",(250),C7="Malha",(1),C7="Dublagem Cretone",(180),C7="Malha",(1),C7="Dublagem Spun - MO",250,C7="Dublagem Cretone - MO",180,C7="Dublagem Cretone PES - MO",180,C7="Espelhamento - MO",250,C7="Emborrachamento",100,C7="Malha",0,C7="Dublagem Barreira",100,C7="Pel. + Cal.",350,C7="Fel. + Pel. + Cal.",270,C7="Pel. + Spun",250,C7="Espelhamento - L: 1,45m",200,C7="Espelhamento - L: 1,65m",200,C7="Estampagem",100,C7="Fel. + Cal.",270,C7="Dublagem Juta",180,C7="Dublagem Cretone - MO (Juta)",180,C7="Dublagem Tapete",150,C7="Esp. + Pel.",200,C7="Espelhamento 2x",100)</f>
        <v>250</v>
      </c>
      <c r="S7" s="50">
        <f t="shared" si="3"/>
        <v>690.57600000000002</v>
      </c>
      <c r="T7" s="18" cm="1">
        <f t="array" ref="T7">_xlfn.IFS(C7="Calandra",0.4,C7="Felpagem",0.3,C7="Dublagem Spun",0.8,C7="Dublagem Cretone",0.8,C7="Dublagem Cretone PES",0.8,C7="Espelhamento",0.8,C7="Peletização",0.5,C7="Dublagem Spun - MO",0.8,C7="Dublagem Cretone - MO",0.8,C7="Dublagem Cretone PES - MO",0.8,C7="Espelhamento - MO",0.8,C7="Emborrachamento",1,C7="Malha",0,C7="Dublagem Barreira",1,C7="Pel. + Cal.",0.4,C7="Fel. + Pel. + Cal.",0.5,C7="Pel. + Spun",0.8,C7="Espelhamento - L: 1,45m",0.8,C7="Espelhamento - L: 1,65m",0.8,C7="Estampagem",1,C7="Fel. + Cal.",0.4,C7="Dublagem Juta",0.8,C7="Dublagem Cretone - MO (Juta)",0.8,C7="Dublagem Tapete",0.8,C7="Esp. + Pel.",0.8,C7="Espelhamento 2x",0.8)</f>
        <v>0.8</v>
      </c>
      <c r="U7" s="18">
        <v>1</v>
      </c>
      <c r="V7" s="18">
        <v>1</v>
      </c>
      <c r="W7" s="18"/>
      <c r="X7" s="18">
        <v>39.67</v>
      </c>
      <c r="Y7" s="18">
        <v>38.51</v>
      </c>
      <c r="Z7" s="18">
        <v>116.78</v>
      </c>
      <c r="AA7" s="18"/>
    </row>
    <row r="8" spans="1:27" ht="14.25" customHeight="1" x14ac:dyDescent="0.35">
      <c r="A8" s="18"/>
      <c r="B8" s="22" t="s">
        <v>74</v>
      </c>
      <c r="C8" s="23" t="s">
        <v>261</v>
      </c>
      <c r="D8" s="23"/>
      <c r="E8" s="24">
        <v>1</v>
      </c>
      <c r="F8" s="25">
        <f>E8+(E8*0.1)</f>
        <v>1.1000000000000001</v>
      </c>
      <c r="G8" s="25">
        <f>F8</f>
        <v>1.1000000000000001</v>
      </c>
      <c r="H8" s="26" t="s">
        <v>243</v>
      </c>
      <c r="I8" s="27">
        <f t="shared" si="4"/>
        <v>1.1000000000000001</v>
      </c>
      <c r="J8" s="28">
        <v>45663</v>
      </c>
      <c r="K8" s="29" t="s">
        <v>252</v>
      </c>
      <c r="L8" s="30">
        <f t="shared" si="0"/>
        <v>1.1000000000000001</v>
      </c>
      <c r="M8" s="30">
        <f>IF(B8="Texion Textil",0,IF(C8="Malha",'Custos insumos'!$B$24,IF(C8="Dublagem Cretone",'Custos insumos'!$D$7,IF(C8="Dublagem Spun",'Custos insumos'!$D$4,IF(C8="Espelhamento",'Custos insumos'!$B$11,IF(C8="Espelhamento 2x",2*'Custos insumos'!$B$11,IF(C8="Esp. + Pel.",'Custos insumos'!$B$11,IF(C8="Pel. + Spun",'Custos insumos'!$D$4,IF(C8="Dublagem Cretone PES",'Custos insumos'!$D$7,IF(C8="Dublagem Barreira",'Custos insumos'!$D$11,IF(C8="Dublagem - MO + Filme",'Custos insumos'!$D$4,IF(C8="Dublagem Cretone HM50",'Custos insumos'!$D$26,IF(C8="Dublagem Cretone HM70",'Custos insumos'!$F$10,)))))))))))))</f>
        <v>0</v>
      </c>
      <c r="N8" s="30">
        <f>IF(B8="Texion Textil",0,IF(B8="Três Elos",0,IF(C8="Malha",0,IF(C8="Dublagem Cretone",'Custos insumos'!$D$23,IF(C8="Dublagem Spun",'Custos insumos'!$D$19,IF(C8="Espelhamento",0,IF(C8="Espelhamento 2x",0,IF(C8="Esp. + Pel.",0,IF(C8="Pel. + Spun",'Custos insumos'!$D$19,IF(C8="Dublagem Cretone PES",'Custos insumos'!$F$25,IF(C8="Dublagem Barreira",'Custos insumos'!$D$22,)))))))))))</f>
        <v>0</v>
      </c>
      <c r="O8" s="18"/>
      <c r="P8" s="53">
        <f t="shared" si="1"/>
        <v>5.5424242424242508E-2</v>
      </c>
      <c r="Q8" s="50">
        <f t="shared" si="2"/>
        <v>198.00000000000003</v>
      </c>
      <c r="R8" s="50" cm="1">
        <f t="array" ref="R8">_xlfn.IFS(C8="Calandra",(350),C8="Peletização",(421),C8="Dublagem Spun",(250),C8="Dublagem Cretone PES",(180),C8="Felpagem",(270/E8),C8="Emborrachamento",(200),C8="Espelhamento",(250),C8="Malha",(1),C8="Dublagem Cretone",(180),C8="Malha",(1),C8="Dublagem Spun - MO",250,C8="Dublagem Cretone - MO",180,C8="Dublagem Cretone PES - MO",180,C8="Espelhamento - MO",250,C8="Emborrachamento",100,C8="Malha",0,C8="Dublagem Barreira",100,C8="Pel. + Cal.",350,C8="Fel. + Pel. + Cal.",270,C8="Pel. + Spun",250,C8="Espelhamento - L: 1,45m",200,C8="Espelhamento - L: 1,65m",200,C8="Estampagem",100,C8="Fel. + Cal.",270,C8="Dublagem Juta",180,C8="Dublagem Cretone - MO (Juta)",180,C8="Dublagem Tapete",150,C8="Esp. + Pel.",200,C8="Espelhamento 2x",100)</f>
        <v>180</v>
      </c>
      <c r="S8" s="50">
        <f t="shared" si="3"/>
        <v>187.02600000000001</v>
      </c>
      <c r="T8" s="18" cm="1">
        <f t="array" ref="T8">_xlfn.IFS(C8="Calandra",0.4,C8="Felpagem",0.3,C8="Dublagem Spun",0.8,C8="Dublagem Cretone",0.8,C8="Dublagem Cretone PES",0.8,C8="Espelhamento",0.8,C8="Peletização",0.5,C8="Dublagem Spun - MO",0.8,C8="Dublagem Cretone - MO",0.8,C8="Dublagem Cretone PES - MO",0.8,C8="Espelhamento - MO",0.8,C8="Emborrachamento",1,C8="Malha",0,C8="Dublagem Barreira",1,C8="Pel. + Cal.",0.4,C8="Fel. + Pel. + Cal.",0.5,C8="Pel. + Spun",0.8,C8="Espelhamento - L: 1,45m",0.8,C8="Espelhamento - L: 1,65m",0.8,C8="Estampagem",1,C8="Fel. + Cal.",0.4,C8="Dublagem Juta",0.8,C8="Dublagem Cretone - MO (Juta)",0.8,C8="Dublagem Tapete",0.8,C8="Esp. + Pel.",0.8,C8="Espelhamento 2x",0.8)</f>
        <v>0.8</v>
      </c>
      <c r="U8" s="18">
        <v>1</v>
      </c>
      <c r="V8" s="18">
        <v>1</v>
      </c>
      <c r="W8" s="18"/>
      <c r="X8" s="18">
        <v>39.67</v>
      </c>
      <c r="Y8" s="18">
        <v>38.51</v>
      </c>
      <c r="Z8" s="18">
        <v>116.78</v>
      </c>
      <c r="AA8" s="18"/>
    </row>
    <row r="9" spans="1:27" ht="14.25" customHeight="1" x14ac:dyDescent="0.35">
      <c r="A9" s="18"/>
      <c r="B9" s="22" t="s">
        <v>74</v>
      </c>
      <c r="C9" s="23" t="s">
        <v>260</v>
      </c>
      <c r="D9" s="23"/>
      <c r="E9" s="24">
        <v>1</v>
      </c>
      <c r="F9" s="25">
        <f>E9+(E9*0.1)</f>
        <v>1.1000000000000001</v>
      </c>
      <c r="G9" s="25">
        <f>F9</f>
        <v>1.1000000000000001</v>
      </c>
      <c r="H9" s="26" t="s">
        <v>243</v>
      </c>
      <c r="I9" s="27">
        <f t="shared" si="4"/>
        <v>1.1000000000000001</v>
      </c>
      <c r="J9" s="28">
        <v>45663</v>
      </c>
      <c r="K9" s="29" t="s">
        <v>248</v>
      </c>
      <c r="L9" s="30">
        <f t="shared" si="0"/>
        <v>1.1000000000000001</v>
      </c>
      <c r="M9" s="30">
        <f>IF(B9="Texion Textil",0,IF(C9="Malha",'Custos insumos'!$B$24,IF(C9="Dublagem Cretone",'Custos insumos'!$D$7,IF(C9="Dublagem Spun",'Custos insumos'!$D$4,IF(C9="Espelhamento",'Custos insumos'!$B$11,IF(C9="Espelhamento 2x",2*'Custos insumos'!$B$11,IF(C9="Esp. + Pel.",'Custos insumos'!$B$11,IF(C9="Pel. + Spun",'Custos insumos'!$D$4,IF(C9="Dublagem Cretone PES",'Custos insumos'!$D$7,IF(C9="Dublagem Barreira",'Custos insumos'!$D$11,IF(C9="Dublagem - MO + Filme",'Custos insumos'!$D$4,IF(C9="Dublagem Cretone HM50",'Custos insumos'!$D$26,IF(C9="Dublagem Cretone HM70",'Custos insumos'!$F$10,)))))))))))))</f>
        <v>0</v>
      </c>
      <c r="N9" s="30">
        <f>IF(B9="Texion Textil",0,IF(B9="Três Elos",0,IF(C9="Malha",0,IF(C9="Dublagem Cretone",'Custos insumos'!$D$23,IF(C9="Dublagem Spun",'Custos insumos'!$D$19,IF(C9="Espelhamento",0,IF(C9="Espelhamento 2x",0,IF(C9="Esp. + Pel.",0,IF(C9="Pel. + Spun",'Custos insumos'!$D$19,IF(C9="Dublagem Cretone PES",'Custos insumos'!$F$25,IF(C9="Dublagem Barreira",'Custos insumos'!$D$22,)))))))))))</f>
        <v>0</v>
      </c>
      <c r="O9" s="18"/>
      <c r="P9" s="53">
        <f t="shared" si="1"/>
        <v>0.31990545454545449</v>
      </c>
      <c r="Q9" s="50">
        <f t="shared" si="2"/>
        <v>275</v>
      </c>
      <c r="R9" s="50" cm="1">
        <f t="array" ref="R9">_xlfn.IFS(C9="Calandra",(350),C9="Peletização",(421),C9="Dublagem Spun",(250),C9="Dublagem Cretone PES",(180),C9="Felpagem",(270/E9),C9="Emborrachamento",(200),C9="Espelhamento",(250),C9="Malha",(1),C9="Dublagem Cretone",(180),C9="Malha",(1),C9="Dublagem Spun - MO",250,C9="Dublagem Cretone - MO",180,C9="Dublagem Cretone PES - MO",180,C9="Espelhamento - MO",250,C9="Emborrachamento",100,C9="Malha",0,C9="Dublagem Barreira",100,C9="Pel. + Cal.",350,C9="Fel. + Pel. + Cal.",270,C9="Pel. + Spun",250,C9="Espelhamento - L: 1,45m",200,C9="Espelhamento - L: 1,65m",200,C9="Estampagem",100,C9="Fel. + Cal.",270,C9="Dublagem Juta",180,C9="Dublagem Cretone - MO (Juta)",180,C9="Dublagem Tapete",150,C9="Esp. + Pel.",200,C9="Espelhamento 2x",100)</f>
        <v>250</v>
      </c>
      <c r="S9" s="50">
        <f t="shared" si="3"/>
        <v>187.02600000000001</v>
      </c>
      <c r="T9" s="18" cm="1">
        <f t="array" ref="T9">_xlfn.IFS(C9="Calandra",0.4,C9="Felpagem",0.3,C9="Dublagem Spun",0.8,C9="Dublagem Cretone",0.8,C9="Dublagem Cretone PES",0.8,C9="Espelhamento",0.8,C9="Peletização",0.5,C9="Dublagem Spun - MO",0.8,C9="Dublagem Cretone - MO",0.8,C9="Dublagem Cretone PES - MO",0.8,C9="Espelhamento - MO",0.8,C9="Emborrachamento",1,C9="Malha",0,C9="Dublagem Barreira",1,C9="Pel. + Cal.",0.4,C9="Fel. + Pel. + Cal.",0.5,C9="Pel. + Spun",0.8,C9="Espelhamento - L: 1,45m",0.8,C9="Espelhamento - L: 1,65m",0.8,C9="Estampagem",1,C9="Fel. + Cal.",0.4,C9="Dublagem Juta",0.8,C9="Dublagem Cretone - MO (Juta)",0.8,C9="Dublagem Tapete",0.8,C9="Esp. + Pel.",0.8,C9="Espelhamento 2x",0.8)</f>
        <v>0.8</v>
      </c>
      <c r="U9" s="18">
        <v>1</v>
      </c>
      <c r="V9" s="18">
        <v>1</v>
      </c>
      <c r="W9" s="18"/>
      <c r="X9" s="18">
        <v>39.67</v>
      </c>
      <c r="Y9" s="18">
        <v>38.51</v>
      </c>
      <c r="Z9" s="18">
        <v>116.78</v>
      </c>
      <c r="AA9" s="18"/>
    </row>
    <row r="10" spans="1:27" ht="14.25" customHeight="1" x14ac:dyDescent="0.35">
      <c r="A10" s="18"/>
      <c r="B10" s="22" t="s">
        <v>74</v>
      </c>
      <c r="C10" s="23" t="s">
        <v>106</v>
      </c>
      <c r="D10" s="23"/>
      <c r="E10" s="24">
        <v>1</v>
      </c>
      <c r="F10" s="25">
        <f>E10+(E10*0.1)</f>
        <v>1.1000000000000001</v>
      </c>
      <c r="G10" s="25">
        <f>F10</f>
        <v>1.1000000000000001</v>
      </c>
      <c r="H10" s="26" t="s">
        <v>243</v>
      </c>
      <c r="I10" s="27">
        <f t="shared" si="4"/>
        <v>1.1000000000000001</v>
      </c>
      <c r="J10" s="28">
        <v>45663</v>
      </c>
      <c r="K10" s="29" t="s">
        <v>248</v>
      </c>
      <c r="L10" s="30">
        <f t="shared" si="0"/>
        <v>4.1499710144927482E-2</v>
      </c>
      <c r="M10" s="30">
        <f>IF(B10="Texion Textil",0,IF(C10="Malha",'Custos insumos'!$B$24,IF(C10="Dublagem Cretone",'Custos insumos'!$D$7,IF(C10="Dublagem Spun",'Custos insumos'!$D$4,IF(C10="Espelhamento",'Custos insumos'!$B$11,IF(C10="Espelhamento 2x",2*'Custos insumos'!$B$11,IF(C10="Esp. + Pel.",'Custos insumos'!$B$11,IF(C10="Pel. + Spun",'Custos insumos'!$D$4,IF(C10="Dublagem Cretone PES",'Custos insumos'!$D$7,IF(C10="Dublagem Barreira",'Custos insumos'!$D$11,IF(C10="Dublagem - MO + Filme",'Custos insumos'!$D$4,IF(C10="Dublagem Cretone HM50",'Custos insumos'!$D$26,IF(C10="Dublagem Cretone HM70",'Custos insumos'!$F$10,)))))))))))))</f>
        <v>1.0585002898550726</v>
      </c>
      <c r="N10" s="30">
        <f>IF(B10="Texion Textil",0,IF(B10="Três Elos",0,IF(C10="Malha",0,IF(C10="Dublagem Cretone",'Custos insumos'!$D$23,IF(C10="Dublagem Spun",'Custos insumos'!$D$19,IF(C10="Espelhamento",0,IF(C10="Espelhamento 2x",0,IF(C10="Esp. + Pel.",0,IF(C10="Pel. + Spun",'Custos insumos'!$D$19,IF(C10="Dublagem Cretone PES",'Custos insumos'!$F$25,IF(C10="Dublagem Barreira",'Custos insumos'!$D$22,)))))))))))</f>
        <v>0</v>
      </c>
      <c r="O10" s="18"/>
      <c r="P10" s="53">
        <f t="shared" si="1"/>
        <v>-0.64236753623188425</v>
      </c>
      <c r="Q10" s="50">
        <f t="shared" si="2"/>
        <v>275</v>
      </c>
      <c r="R10" s="50" cm="1">
        <f t="array" ref="R10">_xlfn.IFS(C10="Calandra",(350),C10="Peletização",(421),C10="Dublagem Spun",(250),C10="Dublagem Cretone PES",(180),C10="Felpagem",(270/E10),C10="Emborrachamento",(200),C10="Espelhamento",(250),C10="Malha",(1),C10="Dublagem Cretone",(180),C10="Malha",(1),C10="Dublagem Spun - MO",250,C10="Dublagem Cretone - MO",180,C10="Dublagem Cretone PES - MO",180,C10="Espelhamento - MO",250,C10="Emborrachamento",100,C10="Malha",0,C10="Dublagem Barreira",100,C10="Pel. + Cal.",350,C10="Fel. + Pel. + Cal.",270,C10="Pel. + Spun",250,C10="Espelhamento - L: 1,45m",200,C10="Espelhamento - L: 1,65m",200,C10="Estampagem",100,C10="Fel. + Cal.",270,C10="Dublagem Juta",180,C10="Dublagem Cretone - MO (Juta)",180,C10="Dublagem Tapete",150,C10="Esp. + Pel.",200,C10="Espelhamento 2x",100)</f>
        <v>250</v>
      </c>
      <c r="S10" s="50">
        <f t="shared" si="3"/>
        <v>451.65107246376817</v>
      </c>
      <c r="T10" s="18" cm="1">
        <f t="array" ref="T10">_xlfn.IFS(C10="Calandra",0.4,C10="Felpagem",0.3,C10="Dublagem Spun",0.8,C10="Dublagem Cretone",0.8,C10="Dublagem Cretone PES",0.8,C10="Espelhamento",0.8,C10="Peletização",0.5,C10="Dublagem Spun - MO",0.8,C10="Dublagem Cretone - MO",0.8,C10="Dublagem Cretone PES - MO",0.8,C10="Espelhamento - MO",0.8,C10="Emborrachamento",1,C10="Malha",0,C10="Dublagem Barreira",1,C10="Pel. + Cal.",0.4,C10="Fel. + Pel. + Cal.",0.5,C10="Pel. + Spun",0.8,C10="Espelhamento - L: 1,45m",0.8,C10="Espelhamento - L: 1,65m",0.8,C10="Estampagem",1,C10="Fel. + Cal.",0.4,C10="Dublagem Juta",0.8,C10="Dublagem Cretone - MO (Juta)",0.8,C10="Dublagem Tapete",0.8,C10="Esp. + Pel.",0.8,C10="Espelhamento 2x",0.8)</f>
        <v>0.8</v>
      </c>
      <c r="U10" s="18">
        <v>1</v>
      </c>
      <c r="V10" s="18">
        <v>1</v>
      </c>
      <c r="W10" s="18"/>
      <c r="X10" s="18">
        <v>39.67</v>
      </c>
      <c r="Y10" s="18">
        <v>38.51</v>
      </c>
      <c r="Z10" s="18">
        <v>116.78</v>
      </c>
      <c r="AA10" s="18"/>
    </row>
    <row r="11" spans="1:27" ht="14.25" customHeight="1" x14ac:dyDescent="0.35">
      <c r="A11" s="18"/>
      <c r="B11" s="22" t="s">
        <v>253</v>
      </c>
      <c r="C11" s="23" t="s">
        <v>449</v>
      </c>
      <c r="D11" s="23" t="s">
        <v>255</v>
      </c>
      <c r="E11" s="24">
        <v>2</v>
      </c>
      <c r="F11" s="25">
        <v>0.5</v>
      </c>
      <c r="G11" s="25">
        <v>0.45</v>
      </c>
      <c r="H11" s="26" t="s">
        <v>243</v>
      </c>
      <c r="I11" s="27">
        <f t="shared" si="4"/>
        <v>0.22500000000000001</v>
      </c>
      <c r="J11" s="28">
        <v>45663</v>
      </c>
      <c r="K11" s="29"/>
      <c r="L11" s="30">
        <f t="shared" si="0"/>
        <v>0.45</v>
      </c>
      <c r="M11" s="30">
        <f>IF(B11="Texion Textil",0,IF(C11="Malha",'Custos insumos'!$B$24,IF(C11="Dublagem Cretone",'Custos insumos'!$D$7,IF(C11="Dublagem Spun",'Custos insumos'!$D$4,IF(C11="Espelhamento",'Custos insumos'!$B$11,IF(C11="Espelhamento 2x",2*'Custos insumos'!$B$11,IF(C11="Esp. + Pel.",'Custos insumos'!$B$11,IF(C11="Pel. + Spun",'Custos insumos'!$D$4,IF(C11="Dublagem Cretone PES",'Custos insumos'!$D$7,IF(C11="Dublagem Barreira",'Custos insumos'!$D$11,IF(C11="Dublagem - MO + Filme",'Custos insumos'!$D$4,IF(C11="Dublagem Cretone HM50",'Custos insumos'!$D$26,IF(C11="Dublagem Cretone HM70",'Custos insumos'!$F$10,)))))))))))))</f>
        <v>0</v>
      </c>
      <c r="N11" s="30">
        <f>IF(B11="Texion Textil",0,IF(B11="Três Elos",0,IF(C11="Malha",0,IF(C11="Dublagem Cretone",'Custos insumos'!$D$23,IF(C11="Dublagem Spun",'Custos insumos'!$D$19,IF(C11="Espelhamento",0,IF(C11="Espelhamento 2x",0,IF(C11="Esp. + Pel.",0,IF(C11="Pel. + Spun",'Custos insumos'!$D$19,IF(C11="Dublagem Cretone PES",'Custos insumos'!$F$25,IF(C11="Dublagem Barreira",'Custos insumos'!$D$22,)))))))))))</f>
        <v>0</v>
      </c>
      <c r="O11" s="18"/>
      <c r="P11" s="53" t="e">
        <f t="shared" si="1"/>
        <v>#N/A</v>
      </c>
      <c r="Q11" s="50" t="e">
        <f t="shared" si="2"/>
        <v>#N/A</v>
      </c>
      <c r="R11" s="50" t="e" cm="1">
        <f t="array" ref="R11">_xlfn.IFS(C11="Calandra",(350),C11="Peletização",(421),C11="Dublagem Spun",(250),C11="Dublagem Cretone PES",(180),C11="Felpagem",(270/E11),C11="Emborrachamento",(200),C11="Espelhamento",(250),C11="Malha",(1),C11="Dublagem Cretone",(180),C11="Malha",(1),C11="Dublagem Spun - MO",250,C11="Dublagem Cretone - MO",180,C11="Dublagem Cretone PES - MO",180,C11="Espelhamento - MO",250,C11="Emborrachamento",100,C11="Malha",0,C11="Dublagem Barreira",100,C11="Pel. + Cal.",350,C11="Fel. + Pel. + Cal.",270,C11="Pel. + Spun",250,C11="Espelhamento - L: 1,45m",200,C11="Espelhamento - L: 1,65m",200,C11="Estampagem",100,C11="Fel. + Cal.",270,C11="Dublagem Juta",180,C11="Dublagem Cretone - MO (Juta)",180,C11="Dublagem Tapete",150,C11="Esp. + Pel.",200,C11="Espelhamento 2x",100)</f>
        <v>#N/A</v>
      </c>
      <c r="S11" s="50" t="e">
        <f t="shared" si="3"/>
        <v>#N/A</v>
      </c>
      <c r="T11" s="18" t="e" cm="1">
        <f t="array" ref="T11">_xlfn.IFS(C11="Calandra",0.4,C11="Felpagem",0.3,C11="Dublagem Spun",0.8,C11="Dublagem Cretone",0.8,C11="Dublagem Cretone PES",0.8,C11="Espelhamento",0.8,C11="Peletização",0.5,C11="Dublagem Spun - MO",0.8,C11="Dublagem Cretone - MO",0.8,C11="Dublagem Cretone PES - MO",0.8,C11="Espelhamento - MO",0.8,C11="Emborrachamento",1,C11="Malha",0,C11="Dublagem Barreira",1,C11="Pel. + Cal.",0.4,C11="Fel. + Pel. + Cal.",0.5,C11="Pel. + Spun",0.8,C11="Espelhamento - L: 1,45m",0.8,C11="Espelhamento - L: 1,65m",0.8,C11="Estampagem",1,C11="Fel. + Cal.",0.4,C11="Dublagem Juta",0.8,C11="Dublagem Cretone - MO (Juta)",0.8,C11="Dublagem Tapete",0.8,C11="Esp. + Pel.",0.8,C11="Espelhamento 2x",0.8)</f>
        <v>#N/A</v>
      </c>
      <c r="U11" s="18">
        <v>1</v>
      </c>
      <c r="V11" s="18">
        <v>1</v>
      </c>
      <c r="W11" s="18"/>
      <c r="X11" s="18">
        <v>39.67</v>
      </c>
      <c r="Y11" s="18">
        <v>38.51</v>
      </c>
      <c r="Z11" s="18">
        <v>116.78</v>
      </c>
      <c r="AA11" s="18"/>
    </row>
    <row r="12" spans="1:27" ht="14.25" customHeight="1" x14ac:dyDescent="0.35">
      <c r="A12" s="18"/>
      <c r="B12" s="22" t="s">
        <v>253</v>
      </c>
      <c r="C12" s="23" t="s">
        <v>450</v>
      </c>
      <c r="D12" s="23">
        <v>12142</v>
      </c>
      <c r="E12" s="24">
        <v>2</v>
      </c>
      <c r="F12" s="25">
        <v>0.35</v>
      </c>
      <c r="G12" s="25">
        <f>F12</f>
        <v>0.35</v>
      </c>
      <c r="H12" s="26" t="s">
        <v>243</v>
      </c>
      <c r="I12" s="27">
        <f t="shared" si="4"/>
        <v>0.17499999999999999</v>
      </c>
      <c r="J12" s="28">
        <v>45663</v>
      </c>
      <c r="K12" s="29"/>
      <c r="L12" s="30">
        <f t="shared" si="0"/>
        <v>0.35</v>
      </c>
      <c r="M12" s="30">
        <f>IF(B12="Texion Textil",0,IF(C12="Malha",'Custos insumos'!$B$24,IF(C12="Dublagem Cretone",'Custos insumos'!$D$7,IF(C12="Dublagem Spun",'Custos insumos'!$D$4,IF(C12="Espelhamento",'Custos insumos'!$B$11,IF(C12="Espelhamento 2x",2*'Custos insumos'!$B$11,IF(C12="Esp. + Pel.",'Custos insumos'!$B$11,IF(C12="Pel. + Spun",'Custos insumos'!$D$4,IF(C12="Dublagem Cretone PES",'Custos insumos'!$D$7,IF(C12="Dublagem Barreira",'Custos insumos'!$D$11,IF(C12="Dublagem - MO + Filme",'Custos insumos'!$D$4,IF(C12="Dublagem Cretone HM50",'Custos insumos'!$D$26,IF(C12="Dublagem Cretone HM70",'Custos insumos'!$F$10,)))))))))))))</f>
        <v>0</v>
      </c>
      <c r="N12" s="30">
        <f>IF(B12="Texion Textil",0,IF(B12="Três Elos",0,IF(C12="Malha",0,IF(C12="Dublagem Cretone",'Custos insumos'!$D$23,IF(C12="Dublagem Spun",'Custos insumos'!$D$19,IF(C12="Espelhamento",0,IF(C12="Espelhamento 2x",0,IF(C12="Esp. + Pel.",0,IF(C12="Pel. + Spun",'Custos insumos'!$D$19,IF(C12="Dublagem Cretone PES",'Custos insumos'!$F$25,IF(C12="Dublagem Barreira",'Custos insumos'!$D$22,)))))))))))</f>
        <v>0</v>
      </c>
      <c r="O12" s="18"/>
      <c r="P12" s="53" t="e">
        <f t="shared" si="1"/>
        <v>#N/A</v>
      </c>
      <c r="Q12" s="50" t="e">
        <f t="shared" si="2"/>
        <v>#N/A</v>
      </c>
      <c r="R12" s="50" t="e" cm="1">
        <f t="array" ref="R12">_xlfn.IFS(C12="Calandra",(350),C12="Peletização",(421),C12="Dublagem Spun",(250),C12="Dublagem Cretone PES",(180),C12="Felpagem",(270/E12),C12="Emborrachamento",(200),C12="Espelhamento",(250),C12="Malha",(1),C12="Dublagem Cretone",(180),C12="Malha",(1),C12="Dublagem Spun - MO",250,C12="Dublagem Cretone - MO",180,C12="Dublagem Cretone PES - MO",180,C12="Espelhamento - MO",250,C12="Emborrachamento",100,C12="Malha",0,C12="Dublagem Barreira",100,C12="Pel. + Cal.",350,C12="Fel. + Pel. + Cal.",270,C12="Pel. + Spun",250,C12="Espelhamento - L: 1,45m",200,C12="Espelhamento - L: 1,65m",200,C12="Estampagem",100,C12="Fel. + Cal.",270,C12="Dublagem Juta",180,C12="Dublagem Cretone - MO (Juta)",180,C12="Dublagem Tapete",150,C12="Esp. + Pel.",200,C12="Espelhamento 2x",100)</f>
        <v>#N/A</v>
      </c>
      <c r="S12" s="50" t="e">
        <f t="shared" si="3"/>
        <v>#N/A</v>
      </c>
      <c r="T12" s="18" t="e" cm="1">
        <f t="array" ref="T12">_xlfn.IFS(C12="Calandra",0.4,C12="Felpagem",0.3,C12="Dublagem Spun",0.8,C12="Dublagem Cretone",0.8,C12="Dublagem Cretone PES",0.8,C12="Espelhamento",0.8,C12="Peletização",0.5,C12="Dublagem Spun - MO",0.8,C12="Dublagem Cretone - MO",0.8,C12="Dublagem Cretone PES - MO",0.8,C12="Espelhamento - MO",0.8,C12="Emborrachamento",1,C12="Malha",0,C12="Dublagem Barreira",1,C12="Pel. + Cal.",0.4,C12="Fel. + Pel. + Cal.",0.5,C12="Pel. + Spun",0.8,C12="Espelhamento - L: 1,45m",0.8,C12="Espelhamento - L: 1,65m",0.8,C12="Estampagem",1,C12="Fel. + Cal.",0.4,C12="Dublagem Juta",0.8,C12="Dublagem Cretone - MO (Juta)",0.8,C12="Dublagem Tapete",0.8,C12="Esp. + Pel.",0.8,C12="Espelhamento 2x",0.8)</f>
        <v>#N/A</v>
      </c>
      <c r="U12" s="18">
        <v>1</v>
      </c>
      <c r="V12" s="18">
        <v>1</v>
      </c>
      <c r="W12" s="18"/>
      <c r="X12" s="18">
        <v>39.67</v>
      </c>
      <c r="Y12" s="18">
        <v>38.51</v>
      </c>
      <c r="Z12" s="18">
        <v>116.78</v>
      </c>
      <c r="AA12" s="50"/>
    </row>
    <row r="13" spans="1:27" ht="14.25" customHeight="1" x14ac:dyDescent="0.35">
      <c r="A13" s="18"/>
      <c r="B13" s="22" t="s">
        <v>253</v>
      </c>
      <c r="C13" s="23" t="s">
        <v>144</v>
      </c>
      <c r="D13" s="23"/>
      <c r="E13" s="24">
        <v>1</v>
      </c>
      <c r="F13" s="25">
        <v>0.45</v>
      </c>
      <c r="G13" s="25">
        <v>0.65</v>
      </c>
      <c r="H13" s="26" t="s">
        <v>243</v>
      </c>
      <c r="I13" s="27">
        <f t="shared" si="4"/>
        <v>0.65</v>
      </c>
      <c r="J13" s="28">
        <v>45663</v>
      </c>
      <c r="K13" s="29"/>
      <c r="L13" s="30">
        <f t="shared" si="0"/>
        <v>0.65</v>
      </c>
      <c r="M13" s="30">
        <f>IF(B13="Texion Textil",0,IF(C13="Malha",'Custos insumos'!$B$24,IF(C13="Dublagem Cretone",'Custos insumos'!$D$7,IF(C13="Dublagem Spun",'Custos insumos'!$D$4,IF(C13="Espelhamento",'Custos insumos'!$B$11,IF(C13="Espelhamento 2x",2*'Custos insumos'!$B$11,IF(C13="Esp. + Pel.",'Custos insumos'!$B$11,IF(C13="Pel. + Spun",'Custos insumos'!$D$4,IF(C13="Dublagem Cretone PES",'Custos insumos'!$D$7,IF(C13="Dublagem Barreira",'Custos insumos'!$D$11,IF(C13="Dublagem - MO + Filme",'Custos insumos'!$D$4,IF(C13="Dublagem Cretone HM50",'Custos insumos'!$D$26,IF(C13="Dublagem Cretone HM70",'Custos insumos'!$F$10,)))))))))))))</f>
        <v>0</v>
      </c>
      <c r="N13" s="30">
        <f>IF(B13="Texion Textil",0,IF(B13="Três Elos",0,IF(C13="Malha",0,IF(C13="Dublagem Cretone",'Custos insumos'!$D$23,IF(C13="Dublagem Spun",'Custos insumos'!$D$19,IF(C13="Espelhamento",0,IF(C13="Espelhamento 2x",0,IF(C13="Esp. + Pel.",0,IF(C13="Pel. + Spun",'Custos insumos'!$D$19,IF(C13="Dublagem Cretone PES",'Custos insumos'!$F$25,IF(C13="Dublagem Barreira",'Custos insumos'!$D$22,)))))))))))</f>
        <v>0</v>
      </c>
      <c r="O13" s="18"/>
      <c r="P13" s="53">
        <f t="shared" si="1"/>
        <v>0.36004019733235892</v>
      </c>
      <c r="Q13" s="50">
        <f t="shared" si="2"/>
        <v>273.65000000000003</v>
      </c>
      <c r="R13" s="50" cm="1">
        <f t="array" ref="R13">_xlfn.IFS(C13="Calandra",(350),C13="Peletização",(421),C13="Dublagem Spun",(250),C13="Dublagem Cretone PES",(180),C13="Felpagem",(270/E13),C13="Emborrachamento",(200),C13="Espelhamento",(250),C13="Malha",(1),C13="Dublagem Cretone",(180),C13="Malha",(1),C13="Dublagem Spun - MO",250,C13="Dublagem Cretone - MO",180,C13="Dublagem Cretone PES - MO",180,C13="Espelhamento - MO",250,C13="Emborrachamento",100,C13="Malha",0,C13="Dublagem Barreira",100,C13="Pel. + Cal.",350,C13="Fel. + Pel. + Cal.",270,C13="Pel. + Spun",250,C13="Espelhamento - L: 1,45m",200,C13="Espelhamento - L: 1,65m",200,C13="Estampagem",100,C13="Fel. + Cal.",270,C13="Dublagem Juta",180,C13="Dublagem Cretone - MO (Juta)",180,C13="Dublagem Tapete",150,C13="Esp. + Pel.",200,C13="Espelhamento 2x",100)</f>
        <v>421</v>
      </c>
      <c r="S13" s="50">
        <f t="shared" si="3"/>
        <v>175.125</v>
      </c>
      <c r="T13" s="18" cm="1">
        <f t="array" ref="T13">_xlfn.IFS(C13="Calandra",0.4,C13="Felpagem",0.3,C13="Dublagem Spun",0.8,C13="Dublagem Cretone",0.8,C13="Dublagem Cretone PES",0.8,C13="Espelhamento",0.8,C13="Peletização",0.5,C13="Dublagem Spun - MO",0.8,C13="Dublagem Cretone - MO",0.8,C13="Dublagem Cretone PES - MO",0.8,C13="Espelhamento - MO",0.8,C13="Emborrachamento",1,C13="Malha",0,C13="Dublagem Barreira",1,C13="Pel. + Cal.",0.4,C13="Fel. + Pel. + Cal.",0.5,C13="Pel. + Spun",0.8,C13="Espelhamento - L: 1,45m",0.8,C13="Espelhamento - L: 1,65m",0.8,C13="Estampagem",1,C13="Fel. + Cal.",0.4,C13="Dublagem Juta",0.8,C13="Dublagem Cretone - MO (Juta)",0.8,C13="Dublagem Tapete",0.8,C13="Esp. + Pel.",0.8,C13="Espelhamento 2x",0.8)</f>
        <v>0.5</v>
      </c>
      <c r="U13" s="18">
        <v>1</v>
      </c>
      <c r="V13" s="18">
        <v>1</v>
      </c>
      <c r="W13" s="18"/>
      <c r="X13" s="18">
        <v>39.67</v>
      </c>
      <c r="Y13" s="18">
        <v>38.51</v>
      </c>
      <c r="Z13" s="18">
        <v>116.78</v>
      </c>
      <c r="AA13" s="18"/>
    </row>
    <row r="14" spans="1:27" ht="14.25" customHeight="1" x14ac:dyDescent="0.35">
      <c r="A14" s="18"/>
      <c r="B14" s="22" t="s">
        <v>253</v>
      </c>
      <c r="C14" s="23" t="s">
        <v>142</v>
      </c>
      <c r="D14" s="23"/>
      <c r="E14" s="24">
        <v>1</v>
      </c>
      <c r="F14" s="27">
        <v>0.65</v>
      </c>
      <c r="G14" s="25">
        <f t="shared" ref="G14:G20" si="5">F14</f>
        <v>0.65</v>
      </c>
      <c r="H14" s="26" t="s">
        <v>243</v>
      </c>
      <c r="I14" s="27">
        <f t="shared" si="4"/>
        <v>0.65</v>
      </c>
      <c r="J14" s="28">
        <v>45663</v>
      </c>
      <c r="K14" s="29"/>
      <c r="L14" s="30">
        <f t="shared" si="0"/>
        <v>0.65</v>
      </c>
      <c r="M14" s="30">
        <f>IF(B14="Texion Textil",0,IF(C14="Malha",'Custos insumos'!$B$24,IF(C14="Dublagem Cretone",'Custos insumos'!$D$7,IF(C14="Dublagem Spun",'Custos insumos'!$D$4,IF(C14="Espelhamento",'Custos insumos'!$B$11,IF(C14="Espelhamento 2x",2*'Custos insumos'!$B$11,IF(C14="Esp. + Pel.",'Custos insumos'!$B$11,IF(C14="Pel. + Spun",'Custos insumos'!$D$4,IF(C14="Dublagem Cretone PES",'Custos insumos'!$D$7,IF(C14="Dublagem Barreira",'Custos insumos'!$D$11,IF(C14="Dublagem - MO + Filme",'Custos insumos'!$D$4,IF(C14="Dublagem Cretone HM50",'Custos insumos'!$D$26,IF(C14="Dublagem Cretone HM70",'Custos insumos'!$F$10,)))))))))))))</f>
        <v>0</v>
      </c>
      <c r="N14" s="30">
        <f>IF(B14="Texion Textil",0,IF(B14="Três Elos",0,IF(C14="Malha",0,IF(C14="Dublagem Cretone",'Custos insumos'!$D$23,IF(C14="Dublagem Spun",'Custos insumos'!$D$19,IF(C14="Espelhamento",0,IF(C14="Espelhamento 2x",0,IF(C14="Esp. + Pel.",0,IF(C14="Pel. + Spun",'Custos insumos'!$D$19,IF(C14="Dublagem Cretone PES",'Custos insumos'!$F$25,IF(C14="Dublagem Barreira",'Custos insumos'!$D$22,)))))))))))</f>
        <v>0</v>
      </c>
      <c r="O14" s="18"/>
      <c r="P14" s="53">
        <f t="shared" si="1"/>
        <v>0.2476571428571428</v>
      </c>
      <c r="Q14" s="50">
        <f t="shared" si="2"/>
        <v>227.5</v>
      </c>
      <c r="R14" s="50" cm="1">
        <f t="array" ref="R14">_xlfn.IFS(C14="Calandra",(350),C14="Peletização",(421),C14="Dublagem Spun",(250),C14="Dublagem Cretone PES",(180),C14="Felpagem",(270/E14),C14="Emborrachamento",(200),C14="Espelhamento",(250),C14="Malha",(1),C14="Dublagem Cretone",(180),C14="Malha",(1),C14="Dublagem Spun - MO",250,C14="Dublagem Cretone - MO",180,C14="Dublagem Cretone PES - MO",180,C14="Espelhamento - MO",250,C14="Emborrachamento",100,C14="Malha",0,C14="Dublagem Barreira",100,C14="Pel. + Cal.",350,C14="Fel. + Pel. + Cal.",270,C14="Pel. + Spun",250,C14="Espelhamento - L: 1,45m",200,C14="Espelhamento - L: 1,65m",200,C14="Estampagem",100,C14="Fel. + Cal.",270,C14="Dublagem Juta",180,C14="Dublagem Cretone - MO (Juta)",180,C14="Dublagem Tapete",150,C14="Esp. + Pel.",200,C14="Espelhamento 2x",100)</f>
        <v>350</v>
      </c>
      <c r="S14" s="50">
        <f t="shared" si="3"/>
        <v>171.15800000000002</v>
      </c>
      <c r="T14" s="18" cm="1">
        <f t="array" ref="T14">_xlfn.IFS(C14="Calandra",0.4,C14="Felpagem",0.3,C14="Dublagem Spun",0.8,C14="Dublagem Cretone",0.8,C14="Dublagem Cretone PES",0.8,C14="Espelhamento",0.8,C14="Peletização",0.5,C14="Dublagem Spun - MO",0.8,C14="Dublagem Cretone - MO",0.8,C14="Dublagem Cretone PES - MO",0.8,C14="Espelhamento - MO",0.8,C14="Emborrachamento",1,C14="Malha",0,C14="Dublagem Barreira",1,C14="Pel. + Cal.",0.4,C14="Fel. + Pel. + Cal.",0.5,C14="Pel. + Spun",0.8,C14="Espelhamento - L: 1,45m",0.8,C14="Espelhamento - L: 1,65m",0.8,C14="Estampagem",1,C14="Fel. + Cal.",0.4,C14="Dublagem Juta",0.8,C14="Dublagem Cretone - MO (Juta)",0.8,C14="Dublagem Tapete",0.8,C14="Esp. + Pel.",0.8,C14="Espelhamento 2x",0.8)</f>
        <v>0.4</v>
      </c>
      <c r="U14" s="18">
        <v>1</v>
      </c>
      <c r="V14" s="18">
        <v>1</v>
      </c>
      <c r="W14" s="18"/>
      <c r="X14" s="18">
        <v>39.67</v>
      </c>
      <c r="Y14" s="18">
        <v>38.51</v>
      </c>
      <c r="Z14" s="18">
        <v>116.78</v>
      </c>
      <c r="AA14" s="18"/>
    </row>
    <row r="15" spans="1:27" ht="14.25" customHeight="1" x14ac:dyDescent="0.35">
      <c r="A15" s="18"/>
      <c r="B15" s="22" t="s">
        <v>253</v>
      </c>
      <c r="C15" s="32" t="s">
        <v>257</v>
      </c>
      <c r="D15" s="32"/>
      <c r="E15" s="33">
        <v>1</v>
      </c>
      <c r="F15" s="35">
        <v>1.1499999999999999</v>
      </c>
      <c r="G15" s="25">
        <f t="shared" si="5"/>
        <v>1.1499999999999999</v>
      </c>
      <c r="H15" s="26" t="s">
        <v>243</v>
      </c>
      <c r="I15" s="27">
        <f t="shared" si="4"/>
        <v>1.1499999999999999</v>
      </c>
      <c r="J15" s="28">
        <v>45663</v>
      </c>
      <c r="K15" s="36" t="s">
        <v>258</v>
      </c>
      <c r="L15" s="30">
        <f t="shared" si="0"/>
        <v>1.1499999999999999</v>
      </c>
      <c r="M15" s="30">
        <f>IF(B15="Texion Textil",0,IF(C15="Malha",'Custos insumos'!$B$24,IF(C15="Dublagem Cretone",'Custos insumos'!$D$7,IF(C15="Dublagem Spun",'Custos insumos'!$D$4,IF(C15="Espelhamento",'Custos insumos'!$B$11,IF(C15="Espelhamento 2x",2*'Custos insumos'!$B$11,IF(C15="Esp. + Pel.",'Custos insumos'!$B$11,IF(C15="Pel. + Spun",'Custos insumos'!$D$4,IF(C15="Dublagem Cretone PES",'Custos insumos'!$D$7,IF(C15="Dublagem Barreira",'Custos insumos'!$D$11,IF(C15="Dublagem - MO + Filme",'Custos insumos'!$D$4,IF(C15="Dublagem Cretone HM50",'Custos insumos'!$D$26,IF(C15="Dublagem Cretone HM70",'Custos insumos'!$F$10,)))))))))))))</f>
        <v>0</v>
      </c>
      <c r="N15" s="30">
        <f>IF(B15="Texion Textil",0,IF(B15="Três Elos",0,IF(C15="Malha",0,IF(C15="Dublagem Cretone",'Custos insumos'!$D$23,IF(C15="Dublagem Spun",'Custos insumos'!$D$19,IF(C15="Espelhamento",0,IF(C15="Espelhamento 2x",0,IF(C15="Esp. + Pel.",0,IF(C15="Pel. + Spun",'Custos insumos'!$D$19,IF(C15="Dublagem Cretone PES",'Custos insumos'!$F$25,IF(C15="Dublagem Barreira",'Custos insumos'!$D$22,)))))))))))</f>
        <v>0</v>
      </c>
      <c r="O15" s="18"/>
      <c r="P15" s="53">
        <f t="shared" si="1"/>
        <v>0.34947478260869563</v>
      </c>
      <c r="Q15" s="50">
        <f t="shared" si="2"/>
        <v>287.5</v>
      </c>
      <c r="R15" s="50" cm="1">
        <f t="array" ref="R15">_xlfn.IFS(C15="Calandra",(350),C15="Peletização",(421),C15="Dublagem Spun",(250),C15="Dublagem Cretone PES",(180),C15="Felpagem",(270/E15),C15="Emborrachamento",(200),C15="Espelhamento",(250),C15="Malha",(1),C15="Dublagem Cretone",(180),C15="Malha",(1),C15="Dublagem Spun - MO",250,C15="Dublagem Cretone - MO",180,C15="Dublagem Cretone PES - MO",180,C15="Espelhamento - MO",250,C15="Emborrachamento",100,C15="Malha",0,C15="Dublagem Barreira",100,C15="Pel. + Cal.",350,C15="Fel. + Pel. + Cal.",270,C15="Pel. + Spun",250,C15="Espelhamento - L: 1,45m",200,C15="Espelhamento - L: 1,65m",200,C15="Estampagem",100,C15="Fel. + Cal.",270,C15="Dublagem Juta",180,C15="Dublagem Cretone - MO (Juta)",180,C15="Dublagem Tapete",150,C15="Esp. + Pel.",200,C15="Espelhamento 2x",100)</f>
        <v>250</v>
      </c>
      <c r="S15" s="50">
        <f t="shared" si="3"/>
        <v>187.02600000000001</v>
      </c>
      <c r="T15" s="18" cm="1">
        <f t="array" ref="T15">_xlfn.IFS(C15="Calandra",0.4,C15="Felpagem",0.3,C15="Dublagem Spun",0.8,C15="Dublagem Cretone",0.8,C15="Dublagem Cretone PES",0.8,C15="Espelhamento",0.8,C15="Peletização",0.5,C15="Dublagem Spun - MO",0.8,C15="Dublagem Cretone - MO",0.8,C15="Dublagem Cretone PES - MO",0.8,C15="Espelhamento - MO",0.8,C15="Emborrachamento",1,C15="Malha",0,C15="Dublagem Barreira",1,C15="Pel. + Cal.",0.4,C15="Fel. + Pel. + Cal.",0.5,C15="Pel. + Spun",0.8,C15="Espelhamento - L: 1,45m",0.8,C15="Espelhamento - L: 1,65m",0.8,C15="Estampagem",1,C15="Fel. + Cal.",0.4,C15="Dublagem Juta",0.8,C15="Dublagem Cretone - MO (Juta)",0.8,C15="Dublagem Tapete",0.8,C15="Esp. + Pel.",0.8,C15="Espelhamento 2x",0.8)</f>
        <v>0.8</v>
      </c>
      <c r="U15" s="18">
        <v>1</v>
      </c>
      <c r="V15" s="18">
        <v>1</v>
      </c>
      <c r="W15" s="18"/>
      <c r="X15" s="18">
        <v>39.67</v>
      </c>
      <c r="Y15" s="18">
        <v>38.51</v>
      </c>
      <c r="Z15" s="18">
        <v>116.78</v>
      </c>
      <c r="AA15" s="18"/>
    </row>
    <row r="16" spans="1:27" ht="14.25" customHeight="1" x14ac:dyDescent="0.35">
      <c r="A16" s="18"/>
      <c r="B16" s="22" t="s">
        <v>253</v>
      </c>
      <c r="C16" s="32" t="s">
        <v>106</v>
      </c>
      <c r="D16" s="32"/>
      <c r="E16" s="33">
        <v>1</v>
      </c>
      <c r="F16" s="35">
        <v>2.35</v>
      </c>
      <c r="G16" s="25">
        <f t="shared" si="5"/>
        <v>2.35</v>
      </c>
      <c r="H16" s="26" t="s">
        <v>243</v>
      </c>
      <c r="I16" s="27">
        <f t="shared" si="4"/>
        <v>2.35</v>
      </c>
      <c r="J16" s="28">
        <v>45663</v>
      </c>
      <c r="K16" s="36" t="s">
        <v>259</v>
      </c>
      <c r="L16" s="30">
        <f t="shared" si="0"/>
        <v>1.2914997101449275</v>
      </c>
      <c r="M16" s="30">
        <f>IF(B16="Texion Textil",0,IF(C16="Malha",'Custos insumos'!$B$24,IF(C16="Dublagem Cretone",'Custos insumos'!$D$7,IF(C16="Dublagem Spun",'Custos insumos'!$D$4,IF(C16="Espelhamento",'Custos insumos'!$B$11,IF(C16="Espelhamento 2x",2*'Custos insumos'!$B$11,IF(C16="Esp. + Pel.",'Custos insumos'!$B$11,IF(C16="Pel. + Spun",'Custos insumos'!$D$4,IF(C16="Dublagem Cretone PES",'Custos insumos'!$D$7,IF(C16="Dublagem Barreira",'Custos insumos'!$D$11,IF(C16="Dublagem - MO + Filme",'Custos insumos'!$D$4,IF(C16="Dublagem Cretone HM50",'Custos insumos'!$D$26,IF(C16="Dublagem Cretone HM70",'Custos insumos'!$F$10,)))))))))))))</f>
        <v>1.0585002898550726</v>
      </c>
      <c r="N16" s="30">
        <f>IF(B16="Texion Textil",0,IF(B16="Três Elos",0,IF(C16="Malha",0,IF(C16="Dublagem Cretone",'Custos insumos'!$D$23,IF(C16="Dublagem Spun",'Custos insumos'!$D$19,IF(C16="Espelhamento",0,IF(C16="Espelhamento 2x",0,IF(C16="Esp. + Pel.",0,IF(C16="Pel. + Spun",'Custos insumos'!$D$19,IF(C16="Dublagem Cretone PES",'Custos insumos'!$F$25,IF(C16="Dublagem Barreira",'Custos insumos'!$D$22,)))))))))))</f>
        <v>0</v>
      </c>
      <c r="O16" s="18"/>
      <c r="P16" s="53">
        <f t="shared" si="1"/>
        <v>0.23123221708294778</v>
      </c>
      <c r="Q16" s="50">
        <f t="shared" si="2"/>
        <v>587.5</v>
      </c>
      <c r="R16" s="50" cm="1">
        <f t="array" ref="R16">_xlfn.IFS(C16="Calandra",(350),C16="Peletização",(421),C16="Dublagem Spun",(250),C16="Dublagem Cretone PES",(180),C16="Felpagem",(270/E16),C16="Emborrachamento",(200),C16="Espelhamento",(250),C16="Malha",(1),C16="Dublagem Cretone",(180),C16="Malha",(1),C16="Dublagem Spun - MO",250,C16="Dublagem Cretone - MO",180,C16="Dublagem Cretone PES - MO",180,C16="Espelhamento - MO",250,C16="Emborrachamento",100,C16="Malha",0,C16="Dublagem Barreira",100,C16="Pel. + Cal.",350,C16="Fel. + Pel. + Cal.",270,C16="Pel. + Spun",250,C16="Espelhamento - L: 1,45m",200,C16="Espelhamento - L: 1,65m",200,C16="Estampagem",100,C16="Fel. + Cal.",270,C16="Dublagem Juta",180,C16="Dublagem Cretone - MO (Juta)",180,C16="Dublagem Tapete",150,C16="Esp. + Pel.",200,C16="Espelhamento 2x",100)</f>
        <v>250</v>
      </c>
      <c r="S16" s="50">
        <f t="shared" si="3"/>
        <v>451.65107246376817</v>
      </c>
      <c r="T16" s="18" cm="1">
        <f t="array" ref="T16">_xlfn.IFS(C16="Calandra",0.4,C16="Felpagem",0.3,C16="Dublagem Spun",0.8,C16="Dublagem Cretone",0.8,C16="Dublagem Cretone PES",0.8,C16="Espelhamento",0.8,C16="Peletização",0.5,C16="Dublagem Spun - MO",0.8,C16="Dublagem Cretone - MO",0.8,C16="Dublagem Cretone PES - MO",0.8,C16="Espelhamento - MO",0.8,C16="Emborrachamento",1,C16="Malha",0,C16="Dublagem Barreira",1,C16="Pel. + Cal.",0.4,C16="Fel. + Pel. + Cal.",0.5,C16="Pel. + Spun",0.8,C16="Espelhamento - L: 1,45m",0.8,C16="Espelhamento - L: 1,65m",0.8,C16="Estampagem",1,C16="Fel. + Cal.",0.4,C16="Dublagem Juta",0.8,C16="Dublagem Cretone - MO (Juta)",0.8,C16="Dublagem Tapete",0.8,C16="Esp. + Pel.",0.8,C16="Espelhamento 2x",0.8)</f>
        <v>0.8</v>
      </c>
      <c r="U16" s="18">
        <v>1</v>
      </c>
      <c r="V16" s="18">
        <v>1</v>
      </c>
      <c r="W16" s="18"/>
      <c r="X16" s="18">
        <v>39.67</v>
      </c>
      <c r="Y16" s="18">
        <v>38.51</v>
      </c>
      <c r="Z16" s="18">
        <v>116.78</v>
      </c>
      <c r="AA16" s="18"/>
    </row>
    <row r="17" spans="1:27" ht="14.25" customHeight="1" x14ac:dyDescent="0.35">
      <c r="A17" s="18"/>
      <c r="B17" s="22" t="s">
        <v>253</v>
      </c>
      <c r="C17" s="32" t="s">
        <v>260</v>
      </c>
      <c r="D17" s="32"/>
      <c r="E17" s="33">
        <v>1</v>
      </c>
      <c r="F17" s="35">
        <v>1.1499999999999999</v>
      </c>
      <c r="G17" s="25">
        <f t="shared" si="5"/>
        <v>1.1499999999999999</v>
      </c>
      <c r="H17" s="26" t="s">
        <v>243</v>
      </c>
      <c r="I17" s="27">
        <f t="shared" si="4"/>
        <v>1.1499999999999999</v>
      </c>
      <c r="J17" s="28">
        <v>45663</v>
      </c>
      <c r="K17" s="36" t="s">
        <v>258</v>
      </c>
      <c r="L17" s="30">
        <f t="shared" si="0"/>
        <v>1.1499999999999999</v>
      </c>
      <c r="M17" s="30">
        <f>IF(B17="Texion Textil",0,IF(C17="Malha",'Custos insumos'!$B$24,IF(C17="Dublagem Cretone",'Custos insumos'!$D$7,IF(C17="Dublagem Spun",'Custos insumos'!$D$4,IF(C17="Espelhamento",'Custos insumos'!$B$11,IF(C17="Espelhamento 2x",2*'Custos insumos'!$B$11,IF(C17="Esp. + Pel.",'Custos insumos'!$B$11,IF(C17="Pel. + Spun",'Custos insumos'!$D$4,IF(C17="Dublagem Cretone PES",'Custos insumos'!$D$7,IF(C17="Dublagem Barreira",'Custos insumos'!$D$11,IF(C17="Dublagem - MO + Filme",'Custos insumos'!$D$4,IF(C17="Dublagem Cretone HM50",'Custos insumos'!$D$26,IF(C17="Dublagem Cretone HM70",'Custos insumos'!$F$10,)))))))))))))</f>
        <v>0</v>
      </c>
      <c r="N17" s="30">
        <f>IF(B17="Texion Textil",0,IF(B17="Três Elos",0,IF(C17="Malha",0,IF(C17="Dublagem Cretone",'Custos insumos'!$D$23,IF(C17="Dublagem Spun",'Custos insumos'!$D$19,IF(C17="Espelhamento",0,IF(C17="Espelhamento 2x",0,IF(C17="Esp. + Pel.",0,IF(C17="Pel. + Spun",'Custos insumos'!$D$19,IF(C17="Dublagem Cretone PES",'Custos insumos'!$F$25,IF(C17="Dublagem Barreira",'Custos insumos'!$D$22,)))))))))))</f>
        <v>0</v>
      </c>
      <c r="O17" s="18"/>
      <c r="P17" s="53">
        <f t="shared" si="1"/>
        <v>0.34947478260869563</v>
      </c>
      <c r="Q17" s="50">
        <f t="shared" si="2"/>
        <v>287.5</v>
      </c>
      <c r="R17" s="50" cm="1">
        <f t="array" ref="R17">_xlfn.IFS(C17="Calandra",(350),C17="Peletização",(421),C17="Dublagem Spun",(250),C17="Dublagem Cretone PES",(180),C17="Felpagem",(270/E17),C17="Emborrachamento",(200),C17="Espelhamento",(250),C17="Malha",(1),C17="Dublagem Cretone",(180),C17="Malha",(1),C17="Dublagem Spun - MO",250,C17="Dublagem Cretone - MO",180,C17="Dublagem Cretone PES - MO",180,C17="Espelhamento - MO",250,C17="Emborrachamento",100,C17="Malha",0,C17="Dublagem Barreira",100,C17="Pel. + Cal.",350,C17="Fel. + Pel. + Cal.",270,C17="Pel. + Spun",250,C17="Espelhamento - L: 1,45m",200,C17="Espelhamento - L: 1,65m",200,C17="Estampagem",100,C17="Fel. + Cal.",270,C17="Dublagem Juta",180,C17="Dublagem Cretone - MO (Juta)",180,C17="Dublagem Tapete",150,C17="Esp. + Pel.",200,C17="Espelhamento 2x",100)</f>
        <v>250</v>
      </c>
      <c r="S17" s="50">
        <f t="shared" si="3"/>
        <v>187.02600000000001</v>
      </c>
      <c r="T17" s="18" cm="1">
        <f t="array" ref="T17">_xlfn.IFS(C17="Calandra",0.4,C17="Felpagem",0.3,C17="Dublagem Spun",0.8,C17="Dublagem Cretone",0.8,C17="Dublagem Cretone PES",0.8,C17="Espelhamento",0.8,C17="Peletização",0.5,C17="Dublagem Spun - MO",0.8,C17="Dublagem Cretone - MO",0.8,C17="Dublagem Cretone PES - MO",0.8,C17="Espelhamento - MO",0.8,C17="Emborrachamento",1,C17="Malha",0,C17="Dublagem Barreira",1,C17="Pel. + Cal.",0.4,C17="Fel. + Pel. + Cal.",0.5,C17="Pel. + Spun",0.8,C17="Espelhamento - L: 1,45m",0.8,C17="Espelhamento - L: 1,65m",0.8,C17="Estampagem",1,C17="Fel. + Cal.",0.4,C17="Dublagem Juta",0.8,C17="Dublagem Cretone - MO (Juta)",0.8,C17="Dublagem Tapete",0.8,C17="Esp. + Pel.",0.8,C17="Espelhamento 2x",0.8)</f>
        <v>0.8</v>
      </c>
      <c r="U17" s="18">
        <v>1</v>
      </c>
      <c r="V17" s="18">
        <v>1</v>
      </c>
      <c r="W17" s="18"/>
      <c r="X17" s="18">
        <v>39.67</v>
      </c>
      <c r="Y17" s="18">
        <v>38.51</v>
      </c>
      <c r="Z17" s="18">
        <v>116.78</v>
      </c>
      <c r="AA17" s="18"/>
    </row>
    <row r="18" spans="1:27" ht="14.25" customHeight="1" x14ac:dyDescent="0.35">
      <c r="A18" s="18"/>
      <c r="B18" s="22" t="s">
        <v>253</v>
      </c>
      <c r="C18" s="32" t="s">
        <v>249</v>
      </c>
      <c r="D18" s="32"/>
      <c r="E18" s="33">
        <v>1</v>
      </c>
      <c r="F18" s="35">
        <v>4.5</v>
      </c>
      <c r="G18" s="25">
        <f t="shared" si="5"/>
        <v>4.5</v>
      </c>
      <c r="H18" s="26" t="s">
        <v>243</v>
      </c>
      <c r="I18" s="27">
        <f t="shared" si="4"/>
        <v>4.5</v>
      </c>
      <c r="J18" s="28">
        <v>45663</v>
      </c>
      <c r="K18" s="36" t="s">
        <v>259</v>
      </c>
      <c r="L18" s="30">
        <f t="shared" si="0"/>
        <v>2.4858000000000002</v>
      </c>
      <c r="M18" s="30">
        <f>IF(B18="Texion Textil",0,IF(C18="Malha",'Custos insumos'!$B$24,IF(C18="Dublagem Cretone",'Custos insumos'!$D$7,IF(C18="Dublagem Spun",'Custos insumos'!$D$4,IF(C18="Espelhamento",'Custos insumos'!$B$11,IF(C18="Espelhamento 2x",2*'Custos insumos'!$B$11,IF(C18="Esp. + Pel.",'Custos insumos'!$B$11,IF(C18="Pel. + Spun",'Custos insumos'!$D$4,IF(C18="Dublagem Cretone PES",'Custos insumos'!$D$7,IF(C18="Dublagem Barreira",'Custos insumos'!$D$11,IF(C18="Dublagem - MO + Filme",'Custos insumos'!$D$4,IF(C18="Dublagem Cretone HM50",'Custos insumos'!$D$26,IF(C18="Dublagem Cretone HM70",'Custos insumos'!$F$10,)))))))))))))</f>
        <v>1.1232</v>
      </c>
      <c r="N18" s="30">
        <f>IF(B18="Texion Textil",0,IF(B18="Três Elos",0,IF(C18="Malha",0,IF(C18="Dublagem Cretone",'Custos insumos'!$D$23,IF(C18="Dublagem Spun",'Custos insumos'!$D$19,IF(C18="Espelhamento",0,IF(C18="Espelhamento 2x",0,IF(C18="Esp. + Pel.",0,IF(C18="Pel. + Spun",'Custos insumos'!$D$19,IF(C18="Dublagem Cretone PES",'Custos insumos'!$F$25,IF(C18="Dublagem Barreira",'Custos insumos'!$D$22,)))))))))))</f>
        <v>0.89100000000000001</v>
      </c>
      <c r="O18" s="18"/>
      <c r="P18" s="53">
        <f t="shared" si="1"/>
        <v>0.38615466666666665</v>
      </c>
      <c r="Q18" s="50">
        <f t="shared" si="2"/>
        <v>1125</v>
      </c>
      <c r="R18" s="50" cm="1">
        <f t="array" ref="R18">_xlfn.IFS(C18="Calandra",(350),C18="Peletização",(421),C18="Dublagem Spun",(250),C18="Dublagem Cretone PES",(180),C18="Felpagem",(270/E18),C18="Emborrachamento",(200),C18="Espelhamento",(250),C18="Malha",(1),C18="Dublagem Cretone",(180),C18="Malha",(1),C18="Dublagem Spun - MO",250,C18="Dublagem Cretone - MO",180,C18="Dublagem Cretone PES - MO",180,C18="Espelhamento - MO",250,C18="Emborrachamento",100,C18="Malha",0,C18="Dublagem Barreira",100,C18="Pel. + Cal.",350,C18="Fel. + Pel. + Cal.",270,C18="Pel. + Spun",250,C18="Espelhamento - L: 1,45m",200,C18="Espelhamento - L: 1,65m",200,C18="Estampagem",100,C18="Fel. + Cal.",270,C18="Dublagem Juta",180,C18="Dublagem Cretone - MO (Juta)",180,C18="Dublagem Tapete",150,C18="Esp. + Pel.",200,C18="Espelhamento 2x",100)</f>
        <v>250</v>
      </c>
      <c r="S18" s="50">
        <f t="shared" si="3"/>
        <v>690.57600000000002</v>
      </c>
      <c r="T18" s="18" cm="1">
        <f t="array" ref="T18">_xlfn.IFS(C18="Calandra",0.4,C18="Felpagem",0.3,C18="Dublagem Spun",0.8,C18="Dublagem Cretone",0.8,C18="Dublagem Cretone PES",0.8,C18="Espelhamento",0.8,C18="Peletização",0.5,C18="Dublagem Spun - MO",0.8,C18="Dublagem Cretone - MO",0.8,C18="Dublagem Cretone PES - MO",0.8,C18="Espelhamento - MO",0.8,C18="Emborrachamento",1,C18="Malha",0,C18="Dublagem Barreira",1,C18="Pel. + Cal.",0.4,C18="Fel. + Pel. + Cal.",0.5,C18="Pel. + Spun",0.8,C18="Espelhamento - L: 1,45m",0.8,C18="Espelhamento - L: 1,65m",0.8,C18="Estampagem",1,C18="Fel. + Cal.",0.4,C18="Dublagem Juta",0.8,C18="Dublagem Cretone - MO (Juta)",0.8,C18="Dublagem Tapete",0.8,C18="Esp. + Pel.",0.8,C18="Espelhamento 2x",0.8)</f>
        <v>0.8</v>
      </c>
      <c r="U18" s="18">
        <v>1</v>
      </c>
      <c r="V18" s="18">
        <v>1</v>
      </c>
      <c r="W18" s="18"/>
      <c r="X18" s="18">
        <v>39.67</v>
      </c>
      <c r="Y18" s="18">
        <v>38.51</v>
      </c>
      <c r="Z18" s="18">
        <v>116.78</v>
      </c>
      <c r="AA18" s="18"/>
    </row>
    <row r="19" spans="1:27" ht="14.25" customHeight="1" x14ac:dyDescent="0.35">
      <c r="A19" s="18"/>
      <c r="B19" s="22" t="s">
        <v>253</v>
      </c>
      <c r="C19" s="32" t="s">
        <v>261</v>
      </c>
      <c r="D19" s="32"/>
      <c r="E19" s="33">
        <v>1</v>
      </c>
      <c r="F19" s="35">
        <v>1.1499999999999999</v>
      </c>
      <c r="G19" s="25">
        <f t="shared" si="5"/>
        <v>1.1499999999999999</v>
      </c>
      <c r="H19" s="26" t="s">
        <v>243</v>
      </c>
      <c r="I19" s="27">
        <f t="shared" si="4"/>
        <v>1.1499999999999999</v>
      </c>
      <c r="J19" s="28">
        <v>45663</v>
      </c>
      <c r="K19" s="36" t="s">
        <v>258</v>
      </c>
      <c r="L19" s="30">
        <f t="shared" si="0"/>
        <v>1.1499999999999999</v>
      </c>
      <c r="M19" s="30">
        <f>IF(B19="Texion Textil",0,IF(C19="Malha",'Custos insumos'!$B$24,IF(C19="Dublagem Cretone",'Custos insumos'!$D$7,IF(C19="Dublagem Spun",'Custos insumos'!$D$4,IF(C19="Espelhamento",'Custos insumos'!$B$11,IF(C19="Espelhamento 2x",2*'Custos insumos'!$B$11,IF(C19="Esp. + Pel.",'Custos insumos'!$B$11,IF(C19="Pel. + Spun",'Custos insumos'!$D$4,IF(C19="Dublagem Cretone PES",'Custos insumos'!$D$7,IF(C19="Dublagem Barreira",'Custos insumos'!$D$11,IF(C19="Dublagem - MO + Filme",'Custos insumos'!$D$4,IF(C19="Dublagem Cretone HM50",'Custos insumos'!$D$26,IF(C19="Dublagem Cretone HM70",'Custos insumos'!$F$10,)))))))))))))</f>
        <v>0</v>
      </c>
      <c r="N19" s="30">
        <f>IF(B19="Texion Textil",0,IF(B19="Três Elos",0,IF(C19="Malha",0,IF(C19="Dublagem Cretone",'Custos insumos'!$D$23,IF(C19="Dublagem Spun",'Custos insumos'!$D$19,IF(C19="Espelhamento",0,IF(C19="Espelhamento 2x",0,IF(C19="Esp. + Pel.",0,IF(C19="Pel. + Spun",'Custos insumos'!$D$19,IF(C19="Dublagem Cretone PES",'Custos insumos'!$F$25,IF(C19="Dublagem Barreira",'Custos insumos'!$D$22,)))))))))))</f>
        <v>0</v>
      </c>
      <c r="O19" s="18"/>
      <c r="P19" s="53">
        <f t="shared" si="1"/>
        <v>9.6492753623188238E-2</v>
      </c>
      <c r="Q19" s="50">
        <f t="shared" si="2"/>
        <v>206.99999999999997</v>
      </c>
      <c r="R19" s="50" cm="1">
        <f t="array" ref="R19">_xlfn.IFS(C19="Calandra",(350),C19="Peletização",(421),C19="Dublagem Spun",(250),C19="Dublagem Cretone PES",(180),C19="Felpagem",(270/E19),C19="Emborrachamento",(200),C19="Espelhamento",(250),C19="Malha",(1),C19="Dublagem Cretone",(180),C19="Malha",(1),C19="Dublagem Spun - MO",250,C19="Dublagem Cretone - MO",180,C19="Dublagem Cretone PES - MO",180,C19="Espelhamento - MO",250,C19="Emborrachamento",100,C19="Malha",0,C19="Dublagem Barreira",100,C19="Pel. + Cal.",350,C19="Fel. + Pel. + Cal.",270,C19="Pel. + Spun",250,C19="Espelhamento - L: 1,45m",200,C19="Espelhamento - L: 1,65m",200,C19="Estampagem",100,C19="Fel. + Cal.",270,C19="Dublagem Juta",180,C19="Dublagem Cretone - MO (Juta)",180,C19="Dublagem Tapete",150,C19="Esp. + Pel.",200,C19="Espelhamento 2x",100)</f>
        <v>180</v>
      </c>
      <c r="S19" s="50">
        <f t="shared" si="3"/>
        <v>187.02600000000001</v>
      </c>
      <c r="T19" s="18" cm="1">
        <f t="array" ref="T19">_xlfn.IFS(C19="Calandra",0.4,C19="Felpagem",0.3,C19="Dublagem Spun",0.8,C19="Dublagem Cretone",0.8,C19="Dublagem Cretone PES",0.8,C19="Espelhamento",0.8,C19="Peletização",0.5,C19="Dublagem Spun - MO",0.8,C19="Dublagem Cretone - MO",0.8,C19="Dublagem Cretone PES - MO",0.8,C19="Espelhamento - MO",0.8,C19="Emborrachamento",1,C19="Malha",0,C19="Dublagem Barreira",1,C19="Pel. + Cal.",0.4,C19="Fel. + Pel. + Cal.",0.5,C19="Pel. + Spun",0.8,C19="Espelhamento - L: 1,45m",0.8,C19="Espelhamento - L: 1,65m",0.8,C19="Estampagem",1,C19="Fel. + Cal.",0.4,C19="Dublagem Juta",0.8,C19="Dublagem Cretone - MO (Juta)",0.8,C19="Dublagem Tapete",0.8,C19="Esp. + Pel.",0.8,C19="Espelhamento 2x",0.8)</f>
        <v>0.8</v>
      </c>
      <c r="U19" s="18">
        <v>1</v>
      </c>
      <c r="V19" s="18">
        <v>1</v>
      </c>
      <c r="W19" s="18"/>
      <c r="X19" s="18">
        <v>39.67</v>
      </c>
      <c r="Y19" s="18">
        <v>38.51</v>
      </c>
      <c r="Z19" s="18">
        <v>116.78</v>
      </c>
      <c r="AA19" s="18"/>
    </row>
    <row r="20" spans="1:27" ht="14.25" customHeight="1" x14ac:dyDescent="0.35">
      <c r="A20" s="18"/>
      <c r="B20" s="22" t="s">
        <v>262</v>
      </c>
      <c r="C20" s="32" t="s">
        <v>254</v>
      </c>
      <c r="D20" s="32"/>
      <c r="E20" s="33">
        <v>1</v>
      </c>
      <c r="F20" s="35">
        <v>1.1000000000000001</v>
      </c>
      <c r="G20" s="25">
        <f t="shared" si="5"/>
        <v>1.1000000000000001</v>
      </c>
      <c r="H20" s="26" t="s">
        <v>243</v>
      </c>
      <c r="I20" s="27">
        <f t="shared" si="4"/>
        <v>1.1000000000000001</v>
      </c>
      <c r="J20" s="28">
        <v>45663</v>
      </c>
      <c r="K20" s="36"/>
      <c r="L20" s="30">
        <f t="shared" si="0"/>
        <v>1.1000000000000001</v>
      </c>
      <c r="M20" s="30">
        <f>IF(B20="Texion Textil",0,IF(C20="Malha",'Custos insumos'!$B$24,IF(C20="Dublagem Cretone",'Custos insumos'!$D$7,IF(C20="Dublagem Spun",'Custos insumos'!$D$4,IF(C20="Espelhamento",'Custos insumos'!$B$11,IF(C20="Espelhamento 2x",2*'Custos insumos'!$B$11,IF(C20="Esp. + Pel.",'Custos insumos'!$B$11,IF(C20="Pel. + Spun",'Custos insumos'!$D$4,IF(C20="Dublagem Cretone PES",'Custos insumos'!$D$7,IF(C20="Dublagem Barreira",'Custos insumos'!$D$11,IF(C20="Dublagem - MO + Filme",'Custos insumos'!$D$4,IF(C20="Dublagem Cretone HM50",'Custos insumos'!$D$26,IF(C20="Dublagem Cretone HM70",'Custos insumos'!$F$10,)))))))))))))</f>
        <v>0</v>
      </c>
      <c r="N20" s="30">
        <f>IF(B20="Texion Textil",0,IF(B20="Três Elos",0,IF(C20="Malha",0,IF(C20="Dublagem Cretone",'Custos insumos'!$D$23,IF(C20="Dublagem Spun",'Custos insumos'!$D$19,IF(C20="Espelhamento",0,IF(C20="Espelhamento 2x",0,IF(C20="Esp. + Pel.",0,IF(C20="Pel. + Spun",'Custos insumos'!$D$19,IF(C20="Dublagem Cretone PES",'Custos insumos'!$F$25,IF(C20="Dublagem Barreira",'Custos insumos'!$D$22,)))))))))))</f>
        <v>0</v>
      </c>
      <c r="O20" s="18"/>
      <c r="P20" s="53">
        <f t="shared" si="1"/>
        <v>0.43706734006734005</v>
      </c>
      <c r="Q20" s="50">
        <f t="shared" si="2"/>
        <v>297</v>
      </c>
      <c r="R20" s="50" cm="1">
        <f t="array" ref="R20">_xlfn.IFS(C20="Calandra",(350),C20="Peletização",(421),C20="Dublagem Spun",(250),C20="Dublagem Cretone PES",(180),C20="Felpagem",(270/E20),C20="Emborrachamento",(200),C20="Espelhamento",(250),C20="Malha",(1),C20="Dublagem Cretone",(180),C20="Malha",(1),C20="Dublagem Spun - MO",250,C20="Dublagem Cretone - MO",180,C20="Dublagem Cretone PES - MO",180,C20="Espelhamento - MO",250,C20="Emborrachamento",100,C20="Malha",0,C20="Dublagem Barreira",100,C20="Pel. + Cal.",350,C20="Fel. + Pel. + Cal.",270,C20="Pel. + Spun",250,C20="Espelhamento - L: 1,45m",200,C20="Espelhamento - L: 1,65m",200,C20="Estampagem",100,C20="Fel. + Cal.",270,C20="Dublagem Juta",180,C20="Dublagem Cretone - MO (Juta)",180,C20="Dublagem Tapete",150,C20="Esp. + Pel.",200,C20="Espelhamento 2x",100)</f>
        <v>270</v>
      </c>
      <c r="S20" s="50">
        <f t="shared" si="3"/>
        <v>167.191</v>
      </c>
      <c r="T20" s="18" cm="1">
        <f t="array" ref="T20">_xlfn.IFS(C20="Calandra",0.4,C20="Felpagem",0.3,C20="Dublagem Spun",0.8,C20="Dublagem Cretone",0.8,C20="Dublagem Cretone PES",0.8,C20="Espelhamento",0.8,C20="Peletização",0.5,C20="Dublagem Spun - MO",0.8,C20="Dublagem Cretone - MO",0.8,C20="Dublagem Cretone PES - MO",0.8,C20="Espelhamento - MO",0.8,C20="Emborrachamento",1,C20="Malha",0,C20="Dublagem Barreira",1,C20="Pel. + Cal.",0.4,C20="Fel. + Pel. + Cal.",0.5,C20="Pel. + Spun",0.8,C20="Espelhamento - L: 1,45m",0.8,C20="Espelhamento - L: 1,65m",0.8,C20="Estampagem",1,C20="Fel. + Cal.",0.4,C20="Dublagem Juta",0.8,C20="Dublagem Cretone - MO (Juta)",0.8,C20="Dublagem Tapete",0.8,C20="Esp. + Pel.",0.8,C20="Espelhamento 2x",0.8)</f>
        <v>0.3</v>
      </c>
      <c r="U20" s="18">
        <v>1</v>
      </c>
      <c r="V20" s="18">
        <v>1</v>
      </c>
      <c r="W20" s="18"/>
      <c r="X20" s="18">
        <v>39.67</v>
      </c>
      <c r="Y20" s="18">
        <v>38.51</v>
      </c>
      <c r="Z20" s="18">
        <v>116.78</v>
      </c>
      <c r="AA20" s="18"/>
    </row>
    <row r="21" spans="1:27" ht="14.25" customHeight="1" x14ac:dyDescent="0.35">
      <c r="A21" s="18"/>
      <c r="B21" s="22" t="s">
        <v>414</v>
      </c>
      <c r="C21" s="32" t="s">
        <v>144</v>
      </c>
      <c r="D21" s="32"/>
      <c r="E21" s="33"/>
      <c r="F21" s="34"/>
      <c r="G21" s="25">
        <v>1</v>
      </c>
      <c r="H21" s="26"/>
      <c r="I21" s="27"/>
      <c r="J21" s="28"/>
      <c r="K21" s="36"/>
      <c r="L21" s="30">
        <f t="shared" si="0"/>
        <v>1</v>
      </c>
      <c r="M21" s="30">
        <f>IF(B21="Texion Textil",0,IF(C21="Malha",'Custos insumos'!$B$24,IF(C21="Dublagem Cretone",'Custos insumos'!$D$7,IF(C21="Dublagem Spun",'Custos insumos'!$D$4,IF(C21="Espelhamento",'Custos insumos'!$B$11,IF(C21="Espelhamento 2x",2*'Custos insumos'!$B$11,IF(C21="Esp. + Pel.",'Custos insumos'!$B$11,IF(C21="Pel. + Spun",'Custos insumos'!$D$4,IF(C21="Dublagem Cretone PES",'Custos insumos'!$D$7,IF(C21="Dublagem Barreira",'Custos insumos'!$D$11,IF(C21="Dublagem - MO + Filme",'Custos insumos'!$D$4,IF(C21="Dublagem Cretone HM50",'Custos insumos'!$D$26,IF(C21="Dublagem Cretone HM70",'Custos insumos'!$F$10,)))))))))))))</f>
        <v>0</v>
      </c>
      <c r="N21" s="30">
        <f>IF(B21="Texion Textil",0,IF(B21="Três Elos",0,IF(C21="Malha",0,IF(C21="Dublagem Cretone",'Custos insumos'!$D$23,IF(C21="Dublagem Spun",'Custos insumos'!$D$19,IF(C21="Espelhamento",0,IF(C21="Espelhamento 2x",0,IF(C21="Esp. + Pel.",0,IF(C21="Pel. + Spun",'Custos insumos'!$D$19,IF(C21="Dublagem Cretone PES",'Custos insumos'!$F$25,IF(C21="Dublagem Barreira",'Custos insumos'!$D$22,)))))))))))</f>
        <v>0</v>
      </c>
      <c r="O21" s="18"/>
      <c r="P21" s="53">
        <f t="shared" si="1"/>
        <v>0.58402612826603328</v>
      </c>
      <c r="Q21" s="50">
        <f t="shared" si="2"/>
        <v>421</v>
      </c>
      <c r="R21" s="50" cm="1">
        <f t="array" ref="R21">_xlfn.IFS(C21="Calandra",(350),C21="Peletização",(421),C21="Dublagem Spun",(250),C21="Dublagem Cretone PES",(180),C21="Felpagem",(270/E21),C21="Emborrachamento",(200),C21="Espelhamento",(250),C21="Malha",(1),C21="Dublagem Cretone",(180),C21="Malha",(1),C21="Dublagem Spun - MO",250,C21="Dublagem Cretone - MO",180,C21="Dublagem Cretone PES - MO",180,C21="Espelhamento - MO",250,C21="Emborrachamento",100,C21="Malha",0,C21="Dublagem Barreira",100,C21="Pel. + Cal.",350,C21="Fel. + Pel. + Cal.",270,C21="Pel. + Spun",250,C21="Espelhamento - L: 1,45m",200,C21="Espelhamento - L: 1,65m",200,C21="Estampagem",100,C21="Fel. + Cal.",270,C21="Dublagem Juta",180,C21="Dublagem Cretone - MO (Juta)",180,C21="Dublagem Tapete",150,C21="Esp. + Pel.",200,C21="Espelhamento 2x",100)</f>
        <v>421</v>
      </c>
      <c r="S21" s="50">
        <f t="shared" si="3"/>
        <v>175.125</v>
      </c>
      <c r="T21" s="18" cm="1">
        <f t="array" ref="T21">_xlfn.IFS(C21="Calandra",0.4,C21="Felpagem",0.3,C21="Dublagem Spun",0.8,C21="Dublagem Cretone",0.8,C21="Dublagem Cretone PES",0.8,C21="Espelhamento",0.8,C21="Peletização",0.5,C21="Dublagem Spun - MO",0.8,C21="Dublagem Cretone - MO",0.8,C21="Dublagem Cretone PES - MO",0.8,C21="Espelhamento - MO",0.8,C21="Emborrachamento",1,C21="Malha",0,C21="Dublagem Barreira",1,C21="Pel. + Cal.",0.4,C21="Fel. + Pel. + Cal.",0.5,C21="Pel. + Spun",0.8,C21="Espelhamento - L: 1,45m",0.8,C21="Espelhamento - L: 1,65m",0.8,C21="Estampagem",1,C21="Fel. + Cal.",0.4,C21="Dublagem Juta",0.8,C21="Dublagem Cretone - MO (Juta)",0.8,C21="Dublagem Tapete",0.8,C21="Esp. + Pel.",0.8,C21="Espelhamento 2x",0.8)</f>
        <v>0.5</v>
      </c>
      <c r="U21" s="18">
        <v>1</v>
      </c>
      <c r="V21" s="18">
        <v>1</v>
      </c>
      <c r="W21" s="18"/>
      <c r="X21" s="18">
        <v>39.67</v>
      </c>
      <c r="Y21" s="18">
        <v>38.51</v>
      </c>
      <c r="Z21" s="18">
        <v>116.78</v>
      </c>
      <c r="AA21" s="18"/>
    </row>
    <row r="22" spans="1:27" ht="14.25" customHeight="1" x14ac:dyDescent="0.35">
      <c r="A22" s="18"/>
      <c r="B22" s="22" t="s">
        <v>414</v>
      </c>
      <c r="C22" s="23" t="s">
        <v>415</v>
      </c>
      <c r="D22" s="23"/>
      <c r="E22" s="24"/>
      <c r="F22" s="25"/>
      <c r="G22" s="25"/>
      <c r="H22" s="26"/>
      <c r="I22" s="27"/>
      <c r="J22" s="28"/>
      <c r="K22" s="29"/>
      <c r="L22" s="30">
        <f t="shared" si="0"/>
        <v>0</v>
      </c>
      <c r="M22" s="30">
        <f>IF(B22="Texion Textil",0,IF(C22="Malha",'Custos insumos'!$B$24,IF(C22="Dublagem Cretone",'Custos insumos'!$D$7,IF(C22="Dublagem Spun",'Custos insumos'!$D$4,IF(C22="Espelhamento",'Custos insumos'!$B$11,IF(C22="Espelhamento 2x",2*'Custos insumos'!$B$11,IF(C22="Esp. + Pel.",'Custos insumos'!$B$11,IF(C22="Pel. + Spun",'Custos insumos'!$D$4,IF(C22="Dublagem Cretone PES",'Custos insumos'!$D$7,IF(C22="Dublagem Barreira",'Custos insumos'!$D$11,IF(C22="Dublagem - MO + Filme",'Custos insumos'!$D$4,IF(C22="Dublagem Cretone HM50",'Custos insumos'!$D$26,IF(C22="Dublagem Cretone HM70",'Custos insumos'!$F$10,)))))))))))))</f>
        <v>0</v>
      </c>
      <c r="N22" s="30">
        <f>IF(B22="Texion Textil",0,IF(B22="Três Elos",0,IF(C22="Malha",0,IF(C22="Dublagem Cretone",'Custos insumos'!$D$23,IF(C22="Dublagem Spun",'Custos insumos'!$D$19,IF(C22="Espelhamento",0,IF(C22="Espelhamento 2x",0,IF(C22="Esp. + Pel.",0,IF(C22="Pel. + Spun",'Custos insumos'!$D$19,IF(C22="Dublagem Cretone PES",'Custos insumos'!$F$25,IF(C22="Dublagem Barreira",'Custos insumos'!$D$22,)))))))))))</f>
        <v>0</v>
      </c>
      <c r="O22" s="18"/>
      <c r="P22" s="53" t="e">
        <f t="shared" si="1"/>
        <v>#N/A</v>
      </c>
      <c r="Q22" s="50" t="e">
        <f t="shared" si="2"/>
        <v>#N/A</v>
      </c>
      <c r="R22" s="50" t="e" cm="1">
        <f t="array" ref="R22">_xlfn.IFS(C22="Calandra",(350),C22="Peletização",(421),C22="Dublagem Spun",(250),C22="Dublagem Cretone PES",(180),C22="Felpagem",(270/E22),C22="Emborrachamento",(200),C22="Espelhamento",(250),C22="Malha",(1),C22="Dublagem Cretone",(180),C22="Malha",(1),C22="Dublagem Spun - MO",250,C22="Dublagem Cretone - MO",180,C22="Dublagem Cretone PES - MO",180,C22="Espelhamento - MO",250,C22="Emborrachamento",100,C22="Malha",0,C22="Dublagem Barreira",100,C22="Pel. + Cal.",350,C22="Fel. + Pel. + Cal.",270,C22="Pel. + Spun",250,C22="Espelhamento - L: 1,45m",200,C22="Espelhamento - L: 1,65m",200,C22="Estampagem",100,C22="Fel. + Cal.",270,C22="Dublagem Juta",180,C22="Dublagem Cretone - MO (Juta)",180,C22="Dublagem Tapete",150,C22="Esp. + Pel.",200,C22="Espelhamento 2x",100)</f>
        <v>#N/A</v>
      </c>
      <c r="S22" s="50" t="e">
        <f t="shared" si="3"/>
        <v>#N/A</v>
      </c>
      <c r="T22" s="18" t="e" cm="1">
        <f t="array" ref="T22">_xlfn.IFS(C22="Calandra",0.4,C22="Felpagem",0.3,C22="Dublagem Spun",0.8,C22="Dublagem Cretone",0.8,C22="Dublagem Cretone PES",0.8,C22="Espelhamento",0.8,C22="Peletização",0.5,C22="Dublagem Spun - MO",0.8,C22="Dublagem Cretone - MO",0.8,C22="Dublagem Cretone PES - MO",0.8,C22="Espelhamento - MO",0.8,C22="Emborrachamento",1,C22="Malha",0,C22="Dublagem Barreira",1,C22="Pel. + Cal.",0.4,C22="Fel. + Pel. + Cal.",0.5,C22="Pel. + Spun",0.8,C22="Espelhamento - L: 1,45m",0.8,C22="Espelhamento - L: 1,65m",0.8,C22="Estampagem",1,C22="Fel. + Cal.",0.4,C22="Dublagem Juta",0.8,C22="Dublagem Cretone - MO (Juta)",0.8,C22="Dublagem Tapete",0.8,C22="Esp. + Pel.",0.8,C22="Espelhamento 2x",0.8)</f>
        <v>#N/A</v>
      </c>
      <c r="U22" s="18">
        <v>1</v>
      </c>
      <c r="V22" s="18">
        <v>1</v>
      </c>
      <c r="W22" s="18"/>
      <c r="X22" s="18">
        <v>39.67</v>
      </c>
      <c r="Y22" s="18">
        <v>38.51</v>
      </c>
      <c r="Z22" s="18">
        <v>116.78</v>
      </c>
      <c r="AA22" s="18"/>
    </row>
    <row r="23" spans="1:27" ht="14.25" customHeight="1" x14ac:dyDescent="0.35">
      <c r="A23" s="18"/>
      <c r="B23" s="22" t="s">
        <v>81</v>
      </c>
      <c r="C23" s="23" t="s">
        <v>144</v>
      </c>
      <c r="D23" s="23"/>
      <c r="E23" s="24">
        <v>1</v>
      </c>
      <c r="F23" s="25">
        <v>0.65</v>
      </c>
      <c r="G23" s="25">
        <f>F23</f>
        <v>0.65</v>
      </c>
      <c r="H23" s="26" t="s">
        <v>243</v>
      </c>
      <c r="I23" s="27">
        <f>G23/E23</f>
        <v>0.65</v>
      </c>
      <c r="J23" s="28">
        <v>45663</v>
      </c>
      <c r="K23" s="29"/>
      <c r="L23" s="30">
        <f t="shared" si="0"/>
        <v>0.65</v>
      </c>
      <c r="M23" s="30">
        <f>IF(B23="Texion Textil",0,IF(C23="Malha",'Custos insumos'!$B$24,IF(C23="Dublagem Cretone",'Custos insumos'!$D$7,IF(C23="Dublagem Spun",'Custos insumos'!$D$4,IF(C23="Espelhamento",'Custos insumos'!$B$11,IF(C23="Espelhamento 2x",2*'Custos insumos'!$B$11,IF(C23="Esp. + Pel.",'Custos insumos'!$B$11,IF(C23="Pel. + Spun",'Custos insumos'!$D$4,IF(C23="Dublagem Cretone PES",'Custos insumos'!$D$7,IF(C23="Dublagem Barreira",'Custos insumos'!$D$11,IF(C23="Dublagem - MO + Filme",'Custos insumos'!$D$4,IF(C23="Dublagem Cretone HM50",'Custos insumos'!$D$26,IF(C23="Dublagem Cretone HM70",'Custos insumos'!$F$10,)))))))))))))</f>
        <v>0</v>
      </c>
      <c r="N23" s="30">
        <f>IF(B23="Texion Textil",0,IF(B23="Três Elos",0,IF(C23="Malha",0,IF(C23="Dublagem Cretone",'Custos insumos'!$D$23,IF(C23="Dublagem Spun",'Custos insumos'!$D$19,IF(C23="Espelhamento",0,IF(C23="Espelhamento 2x",0,IF(C23="Esp. + Pel.",0,IF(C23="Pel. + Spun",'Custos insumos'!$D$19,IF(C23="Dublagem Cretone PES",'Custos insumos'!$F$25,IF(C23="Dublagem Barreira",'Custos insumos'!$D$22,)))))))))))</f>
        <v>0</v>
      </c>
      <c r="O23" s="18"/>
      <c r="P23" s="53"/>
      <c r="Q23" s="50"/>
      <c r="R23" s="50"/>
      <c r="S23" s="50"/>
      <c r="T23" s="18" cm="1">
        <f t="array" ref="T23">_xlfn.IFS(C23="Calandra",0.4,C23="Felpagem",0.3,C23="Dublagem Spun",0.8,C23="Dublagem Cretone",0.8,C23="Dublagem Cretone PES",0.8,C23="Espelhamento",0.8,C23="Peletização",0.5,C23="Dublagem Spun - MO",0.8,C23="Dublagem Cretone - MO",0.8,C23="Dublagem Cretone PES - MO",0.8,C23="Espelhamento - MO",0.8,C23="Emborrachamento",1,C23="Malha",0,C23="Dublagem Barreira",1,C23="Pel. + Cal.",0.4,C23="Fel. + Pel. + Cal.",0.5,C23="Pel. + Spun",0.8,C23="Espelhamento - L: 1,45m",0.8,C23="Espelhamento - L: 1,65m",0.8,C23="Estampagem",1,C23="Fel. + Cal.",0.4,C23="Dublagem Juta",0.8,C23="Dublagem Cretone - MO (Juta)",0.8,C23="Dublagem Tapete",0.8,C23="Esp. + Pel.",0.8,C23="Espelhamento 2x",0.8)</f>
        <v>0.5</v>
      </c>
      <c r="U23" s="18"/>
      <c r="V23" s="18"/>
      <c r="W23" s="18"/>
      <c r="X23" s="18"/>
      <c r="Y23" s="18"/>
      <c r="Z23" s="18"/>
      <c r="AA23" s="18"/>
    </row>
    <row r="24" spans="1:27" ht="14.25" customHeight="1" x14ac:dyDescent="0.35">
      <c r="A24" s="18"/>
      <c r="B24" s="22" t="s">
        <v>81</v>
      </c>
      <c r="C24" s="23" t="s">
        <v>261</v>
      </c>
      <c r="D24" s="23"/>
      <c r="E24" s="24">
        <v>1</v>
      </c>
      <c r="F24" s="25">
        <f>1.19+1.15</f>
        <v>2.34</v>
      </c>
      <c r="G24" s="25">
        <v>2.74</v>
      </c>
      <c r="H24" s="26" t="s">
        <v>243</v>
      </c>
      <c r="I24" s="27">
        <f>G24/E24</f>
        <v>2.74</v>
      </c>
      <c r="J24" s="28">
        <v>45663</v>
      </c>
      <c r="K24" s="29" t="s">
        <v>263</v>
      </c>
      <c r="L24" s="30">
        <f t="shared" si="0"/>
        <v>1.1740000000000004</v>
      </c>
      <c r="M24" s="30">
        <f>'Custos insumos'!$H$7</f>
        <v>1.5659999999999998</v>
      </c>
      <c r="N24" s="30">
        <v>0</v>
      </c>
      <c r="O24" s="18"/>
      <c r="P24" s="53">
        <f t="shared" si="1"/>
        <v>4.9257907542579152E-2</v>
      </c>
      <c r="Q24" s="50">
        <f t="shared" si="2"/>
        <v>493.20000000000005</v>
      </c>
      <c r="R24" s="50" cm="1">
        <f t="array" ref="R24">_xlfn.IFS(C24="Calandra",(350),C24="Peletização",(421),C24="Dublagem Spun",(250),C24="Dublagem Cretone PES",(180),C24="Felpagem",(270/E24),C24="Emborrachamento",(200),C24="Espelhamento",(250),C24="Malha",(1),C24="Dublagem Cretone",(180),C24="Malha",(1),C24="Dublagem Spun - MO",250,C24="Dublagem Cretone - MO",180,C24="Dublagem Cretone PES - MO",180,C24="Espelhamento - MO",250,C24="Emborrachamento",100,C24="Malha",0,C24="Dublagem Barreira",100,C24="Pel. + Cal.",350,C24="Fel. + Pel. + Cal.",270,C24="Pel. + Spun",250,C24="Espelhamento - L: 1,45m",200,C24="Espelhamento - L: 1,65m",200,C24="Estampagem",100,C24="Fel. + Cal.",270,C24="Dublagem Juta",180,C24="Dublagem Cretone - MO (Juta)",180,C24="Dublagem Tapete",150,C24="Esp. + Pel.",200,C24="Espelhamento 2x",100)</f>
        <v>180</v>
      </c>
      <c r="S24" s="50">
        <f t="shared" si="3"/>
        <v>468.90600000000001</v>
      </c>
      <c r="T24" s="18" cm="1">
        <f t="array" ref="T24">_xlfn.IFS(C24="Calandra",0.4,C24="Felpagem",0.3,C24="Dublagem Spun",0.8,C24="Dublagem Cretone",0.8,C24="Dublagem Cretone PES",0.8,C24="Espelhamento",0.8,C24="Peletização",0.5,C24="Dublagem Spun - MO",0.8,C24="Dublagem Cretone - MO",0.8,C24="Dublagem Cretone PES - MO",0.8,C24="Espelhamento - MO",0.8,C24="Emborrachamento",1,C24="Malha",0,C24="Dublagem Barreira",1,C24="Pel. + Cal.",0.4,C24="Fel. + Pel. + Cal.",0.5,C24="Pel. + Spun",0.8,C24="Espelhamento - L: 1,45m",0.8,C24="Espelhamento - L: 1,65m",0.8,C24="Estampagem",1,C24="Fel. + Cal.",0.4,C24="Dublagem Juta",0.8,C24="Dublagem Cretone - MO (Juta)",0.8,C24="Dublagem Tapete",0.8,C24="Esp. + Pel.",0.8,C24="Espelhamento 2x",0.8)</f>
        <v>0.8</v>
      </c>
      <c r="U24" s="18">
        <v>1</v>
      </c>
      <c r="V24" s="18">
        <v>1</v>
      </c>
      <c r="W24" s="18"/>
      <c r="X24" s="18">
        <v>39.67</v>
      </c>
      <c r="Y24" s="18">
        <v>38.51</v>
      </c>
      <c r="Z24" s="18">
        <v>116.78</v>
      </c>
      <c r="AA24" s="18"/>
    </row>
    <row r="25" spans="1:27" ht="14.25" customHeight="1" x14ac:dyDescent="0.35">
      <c r="A25" s="18"/>
      <c r="B25" s="22" t="s">
        <v>418</v>
      </c>
      <c r="C25" s="23" t="s">
        <v>261</v>
      </c>
      <c r="D25" s="23" t="s">
        <v>419</v>
      </c>
      <c r="E25" s="24"/>
      <c r="F25" s="25"/>
      <c r="G25" s="25">
        <v>7.5</v>
      </c>
      <c r="H25" s="26"/>
      <c r="I25" s="27"/>
      <c r="J25" s="28"/>
      <c r="K25" s="29"/>
      <c r="L25" s="30"/>
      <c r="M25" s="30"/>
      <c r="N25" s="30"/>
      <c r="O25" s="18"/>
      <c r="P25" s="53">
        <f t="shared" si="1"/>
        <v>0.86146222222222213</v>
      </c>
      <c r="Q25" s="50">
        <f t="shared" si="2"/>
        <v>1350</v>
      </c>
      <c r="R25" s="50" cm="1">
        <f t="array" ref="R25">_xlfn.IFS(C25="Calandra",(350),C25="Peletização",(421),C25="Dublagem Spun",(250),C25="Dublagem Cretone PES",(180),C25="Felpagem",(270/E25),C25="Emborrachamento",(200),C25="Espelhamento",(250),C25="Malha",(1),C25="Dublagem Cretone",(180),C25="Malha",(1),C25="Dublagem Spun - MO",250,C25="Dublagem Cretone - MO",180,C25="Dublagem Cretone PES - MO",180,C25="Espelhamento - MO",250,C25="Emborrachamento",100,C25="Malha",0,C25="Dublagem Barreira",100,C25="Pel. + Cal.",350,C25="Fel. + Pel. + Cal.",270,C25="Pel. + Spun",250,C25="Espelhamento - L: 1,45m",200,C25="Espelhamento - L: 1,65m",200,C25="Estampagem",100,C25="Fel. + Cal.",270,C25="Dublagem Juta",180,C25="Dublagem Cretone - MO (Juta)",180,C25="Dublagem Tapete",150,C25="Esp. + Pel.",200,C25="Espelhamento 2x",100)</f>
        <v>180</v>
      </c>
      <c r="S25" s="50">
        <f t="shared" si="3"/>
        <v>187.02600000000001</v>
      </c>
      <c r="T25" s="18" cm="1">
        <f t="array" ref="T25">_xlfn.IFS(C25="Calandra",0.4,C25="Felpagem",0.3,C25="Dublagem Spun",0.8,C25="Dublagem Cretone",0.8,C25="Dublagem Cretone PES",0.8,C25="Espelhamento",0.8,C25="Peletização",0.5,C25="Dublagem Spun - MO",0.8,C25="Dublagem Cretone - MO",0.8,C25="Dublagem Cretone PES - MO",0.8,C25="Espelhamento - MO",0.8,C25="Emborrachamento",1,C25="Malha",0,C25="Dublagem Barreira",1,C25="Pel. + Cal.",0.4,C25="Fel. + Pel. + Cal.",0.5,C25="Pel. + Spun",0.8,C25="Espelhamento - L: 1,45m",0.8,C25="Espelhamento - L: 1,65m",0.8,C25="Estampagem",1,C25="Fel. + Cal.",0.4,C25="Dublagem Juta",0.8,C25="Dublagem Cretone - MO (Juta)",0.8,C25="Dublagem Tapete",0.8,C25="Esp. + Pel.",0.8,C25="Espelhamento 2x",0.8)</f>
        <v>0.8</v>
      </c>
      <c r="U25" s="18">
        <v>1</v>
      </c>
      <c r="V25" s="18">
        <v>1</v>
      </c>
      <c r="W25" s="18"/>
      <c r="X25" s="18">
        <v>39.67</v>
      </c>
      <c r="Y25" s="18">
        <v>38.51</v>
      </c>
      <c r="Z25" s="18">
        <v>116.78</v>
      </c>
      <c r="AA25" s="18"/>
    </row>
    <row r="26" spans="1:27" ht="14.25" customHeight="1" x14ac:dyDescent="0.35">
      <c r="A26" s="18"/>
      <c r="B26" s="22" t="s">
        <v>87</v>
      </c>
      <c r="C26" s="23" t="s">
        <v>144</v>
      </c>
      <c r="D26" s="23"/>
      <c r="E26" s="24">
        <v>1</v>
      </c>
      <c r="F26" s="25">
        <v>0.75</v>
      </c>
      <c r="G26" s="25">
        <f>F26</f>
        <v>0.75</v>
      </c>
      <c r="H26" s="26" t="s">
        <v>243</v>
      </c>
      <c r="I26" s="27">
        <f t="shared" ref="I26:I35" si="6">G26/E26</f>
        <v>0.75</v>
      </c>
      <c r="J26" s="28">
        <v>45663</v>
      </c>
      <c r="K26" s="29"/>
      <c r="L26" s="30">
        <v>0.75</v>
      </c>
      <c r="M26" s="30">
        <f>IF(B26="Texion Textil",0,IF(C26="Malha",'Custos insumos'!$B$24,IF(C26="Dublagem Cretone",'Custos insumos'!$D$7,IF(C26="Dublagem Spun",'Custos insumos'!$D$4,IF(C26="Espelhamento",'Custos insumos'!$B$11,IF(C26="Espelhamento 2x",2*'Custos insumos'!$B$11,IF(C26="Esp. + Pel.",'Custos insumos'!$B$11,IF(C26="Pel. + Spun",'Custos insumos'!$D$4,IF(C26="Dublagem Cretone PES",'Custos insumos'!$D$7,IF(C26="Dublagem Barreira",'Custos insumos'!$D$11,IF(C26="Dublagem - MO + Filme",'Custos insumos'!$D$4,IF(C26="Dublagem Cretone HM50",'Custos insumos'!$D$26,IF(C26="Dublagem Cretone HM70",'Custos insumos'!$F$10,)))))))))))))</f>
        <v>0</v>
      </c>
      <c r="N26" s="30">
        <f>IF(B26="Texion Textil",0,IF(B26="Três Elos",0,IF(C26="Malha",0,IF(C26="Dublagem Cretone",'Custos insumos'!$D$23,IF(C26="Dublagem Spun",'Custos insumos'!$D$19,IF(C26="Espelhamento",0,IF(C26="Espelhamento 2x",0,IF(C26="Esp. + Pel.",0,IF(C26="Pel. + Spun",'Custos insumos'!$D$19,IF(C26="Dublagem Cretone PES",'Custos insumos'!$F$25,IF(C26="Dublagem Barreira",'Custos insumos'!$D$22,)))))))))))</f>
        <v>0</v>
      </c>
      <c r="O26" s="18"/>
      <c r="P26" s="53">
        <f t="shared" si="1"/>
        <v>0.44536817102137766</v>
      </c>
      <c r="Q26" s="50">
        <f t="shared" si="2"/>
        <v>315.75</v>
      </c>
      <c r="R26" s="50" cm="1">
        <f t="array" ref="R26">_xlfn.IFS(C26="Calandra",(350),C26="Peletização",(421),C26="Dublagem Spun",(250),C26="Dublagem Cretone PES",(180),C26="Felpagem",(270/E26),C26="Emborrachamento",(200),C26="Espelhamento",(250),C26="Malha",(1),C26="Dublagem Cretone",(180),C26="Malha",(1),C26="Dublagem Spun - MO",250,C26="Dublagem Cretone - MO",180,C26="Dublagem Cretone PES - MO",180,C26="Espelhamento - MO",250,C26="Emborrachamento",100,C26="Malha",0,C26="Dublagem Barreira",100,C26="Pel. + Cal.",350,C26="Fel. + Pel. + Cal.",270,C26="Pel. + Spun",250,C26="Espelhamento - L: 1,45m",200,C26="Espelhamento - L: 1,65m",200,C26="Estampagem",100,C26="Fel. + Cal.",270,C26="Dublagem Juta",180,C26="Dublagem Cretone - MO (Juta)",180,C26="Dublagem Tapete",150,C26="Esp. + Pel.",200,C26="Espelhamento 2x",100)</f>
        <v>421</v>
      </c>
      <c r="S26" s="50">
        <f t="shared" si="3"/>
        <v>175.125</v>
      </c>
      <c r="T26" s="18" cm="1">
        <f t="array" ref="T26">_xlfn.IFS(C26="Calandra",0.4,C26="Felpagem",0.3,C26="Dublagem Spun",0.8,C26="Dublagem Cretone",0.8,C26="Dublagem Cretone PES",0.8,C26="Espelhamento",0.8,C26="Peletização",0.5,C26="Dublagem Spun - MO",0.8,C26="Dublagem Cretone - MO",0.8,C26="Dublagem Cretone PES - MO",0.8,C26="Espelhamento - MO",0.8,C26="Emborrachamento",1,C26="Malha",0,C26="Dublagem Barreira",1,C26="Pel. + Cal.",0.4,C26="Fel. + Pel. + Cal.",0.5,C26="Pel. + Spun",0.8,C26="Espelhamento - L: 1,45m",0.8,C26="Espelhamento - L: 1,65m",0.8,C26="Estampagem",1,C26="Fel. + Cal.",0.4,C26="Dublagem Juta",0.8,C26="Dublagem Cretone - MO (Juta)",0.8,C26="Dublagem Tapete",0.8,C26="Esp. + Pel.",0.8,C26="Espelhamento 2x",0.8)</f>
        <v>0.5</v>
      </c>
      <c r="U26" s="18">
        <v>1</v>
      </c>
      <c r="V26" s="18">
        <v>1</v>
      </c>
      <c r="W26" s="18"/>
      <c r="X26" s="18">
        <v>39.67</v>
      </c>
      <c r="Y26" s="18">
        <v>38.51</v>
      </c>
      <c r="Z26" s="18">
        <v>116.78</v>
      </c>
      <c r="AA26" s="18"/>
    </row>
    <row r="27" spans="1:27" ht="14.25" customHeight="1" x14ac:dyDescent="0.35">
      <c r="A27" s="18"/>
      <c r="B27" s="22" t="s">
        <v>87</v>
      </c>
      <c r="C27" s="23" t="s">
        <v>144</v>
      </c>
      <c r="D27" s="23" t="s">
        <v>265</v>
      </c>
      <c r="E27" s="24">
        <v>2</v>
      </c>
      <c r="F27" s="25">
        <v>1.25</v>
      </c>
      <c r="G27" s="25">
        <f>F27</f>
        <v>1.25</v>
      </c>
      <c r="H27" s="26" t="s">
        <v>243</v>
      </c>
      <c r="I27" s="27">
        <f t="shared" si="6"/>
        <v>0.625</v>
      </c>
      <c r="J27" s="28">
        <v>45663</v>
      </c>
      <c r="K27" s="29"/>
      <c r="L27" s="30">
        <f t="shared" ref="L27:L56" si="7">G27-M27-N27</f>
        <v>1.25</v>
      </c>
      <c r="M27" s="30">
        <f>IF(B27="Texion Textil",0,IF(C27="Malha",'Custos insumos'!$B$24,IF(C27="Dublagem Cretone",'Custos insumos'!$D$7,IF(C27="Dublagem Spun",'Custos insumos'!$D$4,IF(C27="Espelhamento",'Custos insumos'!$B$11,IF(C27="Espelhamento 2x",2*'Custos insumos'!$B$11,IF(C27="Esp. + Pel.",'Custos insumos'!$B$11,IF(C27="Pel. + Spun",'Custos insumos'!$D$4,IF(C27="Dublagem Cretone PES",'Custos insumos'!$D$7,IF(C27="Dublagem Barreira",'Custos insumos'!$D$11,IF(C27="Dublagem - MO + Filme",'Custos insumos'!$D$4,IF(C27="Dublagem Cretone HM50",'Custos insumos'!$D$26,IF(C27="Dublagem Cretone HM70",'Custos insumos'!$F$10,)))))))))))))</f>
        <v>0</v>
      </c>
      <c r="N27" s="30">
        <f>IF(B27="Texion Textil",0,IF(B27="Três Elos",0,IF(C27="Malha",0,IF(C27="Dublagem Cretone",'Custos insumos'!$D$23,IF(C27="Dublagem Spun",'Custos insumos'!$D$19,IF(C27="Espelhamento",0,IF(C27="Espelhamento 2x",0,IF(C27="Esp. + Pel.",0,IF(C27="Pel. + Spun",'Custos insumos'!$D$19,IF(C27="Dublagem Cretone PES",'Custos insumos'!$F$25,IF(C27="Dublagem Barreira",'Custos insumos'!$D$22,)))))))))))</f>
        <v>0</v>
      </c>
      <c r="O27" s="18"/>
      <c r="P27" s="53">
        <f t="shared" si="1"/>
        <v>0.66722090261282663</v>
      </c>
      <c r="Q27" s="50">
        <f t="shared" si="2"/>
        <v>526.25</v>
      </c>
      <c r="R27" s="50" cm="1">
        <f t="array" ref="R27">_xlfn.IFS(C27="Calandra",(350),C27="Peletização",(421),C27="Dublagem Spun",(250),C27="Dublagem Cretone PES",(180),C27="Felpagem",(270/E27),C27="Emborrachamento",(200),C27="Espelhamento",(250),C27="Malha",(1),C27="Dublagem Cretone",(180),C27="Malha",(1),C27="Dublagem Spun - MO",250,C27="Dublagem Cretone - MO",180,C27="Dublagem Cretone PES - MO",180,C27="Espelhamento - MO",250,C27="Emborrachamento",100,C27="Malha",0,C27="Dublagem Barreira",100,C27="Pel. + Cal.",350,C27="Fel. + Pel. + Cal.",270,C27="Pel. + Spun",250,C27="Espelhamento - L: 1,45m",200,C27="Espelhamento - L: 1,65m",200,C27="Estampagem",100,C27="Fel. + Cal.",270,C27="Dublagem Juta",180,C27="Dublagem Cretone - MO (Juta)",180,C27="Dublagem Tapete",150,C27="Esp. + Pel.",200,C27="Espelhamento 2x",100)</f>
        <v>421</v>
      </c>
      <c r="S27" s="50">
        <f t="shared" si="3"/>
        <v>175.125</v>
      </c>
      <c r="T27" s="18" cm="1">
        <f t="array" ref="T27">_xlfn.IFS(C27="Calandra",0.4,C27="Felpagem",0.3,C27="Dublagem Spun",0.8,C27="Dublagem Cretone",0.8,C27="Dublagem Cretone PES",0.8,C27="Espelhamento",0.8,C27="Peletização",0.5,C27="Dublagem Spun - MO",0.8,C27="Dublagem Cretone - MO",0.8,C27="Dublagem Cretone PES - MO",0.8,C27="Espelhamento - MO",0.8,C27="Emborrachamento",1,C27="Malha",0,C27="Dublagem Barreira",1,C27="Pel. + Cal.",0.4,C27="Fel. + Pel. + Cal.",0.5,C27="Pel. + Spun",0.8,C27="Espelhamento - L: 1,45m",0.8,C27="Espelhamento - L: 1,65m",0.8,C27="Estampagem",1,C27="Fel. + Cal.",0.4,C27="Dublagem Juta",0.8,C27="Dublagem Cretone - MO (Juta)",0.8,C27="Dublagem Tapete",0.8,C27="Esp. + Pel.",0.8,C27="Espelhamento 2x",0.8)</f>
        <v>0.5</v>
      </c>
      <c r="U27" s="18">
        <v>1</v>
      </c>
      <c r="V27" s="18">
        <v>1</v>
      </c>
      <c r="W27" s="18"/>
      <c r="X27" s="18">
        <v>39.67</v>
      </c>
      <c r="Y27" s="18">
        <v>38.51</v>
      </c>
      <c r="Z27" s="18">
        <v>116.78</v>
      </c>
      <c r="AA27" s="18"/>
    </row>
    <row r="28" spans="1:27" ht="14.25" customHeight="1" x14ac:dyDescent="0.35">
      <c r="A28" s="18"/>
      <c r="B28" s="22" t="s">
        <v>89</v>
      </c>
      <c r="C28" s="23" t="s">
        <v>254</v>
      </c>
      <c r="D28" s="23"/>
      <c r="E28" s="24">
        <v>3</v>
      </c>
      <c r="F28" s="25">
        <v>0.4</v>
      </c>
      <c r="G28" s="25">
        <v>0.42</v>
      </c>
      <c r="H28" s="26" t="s">
        <v>243</v>
      </c>
      <c r="I28" s="27">
        <f t="shared" si="6"/>
        <v>0.13999999999999999</v>
      </c>
      <c r="J28" s="28">
        <v>45663</v>
      </c>
      <c r="K28" s="29"/>
      <c r="L28" s="30">
        <f t="shared" si="7"/>
        <v>0.42</v>
      </c>
      <c r="M28" s="30">
        <f>IF(B28="Texion Textil",0,IF(C28="Malha",'Custos insumos'!$B$24,IF(C28="Dublagem Cretone",'Custos insumos'!$D$7,IF(C28="Dublagem Spun",'Custos insumos'!$D$4,IF(C28="Espelhamento",'Custos insumos'!$B$11,IF(C28="Espelhamento 2x",2*'Custos insumos'!$B$11,IF(C28="Esp. + Pel.",'Custos insumos'!$B$11,IF(C28="Pel. + Spun",'Custos insumos'!$D$4,IF(C28="Dublagem Cretone PES",'Custos insumos'!$D$7,IF(C28="Dublagem Barreira",'Custos insumos'!$D$11,IF(C28="Dublagem - MO + Filme",'Custos insumos'!$D$4,IF(C28="Dublagem Cretone HM50",'Custos insumos'!$D$26,IF(C28="Dublagem Cretone HM70",'Custos insumos'!$F$10,)))))))))))))</f>
        <v>0</v>
      </c>
      <c r="N28" s="30">
        <f>IF(B28="Texion Textil",0,IF(B28="Três Elos",0,IF(C28="Malha",0,IF(C28="Dublagem Cretone",'Custos insumos'!$D$23,IF(C28="Dublagem Spun",'Custos insumos'!$D$19,IF(C28="Espelhamento",0,IF(C28="Espelhamento 2x",0,IF(C28="Esp. + Pel.",0,IF(C28="Pel. + Spun",'Custos insumos'!$D$19,IF(C28="Dublagem Cretone PES",'Custos insumos'!$F$25,IF(C28="Dublagem Barreira",'Custos insumos'!$D$22,)))))))))))</f>
        <v>0</v>
      </c>
      <c r="O28" s="18"/>
      <c r="P28" s="53">
        <f t="shared" si="1"/>
        <v>-3.423042328042329</v>
      </c>
      <c r="Q28" s="50">
        <f t="shared" si="2"/>
        <v>37.799999999999997</v>
      </c>
      <c r="R28" s="50" cm="1">
        <f t="array" ref="R28">_xlfn.IFS(C28="Calandra",(350),C28="Peletização",(421),C28="Dublagem Spun",(250),C28="Dublagem Cretone PES",(180),C28="Felpagem",(270/E28),C28="Emborrachamento",(200),C28="Espelhamento",(250),C28="Malha",(1),C28="Dublagem Cretone",(180),C28="Malha",(1),C28="Dublagem Spun - MO",250,C28="Dublagem Cretone - MO",180,C28="Dublagem Cretone PES - MO",180,C28="Espelhamento - MO",250,C28="Emborrachamento",100,C28="Malha",0,C28="Dublagem Barreira",100,C28="Pel. + Cal.",350,C28="Fel. + Pel. + Cal.",270,C28="Pel. + Spun",250,C28="Espelhamento - L: 1,45m",200,C28="Espelhamento - L: 1,65m",200,C28="Estampagem",100,C28="Fel. + Cal.",270,C28="Dublagem Juta",180,C28="Dublagem Cretone - MO (Juta)",180,C28="Dublagem Tapete",150,C28="Esp. + Pel.",200,C28="Espelhamento 2x",100)</f>
        <v>90</v>
      </c>
      <c r="S28" s="50">
        <f t="shared" si="3"/>
        <v>167.191</v>
      </c>
      <c r="T28" s="18" cm="1">
        <f t="array" ref="T28">_xlfn.IFS(C28="Calandra",0.4,C28="Felpagem",0.3,C28="Dublagem Spun",0.8,C28="Dublagem Cretone",0.8,C28="Dublagem Cretone PES",0.8,C28="Espelhamento",0.8,C28="Peletização",0.5,C28="Dublagem Spun - MO",0.8,C28="Dublagem Cretone - MO",0.8,C28="Dublagem Cretone PES - MO",0.8,C28="Espelhamento - MO",0.8,C28="Emborrachamento",1,C28="Malha",0,C28="Dublagem Barreira",1,C28="Pel. + Cal.",0.4,C28="Fel. + Pel. + Cal.",0.5,C28="Pel. + Spun",0.8,C28="Espelhamento - L: 1,45m",0.8,C28="Espelhamento - L: 1,65m",0.8,C28="Estampagem",1,C28="Fel. + Cal.",0.4,C28="Dublagem Juta",0.8,C28="Dublagem Cretone - MO (Juta)",0.8,C28="Dublagem Tapete",0.8,C28="Esp. + Pel.",0.8,C28="Espelhamento 2x",0.8)</f>
        <v>0.3</v>
      </c>
      <c r="U28" s="18">
        <v>1</v>
      </c>
      <c r="V28" s="18">
        <v>1</v>
      </c>
      <c r="W28" s="18"/>
      <c r="X28" s="18">
        <v>39.67</v>
      </c>
      <c r="Y28" s="18">
        <v>38.51</v>
      </c>
      <c r="Z28" s="18">
        <v>116.78</v>
      </c>
      <c r="AA28" s="18"/>
    </row>
    <row r="29" spans="1:27" ht="14.25" customHeight="1" x14ac:dyDescent="0.35">
      <c r="A29" s="18"/>
      <c r="B29" s="22" t="s">
        <v>90</v>
      </c>
      <c r="C29" s="23" t="s">
        <v>144</v>
      </c>
      <c r="D29" s="23"/>
      <c r="E29" s="24">
        <v>1</v>
      </c>
      <c r="F29" s="25">
        <v>0.55000000000000004</v>
      </c>
      <c r="G29" s="25">
        <v>0.65</v>
      </c>
      <c r="H29" s="26" t="s">
        <v>243</v>
      </c>
      <c r="I29" s="27">
        <f t="shared" si="6"/>
        <v>0.65</v>
      </c>
      <c r="J29" s="28">
        <v>45663</v>
      </c>
      <c r="K29" s="29"/>
      <c r="L29" s="30">
        <f t="shared" si="7"/>
        <v>0.65</v>
      </c>
      <c r="M29" s="30">
        <f>IF(B29="Texion Textil",0,IF(C29="Malha",'Custos insumos'!$B$24,IF(C29="Dublagem Cretone",'Custos insumos'!$D$7,IF(C29="Dublagem Spun",'Custos insumos'!$D$4,IF(C29="Espelhamento",'Custos insumos'!$B$11,IF(C29="Espelhamento 2x",2*'Custos insumos'!$B$11,IF(C29="Esp. + Pel.",'Custos insumos'!$B$11,IF(C29="Pel. + Spun",'Custos insumos'!$D$4,IF(C29="Dublagem Cretone PES",'Custos insumos'!$D$7,IF(C29="Dublagem Barreira",'Custos insumos'!$D$11,IF(C29="Dublagem - MO + Filme",'Custos insumos'!$D$4,IF(C29="Dublagem Cretone HM50",'Custos insumos'!$D$26,IF(C29="Dublagem Cretone HM70",'Custos insumos'!$F$10,)))))))))))))</f>
        <v>0</v>
      </c>
      <c r="N29" s="30">
        <f>IF(B29="Texion Textil",0,IF(B29="Três Elos",0,IF(C29="Malha",0,IF(C29="Dublagem Cretone",'Custos insumos'!$D$23,IF(C29="Dublagem Spun",'Custos insumos'!$D$19,IF(C29="Espelhamento",0,IF(C29="Espelhamento 2x",0,IF(C29="Esp. + Pel.",0,IF(C29="Pel. + Spun",'Custos insumos'!$D$19,IF(C29="Dublagem Cretone PES",'Custos insumos'!$F$25,IF(C29="Dublagem Barreira",'Custos insumos'!$D$22,)))))))))))</f>
        <v>0</v>
      </c>
      <c r="O29" s="18"/>
      <c r="P29" s="53">
        <f t="shared" ref="P29:P30" si="8">(Q29-S29)/Q29</f>
        <v>0.21931299104695792</v>
      </c>
      <c r="Q29" s="50">
        <f t="shared" ref="Q29:Q30" si="9">G29*R29</f>
        <v>273.65000000000003</v>
      </c>
      <c r="R29" s="50" cm="1">
        <f t="array" ref="R29">_xlfn.IFS(C29="Calandra",(350),C29="Peletização",(421),C29="Dublagem Spun",(250),C29="Dublagem Cretone PES",(180),C29="Felpagem",(270/E29),C29="Emborrachamento",(200),C29="Espelhamento",(250),C29="Malha",(1),C29="Dublagem Cretone",(180),C29="Malha",(1),C29="Dublagem Spun - MO",250,C29="Dublagem Cretone - MO",180,C29="Dublagem Cretone PES - MO",180,C29="Espelhamento - MO",250,C29="Emborrachamento",100,C29="Malha",0,C29="Dublagem Barreira",100,C29="Pel. + Cal.",350,C29="Fel. + Pel. + Cal.",270,C29="Pel. + Spun",250,C29="Espelhamento - L: 1,45m",200,C29="Espelhamento - L: 1,65m",200,C29="Estampagem",100,C29="Fel. + Cal.",270,C29="Dublagem Juta",180,C29="Dublagem Cretone - MO (Juta)",180,C29="Dublagem Tapete",150,C29="Esp. + Pel.",200,C29="Espelhamento 2x",100)</f>
        <v>421</v>
      </c>
      <c r="S29" s="50">
        <f t="shared" ref="S29:S30" si="10">(T29*X29)+(U29*Y29)+(V29*Z29)+((M29+N29)*(R29))</f>
        <v>213.63499999999999</v>
      </c>
      <c r="T29" s="18" cm="1">
        <f t="array" ref="T29">_xlfn.IFS(C29="Calandra",0.4,C29="Felpagem",0.3,C29="Dublagem Spun",0.8,C29="Dublagem Cretone",0.8,C29="Dublagem Cretone PES",0.8,C29="Espelhamento",0.8,C29="Peletização",0.5,C29="Dublagem Spun - MO",0.8,C29="Dublagem Cretone - MO",0.8,C29="Dublagem Cretone PES - MO",0.8,C29="Espelhamento - MO",0.8,C29="Emborrachamento",1,C29="Malha",0,C29="Dublagem Barreira",1,C29="Pel. + Cal.",0.4,C29="Fel. + Pel. + Cal.",0.5,C29="Pel. + Spun",0.8,C29="Espelhamento - L: 1,45m",0.8,C29="Espelhamento - L: 1,65m",0.8,C29="Estampagem",1,C29="Fel. + Cal.",0.4,C29="Dublagem Juta",0.8,C29="Dublagem Cretone - MO (Juta)",0.8,C29="Dublagem Tapete",0.8,C29="Esp. + Pel.",0.8,C29="Espelhamento 2x",0.8)</f>
        <v>0.5</v>
      </c>
      <c r="U29" s="18">
        <v>2</v>
      </c>
      <c r="V29" s="18">
        <v>1</v>
      </c>
      <c r="W29" s="18"/>
      <c r="X29" s="18">
        <v>39.67</v>
      </c>
      <c r="Y29" s="18">
        <v>38.51</v>
      </c>
      <c r="Z29" s="18">
        <v>116.78</v>
      </c>
      <c r="AA29" s="18"/>
    </row>
    <row r="30" spans="1:27" ht="14.25" customHeight="1" x14ac:dyDescent="0.35">
      <c r="A30" s="18"/>
      <c r="B30" s="22" t="s">
        <v>90</v>
      </c>
      <c r="C30" s="23" t="s">
        <v>68</v>
      </c>
      <c r="D30" s="23"/>
      <c r="E30" s="24">
        <v>1</v>
      </c>
      <c r="F30" s="25">
        <v>20.9</v>
      </c>
      <c r="G30" s="25">
        <v>22.9</v>
      </c>
      <c r="H30" s="26" t="s">
        <v>246</v>
      </c>
      <c r="I30" s="27">
        <f t="shared" si="6"/>
        <v>22.9</v>
      </c>
      <c r="J30" s="28">
        <v>45663</v>
      </c>
      <c r="K30" s="29"/>
      <c r="L30" s="30">
        <f t="shared" si="7"/>
        <v>10.399999999999999</v>
      </c>
      <c r="M30" s="30">
        <f>IF(B30="Texion Textil",0,IF(C30="Malha",'Custos insumos'!$B$24,IF(C30="Dublagem Cretone",'Custos insumos'!$D$7,IF(C30="Dublagem Spun",'Custos insumos'!$D$4,IF(C30="Espelhamento",'Custos insumos'!$B$11,IF(C30="Espelhamento 2x",2*'Custos insumos'!$B$11,IF(C30="Esp. + Pel.",'Custos insumos'!$B$11,IF(C30="Pel. + Spun",'Custos insumos'!$D$4,IF(C30="Dublagem Cretone PES",'Custos insumos'!$D$7,IF(C30="Dublagem Barreira",'Custos insumos'!$D$11,IF(C30="Dublagem - MO + Filme",'Custos insumos'!$D$4,IF(C30="Dublagem Cretone HM50",'Custos insumos'!$D$26,IF(C30="Dublagem Cretone HM70",'Custos insumos'!$F$10,)))))))))))))</f>
        <v>12.5</v>
      </c>
      <c r="N30" s="30">
        <f>IF(B30="Texion Textil",0,IF(B30="Três Elos",0,IF(C30="Malha",0,IF(C30="Dublagem Cretone",'Custos insumos'!$D$23,IF(C30="Dublagem Spun",'Custos insumos'!$D$19,IF(C30="Espelhamento",0,IF(C30="Espelhamento 2x",0,IF(C30="Esp. + Pel.",0,IF(C30="Pel. + Spun",'Custos insumos'!$D$19,IF(C30="Dublagem Cretone PES",'Custos insumos'!$F$25,IF(C30="Dublagem Barreira",'Custos insumos'!$D$22,)))))))))))</f>
        <v>0</v>
      </c>
      <c r="O30" s="18"/>
      <c r="P30" s="53">
        <f t="shared" si="8"/>
        <v>-9.6903930131004365</v>
      </c>
      <c r="Q30" s="50">
        <f t="shared" si="9"/>
        <v>22.9</v>
      </c>
      <c r="R30" s="50" cm="1">
        <f t="array" ref="R30">_xlfn.IFS(C30="Calandra",(350),C30="Peletização",(421),C30="Dublagem Spun",(250),C30="Dublagem Cretone PES",(180),C30="Felpagem",(270/E30),C30="Emborrachamento",(200),C30="Espelhamento",(250),C30="Malha",(1),C30="Dublagem Cretone",(180),C30="Malha",(1),C30="Dublagem Spun - MO",250,C30="Dublagem Cretone - MO",180,C30="Dublagem Cretone PES - MO",180,C30="Espelhamento - MO",250,C30="Emborrachamento",100,C30="Malha",0,C30="Dublagem Barreira",100,C30="Pel. + Cal.",350,C30="Fel. + Pel. + Cal.",270,C30="Pel. + Spun",250,C30="Espelhamento - L: 1,45m",200,C30="Espelhamento - L: 1,65m",200,C30="Estampagem",100,C30="Fel. + Cal.",270,C30="Dublagem Juta",180,C30="Dublagem Cretone - MO (Juta)",180,C30="Dublagem Tapete",150,C30="Esp. + Pel.",200,C30="Espelhamento 2x",100)</f>
        <v>1</v>
      </c>
      <c r="S30" s="50">
        <f t="shared" si="10"/>
        <v>244.81</v>
      </c>
      <c r="T30" s="18" cm="1">
        <f t="array" ref="T30">_xlfn.IFS(C30="Calandra",0.4,C30="Felpagem",0.3,C30="Dublagem Spun",0.8,C30="Dublagem Cretone",0.8,C30="Dublagem Cretone PES",0.8,C30="Espelhamento",0.8,C30="Peletização",0.5,C30="Dublagem Spun - MO",0.8,C30="Dublagem Cretone - MO",0.8,C30="Dublagem Cretone PES - MO",0.8,C30="Espelhamento - MO",0.8,C30="Emborrachamento",1,C30="Malha",0,C30="Dublagem Barreira",1,C30="Pel. + Cal.",0.4,C30="Fel. + Pel. + Cal.",0.5,C30="Pel. + Spun",0.8,C30="Espelhamento - L: 1,45m",0.8,C30="Espelhamento - L: 1,65m",0.8,C30="Estampagem",1,C30="Fel. + Cal.",0.4,C30="Dublagem Juta",0.8,C30="Dublagem Cretone - MO (Juta)",0.8,C30="Dublagem Tapete",0.8,C30="Esp. + Pel.",0.8,C30="Espelhamento 2x",0.8)</f>
        <v>0</v>
      </c>
      <c r="U30" s="18">
        <v>3</v>
      </c>
      <c r="V30" s="18">
        <v>1</v>
      </c>
      <c r="W30" s="18"/>
      <c r="X30" s="18">
        <v>39.67</v>
      </c>
      <c r="Y30" s="18">
        <v>38.51</v>
      </c>
      <c r="Z30" s="18">
        <v>116.78</v>
      </c>
      <c r="AA30" s="18"/>
    </row>
    <row r="31" spans="1:27" ht="14.25" customHeight="1" x14ac:dyDescent="0.35">
      <c r="A31" s="18"/>
      <c r="B31" s="22" t="s">
        <v>91</v>
      </c>
      <c r="C31" s="23" t="s">
        <v>254</v>
      </c>
      <c r="D31" s="23"/>
      <c r="E31" s="24">
        <v>1</v>
      </c>
      <c r="F31" s="25" t="s">
        <v>266</v>
      </c>
      <c r="G31" s="25">
        <v>0.6</v>
      </c>
      <c r="H31" s="26" t="s">
        <v>243</v>
      </c>
      <c r="I31" s="27">
        <f t="shared" si="6"/>
        <v>0.6</v>
      </c>
      <c r="J31" s="28">
        <v>45663</v>
      </c>
      <c r="K31" s="29"/>
      <c r="L31" s="30">
        <f t="shared" si="7"/>
        <v>0.6</v>
      </c>
      <c r="M31" s="30">
        <f>IF(B31="Texion Textil",0,IF(C31="Malha",'Custos insumos'!$B$24,IF(C31="Dublagem Cretone",'Custos insumos'!$D$7,IF(C31="Dublagem Spun",'Custos insumos'!$D$4,IF(C31="Espelhamento",'Custos insumos'!$B$11,IF(C31="Espelhamento 2x",2*'Custos insumos'!$B$11,IF(C31="Esp. + Pel.",'Custos insumos'!$B$11,IF(C31="Pel. + Spun",'Custos insumos'!$D$4,IF(C31="Dublagem Cretone PES",'Custos insumos'!$D$7,IF(C31="Dublagem Barreira",'Custos insumos'!$D$11,IF(C31="Dublagem - MO + Filme",'Custos insumos'!$D$4,IF(C31="Dublagem Cretone HM50",'Custos insumos'!$D$26,IF(C31="Dublagem Cretone HM70",'Custos insumos'!$F$10,)))))))))))))</f>
        <v>0</v>
      </c>
      <c r="N31" s="30">
        <f>IF(B31="Texion Textil",0,IF(B31="Três Elos",0,IF(C31="Malha",0,IF(C31="Dublagem Cretone",'Custos insumos'!$D$23,IF(C31="Dublagem Spun",'Custos insumos'!$D$19,IF(C31="Espelhamento",0,IF(C31="Espelhamento 2x",0,IF(C31="Esp. + Pel.",0,IF(C31="Pel. + Spun",'Custos insumos'!$D$19,IF(C31="Dublagem Cretone PES",'Custos insumos'!$F$25,IF(C31="Dublagem Barreira",'Custos insumos'!$D$22,)))))))))))</f>
        <v>0</v>
      </c>
      <c r="O31" s="18"/>
      <c r="P31" s="53">
        <f t="shared" si="1"/>
        <v>-3.2043209876543223E-2</v>
      </c>
      <c r="Q31" s="50">
        <f t="shared" si="2"/>
        <v>162</v>
      </c>
      <c r="R31" s="50" cm="1">
        <f t="array" ref="R31">_xlfn.IFS(C31="Calandra",(350),C31="Peletização",(421),C31="Dublagem Spun",(250),C31="Dublagem Cretone PES",(180),C31="Felpagem",(270/E31),C31="Emborrachamento",(200),C31="Espelhamento",(250),C31="Malha",(1),C31="Dublagem Cretone",(180),C31="Malha",(1),C31="Dublagem Spun - MO",250,C31="Dublagem Cretone - MO",180,C31="Dublagem Cretone PES - MO",180,C31="Espelhamento - MO",250,C31="Emborrachamento",100,C31="Malha",0,C31="Dublagem Barreira",100,C31="Pel. + Cal.",350,C31="Fel. + Pel. + Cal.",270,C31="Pel. + Spun",250,C31="Espelhamento - L: 1,45m",200,C31="Espelhamento - L: 1,65m",200,C31="Estampagem",100,C31="Fel. + Cal.",270,C31="Dublagem Juta",180,C31="Dublagem Cretone - MO (Juta)",180,C31="Dublagem Tapete",150,C31="Esp. + Pel.",200,C31="Espelhamento 2x",100)</f>
        <v>270</v>
      </c>
      <c r="S31" s="50">
        <f t="shared" si="3"/>
        <v>167.191</v>
      </c>
      <c r="T31" s="18" cm="1">
        <f t="array" ref="T31">_xlfn.IFS(C31="Calandra",0.4,C31="Felpagem",0.3,C31="Dublagem Spun",0.8,C31="Dublagem Cretone",0.8,C31="Dublagem Cretone PES",0.8,C31="Espelhamento",0.8,C31="Peletização",0.5,C31="Dublagem Spun - MO",0.8,C31="Dublagem Cretone - MO",0.8,C31="Dublagem Cretone PES - MO",0.8,C31="Espelhamento - MO",0.8,C31="Emborrachamento",1,C31="Malha",0,C31="Dublagem Barreira",1,C31="Pel. + Cal.",0.4,C31="Fel. + Pel. + Cal.",0.5,C31="Pel. + Spun",0.8,C31="Espelhamento - L: 1,45m",0.8,C31="Espelhamento - L: 1,65m",0.8,C31="Estampagem",1,C31="Fel. + Cal.",0.4,C31="Dublagem Juta",0.8,C31="Dublagem Cretone - MO (Juta)",0.8,C31="Dublagem Tapete",0.8,C31="Esp. + Pel.",0.8,C31="Espelhamento 2x",0.8)</f>
        <v>0.3</v>
      </c>
      <c r="U31" s="18">
        <v>1</v>
      </c>
      <c r="V31" s="18">
        <v>1</v>
      </c>
      <c r="W31" s="18"/>
      <c r="X31" s="18">
        <v>39.67</v>
      </c>
      <c r="Y31" s="18">
        <v>38.51</v>
      </c>
      <c r="Z31" s="18">
        <v>116.78</v>
      </c>
      <c r="AA31" s="18"/>
    </row>
    <row r="32" spans="1:27" ht="14.25" customHeight="1" x14ac:dyDescent="0.35">
      <c r="A32" s="18"/>
      <c r="B32" s="22" t="s">
        <v>91</v>
      </c>
      <c r="C32" s="23" t="s">
        <v>251</v>
      </c>
      <c r="D32" s="23" t="s">
        <v>366</v>
      </c>
      <c r="E32" s="24">
        <v>1</v>
      </c>
      <c r="F32" s="25" t="s">
        <v>266</v>
      </c>
      <c r="G32" s="25">
        <v>4.6500000000000004</v>
      </c>
      <c r="H32" s="26" t="s">
        <v>243</v>
      </c>
      <c r="I32" s="27">
        <f t="shared" si="6"/>
        <v>4.6500000000000004</v>
      </c>
      <c r="J32" s="28">
        <v>45663</v>
      </c>
      <c r="K32" s="29"/>
      <c r="L32" s="30">
        <f t="shared" si="7"/>
        <v>2.6880000000000006</v>
      </c>
      <c r="M32" s="30">
        <f>IF(B32="Texion Textil",0,IF(C32="Malha",'Custos insumos'!$B$24,IF(C32="Dublagem Cretone",'Custos insumos'!$D$7,IF(C32="Dublagem Spun",'Custos insumos'!$D$4,IF(C32="Espelhamento",'Custos insumos'!$B$11,IF(C32="Espelhamento 2x",2*'Custos insumos'!$B$11,IF(C32="Esp. + Pel.",'Custos insumos'!$B$11,IF(C32="Pel. + Spun",'Custos insumos'!$D$4,IF(C32="Dublagem Cretone PES",'Custos insumos'!$D$7,IF(C32="Dublagem Barreira",'Custos insumos'!$D$11,IF(C32="Dublagem - MO + Filme",'Custos insumos'!$D$4,IF(C32="Dublagem Cretone HM50",'Custos insumos'!$D$26,IF(C32="Dublagem Cretone HM70",'Custos insumos'!$F$10,)))))))))))))</f>
        <v>1.962</v>
      </c>
      <c r="N32" s="30"/>
      <c r="O32" s="18"/>
      <c r="P32" s="53">
        <f t="shared" ref="P32" si="11">(Q32-S32)/Q32</f>
        <v>0.3546164874551973</v>
      </c>
      <c r="Q32" s="50">
        <f t="shared" ref="Q32" si="12">G32*R32</f>
        <v>837.00000000000011</v>
      </c>
      <c r="R32" s="50" cm="1">
        <f t="array" ref="R32">_xlfn.IFS(C32="Calandra",(350),C32="Peletização",(421),C32="Dublagem Spun",(250),C32="Dublagem Cretone PES",(180),C32="Felpagem",(270/E32),C32="Emborrachamento",(200),C32="Espelhamento",(250),C32="Malha",(1),C32="Dublagem Cretone",(180),C32="Malha",(1),C32="Dublagem Spun - MO",250,C32="Dublagem Cretone - MO",180,C32="Dublagem Cretone PES - MO",180,C32="Espelhamento - MO",250,C32="Emborrachamento",100,C32="Malha",0,C32="Dublagem Barreira",100,C32="Pel. + Cal.",350,C32="Fel. + Pel. + Cal.",270,C32="Pel. + Spun",250,C32="Espelhamento - L: 1,45m",200,C32="Espelhamento - L: 1,65m",200,C32="Estampagem",100,C32="Fel. + Cal.",270,C32="Dublagem Juta",180,C32="Dublagem Cretone - MO (Juta)",180,C32="Dublagem Tapete",150,C32="Esp. + Pel.",200,C32="Espelhamento 2x",100)</f>
        <v>180</v>
      </c>
      <c r="S32" s="50">
        <f t="shared" ref="S32" si="13">(T32*X32)+(U32*Y32)+(V32*Z32)+((M32+N32)*(R32))</f>
        <v>540.18599999999992</v>
      </c>
      <c r="T32" s="18" cm="1">
        <f t="array" ref="T32">_xlfn.IFS(C32="Calandra",0.4,C32="Felpagem",0.3,C32="Dublagem Spun",0.8,C32="Dublagem Cretone",0.8,C32="Dublagem Cretone PES",0.8,C32="Espelhamento",0.8,C32="Peletização",0.5,C32="Dublagem Spun - MO",0.8,C32="Dublagem Cretone - MO",0.8,C32="Dublagem Cretone PES - MO",0.8,C32="Espelhamento - MO",0.8,C32="Emborrachamento",1,C32="Malha",0,C32="Dublagem Barreira",1,C32="Pel. + Cal.",0.4,C32="Fel. + Pel. + Cal.",0.5,C32="Pel. + Spun",0.8,C32="Espelhamento - L: 1,45m",0.8,C32="Espelhamento - L: 1,65m",0.8,C32="Estampagem",1,C32="Fel. + Cal.",0.4,C32="Dublagem Juta",0.8,C32="Dublagem Cretone - MO (Juta)",0.8,C32="Dublagem Tapete",0.8,C32="Esp. + Pel.",0.8,C32="Espelhamento 2x",0.8)</f>
        <v>0.8</v>
      </c>
      <c r="U32" s="18">
        <v>1</v>
      </c>
      <c r="V32" s="18">
        <v>1</v>
      </c>
      <c r="W32" s="18"/>
      <c r="X32" s="18">
        <v>39.67</v>
      </c>
      <c r="Y32" s="18">
        <v>38.51</v>
      </c>
      <c r="Z32" s="18">
        <v>116.78</v>
      </c>
      <c r="AA32" s="18"/>
    </row>
    <row r="33" spans="1:27" ht="14.25" customHeight="1" x14ac:dyDescent="0.35">
      <c r="A33" s="18"/>
      <c r="B33" s="22" t="s">
        <v>91</v>
      </c>
      <c r="C33" s="23" t="s">
        <v>144</v>
      </c>
      <c r="D33" s="23"/>
      <c r="E33" s="24">
        <v>1</v>
      </c>
      <c r="F33" s="25" t="s">
        <v>266</v>
      </c>
      <c r="G33" s="25">
        <v>0.7</v>
      </c>
      <c r="H33" s="26" t="s">
        <v>243</v>
      </c>
      <c r="I33" s="27">
        <f t="shared" si="6"/>
        <v>0.7</v>
      </c>
      <c r="J33" s="28">
        <v>45663</v>
      </c>
      <c r="K33" s="29"/>
      <c r="L33" s="30">
        <f t="shared" si="7"/>
        <v>0.7</v>
      </c>
      <c r="M33" s="30">
        <f>IF(B33="Texion Textil",0,IF(C33="Malha",'Custos insumos'!$B$24,IF(C33="Dublagem Cretone",'Custos insumos'!$D$7,IF(C33="Dublagem Spun",'Custos insumos'!$D$4,IF(C33="Espelhamento",'Custos insumos'!$B$11,IF(C33="Espelhamento 2x",2*'Custos insumos'!$B$11,IF(C33="Esp. + Pel.",'Custos insumos'!$B$11,IF(C33="Pel. + Spun",'Custos insumos'!$D$4,IF(C33="Dublagem Cretone PES",'Custos insumos'!$D$7,IF(C33="Dublagem Barreira",'Custos insumos'!$D$11,IF(C33="Dublagem - MO + Filme",'Custos insumos'!$D$4,IF(C33="Dublagem Cretone HM50",'Custos insumos'!$D$26,IF(C33="Dublagem Cretone HM70",'Custos insumos'!$F$10,)))))))))))))</f>
        <v>0</v>
      </c>
      <c r="N33" s="30">
        <f>IF(B33="Texion Textil",0,IF(B33="Três Elos",0,IF(C33="Malha",0,IF(C33="Dublagem Cretone",'Custos insumos'!$D$23,IF(C33="Dublagem Spun",'Custos insumos'!$D$19,IF(C33="Espelhamento",0,IF(C33="Espelhamento 2x",0,IF(C33="Esp. + Pel.",0,IF(C33="Pel. + Spun",'Custos insumos'!$D$19,IF(C33="Dublagem Cretone PES",'Custos insumos'!$F$25,IF(C33="Dublagem Barreira",'Custos insumos'!$D$22,)))))))))))</f>
        <v>0</v>
      </c>
      <c r="O33" s="18"/>
      <c r="P33" s="53">
        <f t="shared" si="1"/>
        <v>0.40575161180861891</v>
      </c>
      <c r="Q33" s="50">
        <f t="shared" si="2"/>
        <v>294.7</v>
      </c>
      <c r="R33" s="50" cm="1">
        <f t="array" ref="R33">_xlfn.IFS(C33="Calandra",(350),C33="Peletização",(421),C33="Dublagem Spun",(250),C33="Dublagem Cretone PES",(180),C33="Felpagem",(270/E33),C33="Emborrachamento",(200),C33="Espelhamento",(250),C33="Malha",(1),C33="Dublagem Cretone",(180),C33="Malha",(1),C33="Dublagem Spun - MO",250,C33="Dublagem Cretone - MO",180,C33="Dublagem Cretone PES - MO",180,C33="Espelhamento - MO",250,C33="Emborrachamento",100,C33="Malha",0,C33="Dublagem Barreira",100,C33="Pel. + Cal.",350,C33="Fel. + Pel. + Cal.",270,C33="Pel. + Spun",250,C33="Espelhamento - L: 1,45m",200,C33="Espelhamento - L: 1,65m",200,C33="Estampagem",100,C33="Fel. + Cal.",270,C33="Dublagem Juta",180,C33="Dublagem Cretone - MO (Juta)",180,C33="Dublagem Tapete",150,C33="Esp. + Pel.",200,C33="Espelhamento 2x",100)</f>
        <v>421</v>
      </c>
      <c r="S33" s="50">
        <f t="shared" si="3"/>
        <v>175.125</v>
      </c>
      <c r="T33" s="18" cm="1">
        <f t="array" ref="T33">_xlfn.IFS(C33="Calandra",0.4,C33="Felpagem",0.3,C33="Dublagem Spun",0.8,C33="Dublagem Cretone",0.8,C33="Dublagem Cretone PES",0.8,C33="Espelhamento",0.8,C33="Peletização",0.5,C33="Dublagem Spun - MO",0.8,C33="Dublagem Cretone - MO",0.8,C33="Dublagem Cretone PES - MO",0.8,C33="Espelhamento - MO",0.8,C33="Emborrachamento",1,C33="Malha",0,C33="Dublagem Barreira",1,C33="Pel. + Cal.",0.4,C33="Fel. + Pel. + Cal.",0.5,C33="Pel. + Spun",0.8,C33="Espelhamento - L: 1,45m",0.8,C33="Espelhamento - L: 1,65m",0.8,C33="Estampagem",1,C33="Fel. + Cal.",0.4,C33="Dublagem Juta",0.8,C33="Dublagem Cretone - MO (Juta)",0.8,C33="Dublagem Tapete",0.8,C33="Esp. + Pel.",0.8,C33="Espelhamento 2x",0.8)</f>
        <v>0.5</v>
      </c>
      <c r="U33" s="18">
        <v>1</v>
      </c>
      <c r="V33" s="18">
        <v>1</v>
      </c>
      <c r="W33" s="18"/>
      <c r="X33" s="18">
        <v>39.67</v>
      </c>
      <c r="Y33" s="18">
        <v>38.51</v>
      </c>
      <c r="Z33" s="18">
        <v>116.78</v>
      </c>
      <c r="AA33" s="18"/>
    </row>
    <row r="34" spans="1:27" ht="14.25" customHeight="1" x14ac:dyDescent="0.35">
      <c r="A34" s="18"/>
      <c r="B34" s="22" t="s">
        <v>356</v>
      </c>
      <c r="C34" s="23" t="s">
        <v>357</v>
      </c>
      <c r="D34" s="23"/>
      <c r="E34" s="24">
        <v>1</v>
      </c>
      <c r="F34" s="25"/>
      <c r="G34" s="25">
        <v>2.4</v>
      </c>
      <c r="H34" s="26" t="s">
        <v>243</v>
      </c>
      <c r="I34" s="27">
        <f t="shared" si="6"/>
        <v>2.4</v>
      </c>
      <c r="J34" s="28">
        <v>45663</v>
      </c>
      <c r="K34" s="29"/>
      <c r="L34" s="30">
        <f t="shared" si="7"/>
        <v>1.4952000000000001</v>
      </c>
      <c r="M34" s="30">
        <f>'Custos insumos'!H11</f>
        <v>0.90479999999999994</v>
      </c>
      <c r="N34" s="30">
        <f>IF(B34="Texion Textil",0,IF(B34="Três Elos",0,IF(C34="Malha",0,IF(C34="Dublagem Cretone",'Custos insumos'!$D$23,IF(C34="Dublagem Spun",'Custos insumos'!$D$19,IF(C34="Espelhamento",0,IF(C34="Espelhamento 2x",0,IF(C34="Esp. + Pel.",0,IF(C34="Pel. + Spun",'Custos insumos'!$D$19,IF(C34="Dublagem Cretone PES",'Custos insumos'!$F$25,IF(C34="Dublagem Barreira",'Custos insumos'!$D$22,)))))))))))</f>
        <v>0</v>
      </c>
      <c r="O34" s="18"/>
      <c r="P34" s="53">
        <f t="shared" si="1"/>
        <v>0.23336250000000003</v>
      </c>
      <c r="Q34" s="50">
        <f t="shared" si="2"/>
        <v>480</v>
      </c>
      <c r="R34" s="50" cm="1">
        <f t="array" ref="R34">_xlfn.IFS(C34="Calandra",(350),C34="Peletização",(421),C34="Dublagem Spun",(250),C34="Dublagem Cretone PES",(180),C34="Felpagem",(270/E34),C34="Emborrachamento",(200),C34="Espelhamento",(250),C34="Malha",(1),C34="Dublagem Cretone",(180),C34="Malha",(1),C34="Dublagem Spun - MO",250,C34="Dublagem Cretone - MO",180,C34="Dublagem Cretone PES - MO",180,C34="Espelhamento - MO",250,C34="Emborrachamento",100,C34="Malha",0,C34="Dublagem Barreira",100,C34="Pel. + Cal.",350,C34="Fel. + Pel. + Cal.",270,C34="Pel. + Spun",250,C34="Espelhamento - L: 1,45m",200,C34="Espelhamento - L: 1,65m",200,C34="Estampagem",100,C34="Fel. + Cal.",270,C34="Dublagem Juta",180,C34="Dublagem Cretone - MO (Juta)",180,C34="Dublagem Tapete",150,C34="Esp. + Pel.",200,C34="Espelhamento 2x",100)</f>
        <v>200</v>
      </c>
      <c r="S34" s="50">
        <f t="shared" si="3"/>
        <v>367.98599999999999</v>
      </c>
      <c r="T34" s="18" cm="1">
        <f t="array" ref="T34">_xlfn.IFS(C34="Calandra",0.4,C34="Felpagem",0.3,C34="Dublagem Spun",0.8,C34="Dublagem Cretone",0.8,C34="Dublagem Cretone PES",0.8,C34="Espelhamento",0.8,C34="Peletização",0.5,C34="Dublagem Spun - MO",0.8,C34="Dublagem Cretone - MO",0.8,C34="Dublagem Cretone PES - MO",0.8,C34="Espelhamento - MO",0.8,C34="Emborrachamento",1,C34="Malha",0,C34="Dublagem Barreira",1,C34="Pel. + Cal.",0.4,C34="Fel. + Pel. + Cal.",0.5,C34="Pel. + Spun",0.8,C34="Espelhamento - L: 1,45m",0.8,C34="Espelhamento - L: 1,65m",0.8,C34="Estampagem",1,C34="Fel. + Cal.",0.4,C34="Dublagem Juta",0.8,C34="Dublagem Cretone - MO (Juta)",0.8,C34="Dublagem Tapete",0.8,C34="Esp. + Pel.",0.8,C34="Espelhamento 2x",0.8)</f>
        <v>0.8</v>
      </c>
      <c r="U34" s="18">
        <v>1</v>
      </c>
      <c r="V34" s="18">
        <v>1</v>
      </c>
      <c r="W34" s="18"/>
      <c r="X34" s="18">
        <v>39.67</v>
      </c>
      <c r="Y34" s="18">
        <v>38.51</v>
      </c>
      <c r="Z34" s="18">
        <v>116.78</v>
      </c>
      <c r="AA34" s="18"/>
    </row>
    <row r="35" spans="1:27" ht="14.25" customHeight="1" x14ac:dyDescent="0.35">
      <c r="A35" s="18"/>
      <c r="B35" s="22" t="s">
        <v>356</v>
      </c>
      <c r="C35" s="23" t="s">
        <v>358</v>
      </c>
      <c r="D35" s="23"/>
      <c r="E35" s="24">
        <v>1</v>
      </c>
      <c r="F35" s="25"/>
      <c r="G35" s="25">
        <v>2.5299999999999998</v>
      </c>
      <c r="H35" s="26" t="s">
        <v>243</v>
      </c>
      <c r="I35" s="27">
        <f t="shared" si="6"/>
        <v>2.5299999999999998</v>
      </c>
      <c r="J35" s="28">
        <v>45663</v>
      </c>
      <c r="K35" s="29"/>
      <c r="L35" s="30">
        <f t="shared" si="7"/>
        <v>1.5004</v>
      </c>
      <c r="M35" s="30">
        <f>'Custos insumos'!H13</f>
        <v>1.0295999999999998</v>
      </c>
      <c r="N35" s="30">
        <f>IF(B35="Texion Textil",0,IF(B35="Três Elos",0,IF(C35="Malha",0,IF(C35="Dublagem Cretone",'Custos insumos'!$D$23,IF(C35="Dublagem Spun",'Custos insumos'!$D$19,IF(C35="Espelhamento",0,IF(C35="Espelhamento 2x",0,IF(C35="Esp. + Pel.",0,IF(C35="Pel. + Spun",'Custos insumos'!$D$19,IF(C35="Dublagem Cretone PES",'Custos insumos'!$F$25,IF(C35="Dublagem Barreira",'Custos insumos'!$D$22,)))))))))))</f>
        <v>0</v>
      </c>
      <c r="O35" s="18"/>
      <c r="P35" s="53">
        <f t="shared" si="1"/>
        <v>0.22342687747035569</v>
      </c>
      <c r="Q35" s="50">
        <f t="shared" si="2"/>
        <v>505.99999999999994</v>
      </c>
      <c r="R35" s="50" cm="1">
        <f t="array" ref="R35">_xlfn.IFS(C35="Calandra",(350),C35="Peletização",(421),C35="Dublagem Spun",(250),C35="Dublagem Cretone PES",(180),C35="Felpagem",(270/E35),C35="Emborrachamento",(200),C35="Espelhamento",(250),C35="Malha",(1),C35="Dublagem Cretone",(180),C35="Malha",(1),C35="Dublagem Spun - MO",250,C35="Dublagem Cretone - MO",180,C35="Dublagem Cretone PES - MO",180,C35="Espelhamento - MO",250,C35="Emborrachamento",100,C35="Malha",0,C35="Dublagem Barreira",100,C35="Pel. + Cal.",350,C35="Fel. + Pel. + Cal.",270,C35="Pel. + Spun",250,C35="Espelhamento - L: 1,45m",200,C35="Espelhamento - L: 1,65m",200,C35="Estampagem",100,C35="Fel. + Cal.",270,C35="Dublagem Juta",180,C35="Dublagem Cretone - MO (Juta)",180,C35="Dublagem Tapete",150,C35="Esp. + Pel.",200,C35="Espelhamento 2x",100)</f>
        <v>200</v>
      </c>
      <c r="S35" s="50">
        <f t="shared" si="3"/>
        <v>392.94599999999997</v>
      </c>
      <c r="T35" s="18" cm="1">
        <f t="array" ref="T35">_xlfn.IFS(C35="Calandra",0.4,C35="Felpagem",0.3,C35="Dublagem Spun",0.8,C35="Dublagem Cretone",0.8,C35="Dublagem Cretone PES",0.8,C35="Espelhamento",0.8,C35="Peletização",0.5,C35="Dublagem Spun - MO",0.8,C35="Dublagem Cretone - MO",0.8,C35="Dublagem Cretone PES - MO",0.8,C35="Espelhamento - MO",0.8,C35="Emborrachamento",1,C35="Malha",0,C35="Dublagem Barreira",1,C35="Pel. + Cal.",0.4,C35="Fel. + Pel. + Cal.",0.5,C35="Pel. + Spun",0.8,C35="Espelhamento - L: 1,45m",0.8,C35="Espelhamento - L: 1,65m",0.8,C35="Estampagem",1,C35="Fel. + Cal.",0.4,C35="Dublagem Juta",0.8,C35="Dublagem Cretone - MO (Juta)",0.8,C35="Dublagem Tapete",0.8,C35="Esp. + Pel.",0.8,C35="Espelhamento 2x",0.8)</f>
        <v>0.8</v>
      </c>
      <c r="U35" s="18">
        <v>1</v>
      </c>
      <c r="V35" s="18">
        <v>1</v>
      </c>
      <c r="W35" s="18"/>
      <c r="X35" s="18">
        <v>39.67</v>
      </c>
      <c r="Y35" s="18">
        <v>38.51</v>
      </c>
      <c r="Z35" s="18">
        <v>116.78</v>
      </c>
      <c r="AA35" s="18"/>
    </row>
    <row r="36" spans="1:27" ht="14.25" customHeight="1" x14ac:dyDescent="0.35">
      <c r="A36" s="18"/>
      <c r="B36" s="22" t="s">
        <v>356</v>
      </c>
      <c r="C36" s="23" t="s">
        <v>359</v>
      </c>
      <c r="D36" s="23"/>
      <c r="E36" s="24"/>
      <c r="F36" s="25"/>
      <c r="G36" s="25">
        <v>1.35</v>
      </c>
      <c r="H36" s="26" t="s">
        <v>243</v>
      </c>
      <c r="I36" s="27"/>
      <c r="J36" s="28">
        <v>45663</v>
      </c>
      <c r="K36" s="29"/>
      <c r="L36" s="30">
        <f t="shared" si="7"/>
        <v>1.35</v>
      </c>
      <c r="M36" s="30">
        <f>'Custos insumos'!H16</f>
        <v>0</v>
      </c>
      <c r="N36" s="30">
        <f>IF(B36="Texion Textil",0,IF(B36="Três Elos",0,IF(C36="Malha",0,IF(C36="Dublagem Cretone",'Custos insumos'!$D$23,IF(C36="Dublagem Spun",'Custos insumos'!$D$19,IF(C36="Espelhamento",0,IF(C36="Espelhamento 2x",0,IF(C36="Esp. + Pel.",0,IF(C36="Pel. + Spun",'Custos insumos'!$D$19,IF(C36="Dublagem Cretone PES",'Custos insumos'!$F$25,IF(C36="Dublagem Barreira",'Custos insumos'!$D$22,)))))))))))</f>
        <v>0</v>
      </c>
      <c r="O36" s="18"/>
      <c r="P36" s="53">
        <f t="shared" si="1"/>
        <v>-0.44414814814814818</v>
      </c>
      <c r="Q36" s="50">
        <f t="shared" si="2"/>
        <v>135</v>
      </c>
      <c r="R36" s="50" cm="1">
        <f t="array" ref="R36">_xlfn.IFS(C36="Calandra",(350),C36="Peletização",(421),C36="Dublagem Spun",(250),C36="Dublagem Cretone PES",(180),C36="Felpagem",(270/E36),C36="Emborrachamento",(200),C36="Espelhamento",(250),C36="Malha",(1),C36="Dublagem Cretone",(180),C36="Malha",(1),C36="Dublagem Spun - MO",250,C36="Dublagem Cretone - MO",180,C36="Dublagem Cretone PES - MO",180,C36="Espelhamento - MO",250,C36="Emborrachamento",100,C36="Malha",0,C36="Dublagem Barreira",100,C36="Pel. + Cal.",350,C36="Fel. + Pel. + Cal.",270,C36="Pel. + Spun",250,C36="Espelhamento - L: 1,45m",200,C36="Espelhamento - L: 1,65m",200,C36="Estampagem",100,C36="Fel. + Cal.",270,C36="Dublagem Juta",180,C36="Dublagem Cretone - MO (Juta)",180,C36="Dublagem Tapete",150,C36="Esp. + Pel.",200,C36="Espelhamento 2x",100)</f>
        <v>100</v>
      </c>
      <c r="S36" s="50">
        <f t="shared" si="3"/>
        <v>194.96</v>
      </c>
      <c r="T36" s="18" cm="1">
        <f t="array" ref="T36">_xlfn.IFS(C36="Calandra",0.4,C36="Felpagem",0.3,C36="Dublagem Spun",0.8,C36="Dublagem Cretone",0.8,C36="Dublagem Cretone PES",0.8,C36="Espelhamento",0.8,C36="Peletização",0.5,C36="Dublagem Spun - MO",0.8,C36="Dublagem Cretone - MO",0.8,C36="Dublagem Cretone PES - MO",0.8,C36="Espelhamento - MO",0.8,C36="Emborrachamento",1,C36="Malha",0,C36="Dublagem Barreira",1,C36="Pel. + Cal.",0.4,C36="Fel. + Pel. + Cal.",0.5,C36="Pel. + Spun",0.8,C36="Espelhamento - L: 1,45m",0.8,C36="Espelhamento - L: 1,65m",0.8,C36="Estampagem",1,C36="Fel. + Cal.",0.4,C36="Dublagem Juta",0.8,C36="Dublagem Cretone - MO (Juta)",0.8,C36="Dublagem Tapete",0.8,C36="Esp. + Pel.",0.8,C36="Espelhamento 2x",0.8)</f>
        <v>1</v>
      </c>
      <c r="U36" s="18">
        <v>1</v>
      </c>
      <c r="V36" s="18">
        <v>1</v>
      </c>
      <c r="W36" s="18"/>
      <c r="X36" s="18">
        <v>39.67</v>
      </c>
      <c r="Y36" s="18">
        <v>38.51</v>
      </c>
      <c r="Z36" s="18">
        <v>116.78</v>
      </c>
      <c r="AA36" s="18"/>
    </row>
    <row r="37" spans="1:27" ht="14.25" customHeight="1" x14ac:dyDescent="0.35">
      <c r="A37" s="18"/>
      <c r="B37" s="22" t="s">
        <v>92</v>
      </c>
      <c r="C37" s="23" t="s">
        <v>267</v>
      </c>
      <c r="D37" s="23" t="s">
        <v>268</v>
      </c>
      <c r="E37" s="24">
        <v>4</v>
      </c>
      <c r="F37" s="25">
        <v>4.2</v>
      </c>
      <c r="G37" s="25">
        <f>F37</f>
        <v>4.2</v>
      </c>
      <c r="H37" s="26" t="s">
        <v>243</v>
      </c>
      <c r="I37" s="27">
        <f t="shared" ref="I37:I56" si="14">G37/E37</f>
        <v>1.05</v>
      </c>
      <c r="J37" s="28">
        <v>45663</v>
      </c>
      <c r="K37" s="29" t="s">
        <v>269</v>
      </c>
      <c r="L37" s="30">
        <f t="shared" si="7"/>
        <v>4.2</v>
      </c>
      <c r="M37" s="30">
        <f>IF(B37="Texion Textil",0,IF(C37="Malha",'Custos insumos'!$B$24,IF(C37="Dublagem Cretone",'Custos insumos'!$D$7,IF(C37="Dublagem Spun",'Custos insumos'!$D$4,IF(C37="Espelhamento",'Custos insumos'!$B$11,IF(C37="Espelhamento 2x",2*'Custos insumos'!$B$11,IF(C37="Esp. + Pel.",'Custos insumos'!$B$11,IF(C37="Pel. + Spun",'Custos insumos'!$D$4,IF(C37="Dublagem Cretone PES",'Custos insumos'!$D$7,IF(C37="Dublagem Barreira",'Custos insumos'!$D$11,IF(C37="Dublagem - MO + Filme",'Custos insumos'!$D$4,IF(C37="Dublagem Cretone HM50",'Custos insumos'!$D$26,IF(C37="Dublagem Cretone HM70",'Custos insumos'!$F$10,)))))))))))))</f>
        <v>0</v>
      </c>
      <c r="N37" s="30">
        <f>IF(B37="Texion Textil",0,IF(B37="Três Elos",0,IF(C37="Malha",0,IF(C37="Dublagem Cretone",'Custos insumos'!$D$23,IF(C37="Dublagem Spun",'Custos insumos'!$D$19,IF(C37="Espelhamento",0,IF(C37="Espelhamento 2x",0,IF(C37="Esp. + Pel.",0,IF(C37="Pel. + Spun",'Custos insumos'!$D$19,IF(C37="Dublagem Cretone PES",'Custos insumos'!$F$25,IF(C37="Dublagem Barreira",'Custos insumos'!$D$22,)))))))))))</f>
        <v>0</v>
      </c>
      <c r="O37" s="18"/>
      <c r="P37" s="53">
        <f t="shared" si="1"/>
        <v>0.84906701940035267</v>
      </c>
      <c r="Q37" s="50">
        <f t="shared" si="2"/>
        <v>1134</v>
      </c>
      <c r="R37" s="50" cm="1">
        <f t="array" ref="R37">_xlfn.IFS(C37="Calandra",(350),C37="Peletização",(421),C37="Dublagem Spun",(250),C37="Dublagem Cretone PES",(180),C37="Felpagem",(270/E37),C37="Emborrachamento",(200),C37="Espelhamento",(250),C37="Malha",(1),C37="Dublagem Cretone",(180),C37="Malha",(1),C37="Dublagem Spun - MO",250,C37="Dublagem Cretone - MO",180,C37="Dublagem Cretone PES - MO",180,C37="Espelhamento - MO",250,C37="Emborrachamento",100,C37="Malha",0,C37="Dublagem Barreira",100,C37="Pel. + Cal.",350,C37="Fel. + Pel. + Cal.",270,C37="Pel. + Spun",250,C37="Espelhamento - L: 1,45m",200,C37="Espelhamento - L: 1,65m",200,C37="Estampagem",100,C37="Fel. + Cal.",270,C37="Dublagem Juta",180,C37="Dublagem Cretone - MO (Juta)",180,C37="Dublagem Tapete",150,C37="Esp. + Pel.",200,C37="Espelhamento 2x",100)</f>
        <v>270</v>
      </c>
      <c r="S37" s="50">
        <f t="shared" si="3"/>
        <v>171.15800000000002</v>
      </c>
      <c r="T37" s="18" cm="1">
        <f t="array" ref="T37">_xlfn.IFS(C37="Calandra",0.4,C37="Felpagem",0.3,C37="Dublagem Spun",0.8,C37="Dublagem Cretone",0.8,C37="Dublagem Cretone PES",0.8,C37="Espelhamento",0.8,C37="Peletização",0.5,C37="Dublagem Spun - MO",0.8,C37="Dublagem Cretone - MO",0.8,C37="Dublagem Cretone PES - MO",0.8,C37="Espelhamento - MO",0.8,C37="Emborrachamento",1,C37="Malha",0,C37="Dublagem Barreira",1,C37="Pel. + Cal.",0.4,C37="Fel. + Pel. + Cal.",0.5,C37="Pel. + Spun",0.8,C37="Espelhamento - L: 1,45m",0.8,C37="Espelhamento - L: 1,65m",0.8,C37="Estampagem",1,C37="Fel. + Cal.",0.4,C37="Dublagem Juta",0.8,C37="Dublagem Cretone - MO (Juta)",0.8,C37="Dublagem Tapete",0.8,C37="Esp. + Pel.",0.8,C37="Espelhamento 2x",0.8)</f>
        <v>0.4</v>
      </c>
      <c r="U37" s="18">
        <v>1</v>
      </c>
      <c r="V37" s="18">
        <v>1</v>
      </c>
      <c r="W37" s="18"/>
      <c r="X37" s="18">
        <v>39.67</v>
      </c>
      <c r="Y37" s="18">
        <v>38.51</v>
      </c>
      <c r="Z37" s="18">
        <v>116.78</v>
      </c>
      <c r="AA37" s="18"/>
    </row>
    <row r="38" spans="1:27" ht="14.25" customHeight="1" x14ac:dyDescent="0.35">
      <c r="A38" s="18"/>
      <c r="B38" s="22" t="s">
        <v>92</v>
      </c>
      <c r="C38" s="23" t="s">
        <v>272</v>
      </c>
      <c r="D38" s="23" t="s">
        <v>360</v>
      </c>
      <c r="E38" s="24">
        <v>1</v>
      </c>
      <c r="F38" s="25"/>
      <c r="G38" s="25">
        <v>2.7</v>
      </c>
      <c r="H38" s="26" t="s">
        <v>243</v>
      </c>
      <c r="I38" s="27">
        <f t="shared" si="14"/>
        <v>2.7</v>
      </c>
      <c r="J38" s="28">
        <v>45663</v>
      </c>
      <c r="K38" s="29" t="s">
        <v>248</v>
      </c>
      <c r="L38" s="30">
        <f t="shared" si="7"/>
        <v>1.1340000000000003</v>
      </c>
      <c r="M38" s="30">
        <f>'Custos insumos'!F7</f>
        <v>1.5659999999999998</v>
      </c>
      <c r="N38" s="30">
        <f>IF(B38="Texion Textil",0,IF(B38="Três Elos",0,IF(C38="Malha",0,IF(C38="Dublagem Cretone",'Custos insumos'!$D$23,IF(C38="Dublagem Spun",'Custos insumos'!$D$19,IF(C38="Espelhamento",0,IF(C38="Espelhamento 2x",0,IF(C38="Esp. + Pel.",0,IF(C38="Pel. + Spun",'Custos insumos'!$D$19,IF(C38="Dublagem Cretone PES",'Custos insumos'!$F$25,IF(C38="Dublagem Barreira",'Custos insumos'!$D$22,)))))))))))</f>
        <v>0</v>
      </c>
      <c r="O38" s="18"/>
      <c r="P38" s="53">
        <f t="shared" si="1"/>
        <v>3.5172839506172941E-2</v>
      </c>
      <c r="Q38" s="50">
        <f t="shared" si="2"/>
        <v>486.00000000000006</v>
      </c>
      <c r="R38" s="50" cm="1">
        <f t="array" ref="R38">_xlfn.IFS(C38="Calandra",(350),C38="Peletização",(421),C38="Dublagem Spun",(250),C38="Dublagem Cretone PES",(180),C38="Felpagem",(270/E38),C38="Emborrachamento",(200),C38="Espelhamento",(250),C38="Malha",(1),C38="Dublagem Cretone",(180),C38="Malha",(1),C38="Dublagem Spun - MO",250,C38="Dublagem Cretone - MO",180,C38="Dublagem Cretone PES - MO",180,C38="Espelhamento - MO",250,C38="Emborrachamento",100,C38="Malha",0,C38="Dublagem Barreira",100,C38="Pel. + Cal.",350,C38="Fel. + Pel. + Cal.",270,C38="Pel. + Spun",250,C38="Espelhamento - L: 1,45m",200,C38="Espelhamento - L: 1,65m",200,C38="Estampagem",100,C38="Fel. + Cal.",270,C38="Dublagem Juta",180,C38="Dublagem Cretone - MO (Juta)",180,C38="Dublagem Tapete",150,C38="Esp. + Pel.",200,C38="Espelhamento 2x",100)</f>
        <v>180</v>
      </c>
      <c r="S38" s="50">
        <f t="shared" si="3"/>
        <v>468.90600000000001</v>
      </c>
      <c r="T38" s="18" cm="1">
        <f t="array" ref="T38">_xlfn.IFS(C38="Calandra",0.4,C38="Felpagem",0.3,C38="Dublagem Spun",0.8,C38="Dublagem Cretone",0.8,C38="Dublagem Cretone PES",0.8,C38="Espelhamento",0.8,C38="Peletização",0.5,C38="Dublagem Spun - MO",0.8,C38="Dublagem Cretone - MO",0.8,C38="Dublagem Cretone PES - MO",0.8,C38="Espelhamento - MO",0.8,C38="Emborrachamento",1,C38="Malha",0,C38="Dublagem Barreira",1,C38="Pel. + Cal.",0.4,C38="Fel. + Pel. + Cal.",0.5,C38="Pel. + Spun",0.8,C38="Espelhamento - L: 1,45m",0.8,C38="Espelhamento - L: 1,65m",0.8,C38="Estampagem",1,C38="Fel. + Cal.",0.4,C38="Dublagem Juta",0.8,C38="Dublagem Cretone - MO (Juta)",0.8,C38="Dublagem Tapete",0.8,C38="Esp. + Pel.",0.8,C38="Espelhamento 2x",0.8)</f>
        <v>0.8</v>
      </c>
      <c r="U38" s="18">
        <v>1</v>
      </c>
      <c r="V38" s="18">
        <v>1</v>
      </c>
      <c r="W38" s="18"/>
      <c r="X38" s="18">
        <v>39.67</v>
      </c>
      <c r="Y38" s="18">
        <v>38.51</v>
      </c>
      <c r="Z38" s="18">
        <v>116.78</v>
      </c>
      <c r="AA38" s="18"/>
    </row>
    <row r="39" spans="1:27" ht="14.25" customHeight="1" x14ac:dyDescent="0.35">
      <c r="A39" s="18"/>
      <c r="B39" s="22" t="s">
        <v>92</v>
      </c>
      <c r="C39" s="23" t="s">
        <v>272</v>
      </c>
      <c r="D39" s="23" t="s">
        <v>273</v>
      </c>
      <c r="E39" s="24">
        <v>1</v>
      </c>
      <c r="F39" s="25">
        <v>2.9</v>
      </c>
      <c r="G39" s="25">
        <f>F39</f>
        <v>2.9</v>
      </c>
      <c r="H39" s="26" t="s">
        <v>243</v>
      </c>
      <c r="I39" s="27">
        <f t="shared" si="14"/>
        <v>2.9</v>
      </c>
      <c r="J39" s="28">
        <v>45663</v>
      </c>
      <c r="K39" s="29" t="s">
        <v>248</v>
      </c>
      <c r="L39" s="30">
        <f t="shared" si="7"/>
        <v>1.1199799999999998</v>
      </c>
      <c r="M39" s="30">
        <f>'Custos insumos'!F8</f>
        <v>1.7800200000000002</v>
      </c>
      <c r="N39" s="30">
        <f>IF(B39="Texion Textil",0,IF(B39="Três Elos",0,IF(C39="Malha",0,IF(C39="Dublagem Cretone",'Custos insumos'!$D$23,IF(C39="Dublagem Spun",'Custos insumos'!$D$19,IF(C39="Espelhamento",0,IF(C39="Espelhamento 2x",0,IF(C39="Esp. + Pel.",0,IF(C39="Pel. + Spun",'Custos insumos'!$D$19,IF(C39="Dublagem Cretone PES",'Custos insumos'!$F$25,IF(C39="Dublagem Barreira",'Custos insumos'!$D$22,)))))))))))</f>
        <v>0</v>
      </c>
      <c r="O39" s="18"/>
      <c r="P39" s="53">
        <f t="shared" si="1"/>
        <v>2.7912643678160824E-2</v>
      </c>
      <c r="Q39" s="50">
        <f t="shared" si="2"/>
        <v>522</v>
      </c>
      <c r="R39" s="50" cm="1">
        <f t="array" ref="R39">_xlfn.IFS(C39="Calandra",(350),C39="Peletização",(421),C39="Dublagem Spun",(250),C39="Dublagem Cretone PES",(180),C39="Felpagem",(270/E39),C39="Emborrachamento",(200),C39="Espelhamento",(250),C39="Malha",(1),C39="Dublagem Cretone",(180),C39="Malha",(1),C39="Dublagem Spun - MO",250,C39="Dublagem Cretone - MO",180,C39="Dublagem Cretone PES - MO",180,C39="Espelhamento - MO",250,C39="Emborrachamento",100,C39="Malha",0,C39="Dublagem Barreira",100,C39="Pel. + Cal.",350,C39="Fel. + Pel. + Cal.",270,C39="Pel. + Spun",250,C39="Espelhamento - L: 1,45m",200,C39="Espelhamento - L: 1,65m",200,C39="Estampagem",100,C39="Fel. + Cal.",270,C39="Dublagem Juta",180,C39="Dublagem Cretone - MO (Juta)",180,C39="Dublagem Tapete",150,C39="Esp. + Pel.",200,C39="Espelhamento 2x",100)</f>
        <v>180</v>
      </c>
      <c r="S39" s="50">
        <f t="shared" si="3"/>
        <v>507.42960000000005</v>
      </c>
      <c r="T39" s="18" cm="1">
        <f t="array" ref="T39">_xlfn.IFS(C39="Calandra",0.4,C39="Felpagem",0.3,C39="Dublagem Spun",0.8,C39="Dublagem Cretone",0.8,C39="Dublagem Cretone PES",0.8,C39="Espelhamento",0.8,C39="Peletização",0.5,C39="Dublagem Spun - MO",0.8,C39="Dublagem Cretone - MO",0.8,C39="Dublagem Cretone PES - MO",0.8,C39="Espelhamento - MO",0.8,C39="Emborrachamento",1,C39="Malha",0,C39="Dublagem Barreira",1,C39="Pel. + Cal.",0.4,C39="Fel. + Pel. + Cal.",0.5,C39="Pel. + Spun",0.8,C39="Espelhamento - L: 1,45m",0.8,C39="Espelhamento - L: 1,65m",0.8,C39="Estampagem",1,C39="Fel. + Cal.",0.4,C39="Dublagem Juta",0.8,C39="Dublagem Cretone - MO (Juta)",0.8,C39="Dublagem Tapete",0.8,C39="Esp. + Pel.",0.8,C39="Espelhamento 2x",0.8)</f>
        <v>0.8</v>
      </c>
      <c r="U39" s="18">
        <v>1</v>
      </c>
      <c r="V39" s="18">
        <v>1</v>
      </c>
      <c r="W39" s="18"/>
      <c r="X39" s="18">
        <v>39.67</v>
      </c>
      <c r="Y39" s="18">
        <v>38.51</v>
      </c>
      <c r="Z39" s="18">
        <v>116.78</v>
      </c>
      <c r="AA39" s="18"/>
    </row>
    <row r="40" spans="1:27" ht="14.25" customHeight="1" x14ac:dyDescent="0.35">
      <c r="A40" s="18"/>
      <c r="B40" s="22" t="s">
        <v>92</v>
      </c>
      <c r="C40" s="23" t="s">
        <v>251</v>
      </c>
      <c r="D40" s="23" t="s">
        <v>412</v>
      </c>
      <c r="E40" s="24">
        <v>1</v>
      </c>
      <c r="F40" s="25">
        <v>6.1</v>
      </c>
      <c r="G40" s="25">
        <f>F40</f>
        <v>6.1</v>
      </c>
      <c r="H40" s="26" t="s">
        <v>243</v>
      </c>
      <c r="I40" s="27">
        <f t="shared" si="14"/>
        <v>6.1</v>
      </c>
      <c r="J40" s="28">
        <v>45663</v>
      </c>
      <c r="K40" s="29" t="s">
        <v>248</v>
      </c>
      <c r="L40" s="30">
        <f t="shared" si="7"/>
        <v>1.81</v>
      </c>
      <c r="M40" s="30">
        <f>IF(B40="Texion Textil",0,IF(C40="Malha",'Custos insumos'!$B$24,IF(C40="Dublagem Cretone",'Custos insumos'!$D$7,IF(C40="Dublagem Spun",'Custos insumos'!$D$4,IF(C40="Espelhamento",'Custos insumos'!$B$11,IF(C40="Espelhamento 2x",2*'Custos insumos'!$B$11,IF(C40="Esp. + Pel.",'Custos insumos'!$B$11,IF(C40="Pel. + Spun",'Custos insumos'!$D$4,IF(C40="Dublagem Cretone PES",'Custos insumos'!$D$7,IF(C40="Dublagem Barreira",'Custos insumos'!$D$11,IF(C40="Dublagem - MO + Filme",'Custos insumos'!$D$4,IF(C40="Dublagem Cretone HM50",'Custos insumos'!$D$26,IF(C40="Dublagem Cretone HM70",'Custos insumos'!$F$10,)))))))))))))</f>
        <v>1.962</v>
      </c>
      <c r="N40" s="30">
        <f>IF(B40="Texion Textil",0,IF(B40="Três Elos",0,IF(C40="Malha",0,IF(C40="Dublagem Cretone",'Custos insumos'!$D$23,IF(C40="Dublagem Spun",'Custos insumos'!$D$19,IF(C40="Espelhamento",0,IF(C40="Espelhamento 2x",0,IF(C40="Esp. + Pel.",0,IF(C40="Pel. + Spun",'Custos insumos'!$D$19,IF(C40="Dublagem Cretone PES",'Custos insumos'!$F$25,IF(C40="Dublagem Barreira",'Custos insumos'!$D$22,)))))))))))</f>
        <v>2.3279999999999998</v>
      </c>
      <c r="O40" s="18"/>
      <c r="P40" s="53">
        <f t="shared" si="1"/>
        <v>0.12638797814207639</v>
      </c>
      <c r="Q40" s="50">
        <f t="shared" si="2"/>
        <v>1098</v>
      </c>
      <c r="R40" s="50" cm="1">
        <f t="array" ref="R40">_xlfn.IFS(C40="Calandra",(350),C40="Peletização",(421),C40="Dublagem Spun",(250),C40="Dublagem Cretone PES",(180),C40="Felpagem",(270/E40),C40="Emborrachamento",(200),C40="Espelhamento",(250),C40="Malha",(1),C40="Dublagem Cretone",(180),C40="Malha",(1),C40="Dublagem Spun - MO",250,C40="Dublagem Cretone - MO",180,C40="Dublagem Cretone PES - MO",180,C40="Espelhamento - MO",250,C40="Emborrachamento",100,C40="Malha",0,C40="Dublagem Barreira",100,C40="Pel. + Cal.",350,C40="Fel. + Pel. + Cal.",270,C40="Pel. + Spun",250,C40="Espelhamento - L: 1,45m",200,C40="Espelhamento - L: 1,65m",200,C40="Estampagem",100,C40="Fel. + Cal.",270,C40="Dublagem Juta",180,C40="Dublagem Cretone - MO (Juta)",180,C40="Dublagem Tapete",150,C40="Esp. + Pel.",200,C40="Espelhamento 2x",100)</f>
        <v>180</v>
      </c>
      <c r="S40" s="50">
        <f t="shared" si="3"/>
        <v>959.22600000000011</v>
      </c>
      <c r="T40" s="18" cm="1">
        <f t="array" ref="T40">_xlfn.IFS(C40="Calandra",0.4,C40="Felpagem",0.3,C40="Dublagem Spun",0.8,C40="Dublagem Cretone",0.8,C40="Dublagem Cretone PES",0.8,C40="Espelhamento",0.8,C40="Peletização",0.5,C40="Dublagem Spun - MO",0.8,C40="Dublagem Cretone - MO",0.8,C40="Dublagem Cretone PES - MO",0.8,C40="Espelhamento - MO",0.8,C40="Emborrachamento",1,C40="Malha",0,C40="Dublagem Barreira",1,C40="Pel. + Cal.",0.4,C40="Fel. + Pel. + Cal.",0.5,C40="Pel. + Spun",0.8,C40="Espelhamento - L: 1,45m",0.8,C40="Espelhamento - L: 1,65m",0.8,C40="Estampagem",1,C40="Fel. + Cal.",0.4,C40="Dublagem Juta",0.8,C40="Dublagem Cretone - MO (Juta)",0.8,C40="Dublagem Tapete",0.8,C40="Esp. + Pel.",0.8,C40="Espelhamento 2x",0.8)</f>
        <v>0.8</v>
      </c>
      <c r="U40" s="18">
        <v>1</v>
      </c>
      <c r="V40" s="18">
        <v>1</v>
      </c>
      <c r="W40" s="18"/>
      <c r="X40" s="18">
        <v>39.67</v>
      </c>
      <c r="Y40" s="18">
        <v>38.51</v>
      </c>
      <c r="Z40" s="18">
        <v>116.78</v>
      </c>
      <c r="AA40" s="18"/>
    </row>
    <row r="41" spans="1:27" ht="14.25" customHeight="1" x14ac:dyDescent="0.35">
      <c r="A41" s="18"/>
      <c r="B41" s="22" t="s">
        <v>92</v>
      </c>
      <c r="C41" s="23" t="s">
        <v>247</v>
      </c>
      <c r="D41" s="23" t="s">
        <v>413</v>
      </c>
      <c r="E41" s="24">
        <v>1</v>
      </c>
      <c r="F41" s="25">
        <v>4.9000000000000004</v>
      </c>
      <c r="G41" s="25">
        <f>F41</f>
        <v>4.9000000000000004</v>
      </c>
      <c r="H41" s="26" t="s">
        <v>243</v>
      </c>
      <c r="I41" s="27">
        <f t="shared" si="14"/>
        <v>4.9000000000000004</v>
      </c>
      <c r="J41" s="28">
        <v>45663</v>
      </c>
      <c r="K41" s="29" t="s">
        <v>248</v>
      </c>
      <c r="L41" s="30">
        <f t="shared" si="7"/>
        <v>0.61000000000000076</v>
      </c>
      <c r="M41" s="30">
        <f>IF(B41="Texion Textil",0,IF(C41="Malha",'Custos insumos'!$B$24,IF(C41="Dublagem Cretone",'Custos insumos'!$D$7,IF(C41="Dublagem Spun",'Custos insumos'!$D$4,IF(C41="Espelhamento",'Custos insumos'!$B$11,IF(C41="Espelhamento 2x",2*'Custos insumos'!$B$11,IF(C41="Esp. + Pel.",'Custos insumos'!$B$11,IF(C41="Pel. + Spun",'Custos insumos'!$D$4,IF(C41="Dublagem Cretone PES",'Custos insumos'!$D$7,IF(C41="Dublagem Barreira",'Custos insumos'!$D$11,IF(C41="Dublagem - MO + Filme",'Custos insumos'!$D$4,IF(C41="Dublagem Cretone HM50",'Custos insumos'!$D$26,IF(C41="Dublagem Cretone HM70",'Custos insumos'!$F$10,)))))))))))))</f>
        <v>1.962</v>
      </c>
      <c r="N41" s="30">
        <f>IF(B41="Texion Textil",0,IF(B41="Três Elos",0,IF(C41="Malha",0,IF(C41="Dublagem Cretone",'Custos insumos'!$D$23,IF(C41="Dublagem Spun",'Custos insumos'!$D$19,IF(C41="Espelhamento",0,IF(C41="Espelhamento 2x",0,IF(C41="Esp. + Pel.",0,IF(C41="Pel. + Spun",'Custos insumos'!$D$19,IF(C41="Dublagem Cretone PES",'Custos insumos'!$F$25,IF(C41="Dublagem Barreira",'Custos insumos'!$D$22,)))))))))))</f>
        <v>2.3279999999999998</v>
      </c>
      <c r="O41" s="18"/>
      <c r="P41" s="53">
        <f t="shared" si="1"/>
        <v>-8.7557823129251686E-2</v>
      </c>
      <c r="Q41" s="50">
        <f t="shared" si="2"/>
        <v>882.00000000000011</v>
      </c>
      <c r="R41" s="50" cm="1">
        <f t="array" ref="R41">_xlfn.IFS(C41="Calandra",(350),C41="Peletização",(421),C41="Dublagem Spun",(250),C41="Dublagem Cretone PES",(180),C41="Felpagem",(270/E41),C41="Emborrachamento",(200),C41="Espelhamento",(250),C41="Malha",(1),C41="Dublagem Cretone",(180),C41="Malha",(1),C41="Dublagem Spun - MO",250,C41="Dublagem Cretone - MO",180,C41="Dublagem Cretone PES - MO",180,C41="Espelhamento - MO",250,C41="Emborrachamento",100,C41="Malha",0,C41="Dublagem Barreira",100,C41="Pel. + Cal.",350,C41="Fel. + Pel. + Cal.",270,C41="Pel. + Spun",250,C41="Espelhamento - L: 1,45m",200,C41="Espelhamento - L: 1,65m",200,C41="Estampagem",100,C41="Fel. + Cal.",270,C41="Dublagem Juta",180,C41="Dublagem Cretone - MO (Juta)",180,C41="Dublagem Tapete",150,C41="Esp. + Pel.",200,C41="Espelhamento 2x",100)</f>
        <v>180</v>
      </c>
      <c r="S41" s="50">
        <f t="shared" si="3"/>
        <v>959.22600000000011</v>
      </c>
      <c r="T41" s="18" cm="1">
        <f t="array" ref="T41">_xlfn.IFS(C41="Calandra",0.4,C41="Felpagem",0.3,C41="Dublagem Spun",0.8,C41="Dublagem Cretone",0.8,C41="Dublagem Cretone PES",0.8,C41="Espelhamento",0.8,C41="Peletização",0.5,C41="Dublagem Spun - MO",0.8,C41="Dublagem Cretone - MO",0.8,C41="Dublagem Cretone PES - MO",0.8,C41="Espelhamento - MO",0.8,C41="Emborrachamento",1,C41="Malha",0,C41="Dublagem Barreira",1,C41="Pel. + Cal.",0.4,C41="Fel. + Pel. + Cal.",0.5,C41="Pel. + Spun",0.8,C41="Espelhamento - L: 1,45m",0.8,C41="Espelhamento - L: 1,65m",0.8,C41="Estampagem",1,C41="Fel. + Cal.",0.4,C41="Dublagem Juta",0.8,C41="Dublagem Cretone - MO (Juta)",0.8,C41="Dublagem Tapete",0.8,C41="Esp. + Pel.",0.8,C41="Espelhamento 2x",0.8)</f>
        <v>0.8</v>
      </c>
      <c r="U41" s="18">
        <v>1</v>
      </c>
      <c r="V41" s="18">
        <v>1</v>
      </c>
      <c r="W41" s="18"/>
      <c r="X41" s="18">
        <v>39.67</v>
      </c>
      <c r="Y41" s="18">
        <v>38.51</v>
      </c>
      <c r="Z41" s="18">
        <v>116.78</v>
      </c>
      <c r="AA41" s="18"/>
    </row>
    <row r="42" spans="1:27" ht="14.25" customHeight="1" x14ac:dyDescent="0.35">
      <c r="A42" s="18"/>
      <c r="B42" s="22" t="s">
        <v>92</v>
      </c>
      <c r="C42" s="23" t="s">
        <v>98</v>
      </c>
      <c r="D42" s="23" t="s">
        <v>268</v>
      </c>
      <c r="E42" s="24">
        <v>1</v>
      </c>
      <c r="F42" s="25">
        <v>4.5999999999999996</v>
      </c>
      <c r="G42" s="25">
        <f>F42</f>
        <v>4.5999999999999996</v>
      </c>
      <c r="H42" s="26" t="s">
        <v>243</v>
      </c>
      <c r="I42" s="27">
        <f t="shared" si="14"/>
        <v>4.5999999999999996</v>
      </c>
      <c r="J42" s="28">
        <v>45663</v>
      </c>
      <c r="K42" s="29" t="s">
        <v>248</v>
      </c>
      <c r="L42" s="30">
        <f t="shared" si="7"/>
        <v>2.5857999999999999</v>
      </c>
      <c r="M42" s="30">
        <v>1.1232</v>
      </c>
      <c r="N42" s="30">
        <v>0.89100000000000001</v>
      </c>
      <c r="O42" s="18"/>
      <c r="P42" s="53" t="e">
        <f t="shared" si="1"/>
        <v>#N/A</v>
      </c>
      <c r="Q42" s="50" t="e">
        <f t="shared" si="2"/>
        <v>#N/A</v>
      </c>
      <c r="R42" s="50" t="e" cm="1">
        <f t="array" ref="R42">_xlfn.IFS(C42="Calandra",(350),C42="Peletização",(421),C42="Dublagem Spun",(250),C42="Dublagem Cretone PES",(180),C42="Felpagem",(270/E42),C42="Emborrachamento",(200),C42="Espelhamento",(250),C42="Malha",(1),C42="Dublagem Cretone",(180),C42="Malha",(1),C42="Dublagem Spun - MO",250,C42="Dublagem Cretone - MO",180,C42="Dublagem Cretone PES - MO",180,C42="Espelhamento - MO",250,C42="Emborrachamento",100,C42="Malha",0,C42="Dublagem Barreira",100,C42="Pel. + Cal.",350,C42="Fel. + Pel. + Cal.",270,C42="Pel. + Spun",250,C42="Espelhamento - L: 1,45m",200,C42="Espelhamento - L: 1,65m",200,C42="Estampagem",100,C42="Fel. + Cal.",270,C42="Dublagem Juta",180,C42="Dublagem Cretone - MO (Juta)",180,C42="Dublagem Tapete",150,C42="Esp. + Pel.",200,C42="Espelhamento 2x",100)</f>
        <v>#N/A</v>
      </c>
      <c r="S42" s="50" t="e">
        <f t="shared" si="3"/>
        <v>#N/A</v>
      </c>
      <c r="T42" s="18" t="e" cm="1">
        <f t="array" ref="T42">_xlfn.IFS(C42="Calandra",0.4,C42="Felpagem",0.3,C42="Dublagem Spun",0.8,C42="Dublagem Cretone",0.8,C42="Dublagem Cretone PES",0.8,C42="Espelhamento",0.8,C42="Peletização",0.5,C42="Dublagem Spun - MO",0.8,C42="Dublagem Cretone - MO",0.8,C42="Dublagem Cretone PES - MO",0.8,C42="Espelhamento - MO",0.8,C42="Emborrachamento",1,C42="Malha",0,C42="Dublagem Barreira",1,C42="Pel. + Cal.",0.4,C42="Fel. + Pel. + Cal.",0.5,C42="Pel. + Spun",0.8,C42="Espelhamento - L: 1,45m",0.8,C42="Espelhamento - L: 1,65m",0.8,C42="Estampagem",1,C42="Fel. + Cal.",0.4,C42="Dublagem Juta",0.8,C42="Dublagem Cretone - MO (Juta)",0.8,C42="Dublagem Tapete",0.8,C42="Esp. + Pel.",0.8,C42="Espelhamento 2x",0.8)</f>
        <v>#N/A</v>
      </c>
      <c r="U42" s="18">
        <v>1</v>
      </c>
      <c r="V42" s="18">
        <v>1</v>
      </c>
      <c r="W42" s="18"/>
      <c r="X42" s="18">
        <v>39.67</v>
      </c>
      <c r="Y42" s="18">
        <v>38.51</v>
      </c>
      <c r="Z42" s="18">
        <v>116.78</v>
      </c>
      <c r="AA42" s="18"/>
    </row>
    <row r="43" spans="1:27" ht="14.25" customHeight="1" x14ac:dyDescent="0.35">
      <c r="A43" s="18"/>
      <c r="B43" s="22" t="s">
        <v>92</v>
      </c>
      <c r="C43" s="23" t="s">
        <v>106</v>
      </c>
      <c r="D43" s="23" t="s">
        <v>107</v>
      </c>
      <c r="E43" s="24">
        <v>1</v>
      </c>
      <c r="F43" s="25">
        <v>2.75</v>
      </c>
      <c r="G43" s="25">
        <v>2.4500000000000002</v>
      </c>
      <c r="H43" s="26" t="s">
        <v>243</v>
      </c>
      <c r="I43" s="27">
        <f t="shared" si="14"/>
        <v>2.4500000000000002</v>
      </c>
      <c r="J43" s="28">
        <v>45663</v>
      </c>
      <c r="K43" s="29" t="s">
        <v>276</v>
      </c>
      <c r="L43" s="30">
        <f t="shared" si="7"/>
        <v>1.3914997101449276</v>
      </c>
      <c r="M43" s="30">
        <f>IF(B43="Texion Textil",0,IF(C43="Malha",'Custos insumos'!$B$24,IF(C43="Dublagem Cretone",'Custos insumos'!$D$7,IF(C43="Dublagem Spun",'Custos insumos'!$D$4,IF(C43="Espelhamento",'Custos insumos'!$B$11,IF(C43="Espelhamento 2x",2*'Custos insumos'!$B$11,IF(C43="Esp. + Pel.",'Custos insumos'!$B$11,IF(C43="Pel. + Spun",'Custos insumos'!$D$4,IF(C43="Dublagem Cretone PES",'Custos insumos'!$D$7,IF(C43="Dublagem Barreira",'Custos insumos'!$D$11,IF(C43="Dublagem - MO + Filme",'Custos insumos'!$D$4,IF(C43="Dublagem Cretone HM50",'Custos insumos'!$D$26,IF(C43="Dublagem Cretone HM70",'Custos insumos'!$F$10,)))))))))))))</f>
        <v>1.0585002898550726</v>
      </c>
      <c r="N43" s="30">
        <f>IF(B43="Texion Textil",0,IF(B43="Três Elos",0,IF(C43="Malha",0,IF(C43="Dublagem Cretone",'Custos insumos'!$D$23,IF(C43="Dublagem Spun",'Custos insumos'!$D$19,IF(C43="Espelhamento",0,IF(C43="Espelhamento 2x",0,IF(C43="Esp. + Pel.",0,IF(C43="Pel. + Spun",'Custos insumos'!$D$19,IF(C43="Dublagem Cretone PES",'Custos insumos'!$F$25,IF(C43="Dublagem Barreira",'Custos insumos'!$D$22,)))))))))))</f>
        <v>0</v>
      </c>
      <c r="O43" s="18"/>
      <c r="P43" s="53">
        <f t="shared" si="1"/>
        <v>0.26261049393670505</v>
      </c>
      <c r="Q43" s="50">
        <f t="shared" si="2"/>
        <v>612.5</v>
      </c>
      <c r="R43" s="50" cm="1">
        <f t="array" ref="R43">_xlfn.IFS(C43="Calandra",(350),C43="Peletização",(421),C43="Dublagem Spun",(250),C43="Dublagem Cretone PES",(180),C43="Felpagem",(270/E43),C43="Emborrachamento",(200),C43="Espelhamento",(250),C43="Malha",(1),C43="Dublagem Cretone",(180),C43="Malha",(1),C43="Dublagem Spun - MO",250,C43="Dublagem Cretone - MO",180,C43="Dublagem Cretone PES - MO",180,C43="Espelhamento - MO",250,C43="Emborrachamento",100,C43="Malha",0,C43="Dublagem Barreira",100,C43="Pel. + Cal.",350,C43="Fel. + Pel. + Cal.",270,C43="Pel. + Spun",250,C43="Espelhamento - L: 1,45m",200,C43="Espelhamento - L: 1,65m",200,C43="Estampagem",100,C43="Fel. + Cal.",270,C43="Dublagem Juta",180,C43="Dublagem Cretone - MO (Juta)",180,C43="Dublagem Tapete",150,C43="Esp. + Pel.",200,C43="Espelhamento 2x",100)</f>
        <v>250</v>
      </c>
      <c r="S43" s="50">
        <f t="shared" si="3"/>
        <v>451.65107246376817</v>
      </c>
      <c r="T43" s="18" cm="1">
        <f t="array" ref="T43">_xlfn.IFS(C43="Calandra",0.4,C43="Felpagem",0.3,C43="Dublagem Spun",0.8,C43="Dublagem Cretone",0.8,C43="Dublagem Cretone PES",0.8,C43="Espelhamento",0.8,C43="Peletização",0.5,C43="Dublagem Spun - MO",0.8,C43="Dublagem Cretone - MO",0.8,C43="Dublagem Cretone PES - MO",0.8,C43="Espelhamento - MO",0.8,C43="Emborrachamento",1,C43="Malha",0,C43="Dublagem Barreira",1,C43="Pel. + Cal.",0.4,C43="Fel. + Pel. + Cal.",0.5,C43="Pel. + Spun",0.8,C43="Espelhamento - L: 1,45m",0.8,C43="Espelhamento - L: 1,65m",0.8,C43="Estampagem",1,C43="Fel. + Cal.",0.4,C43="Dublagem Juta",0.8,C43="Dublagem Cretone - MO (Juta)",0.8,C43="Dublagem Tapete",0.8,C43="Esp. + Pel.",0.8,C43="Espelhamento 2x",0.8)</f>
        <v>0.8</v>
      </c>
      <c r="U43" s="18">
        <v>1</v>
      </c>
      <c r="V43" s="18">
        <v>1</v>
      </c>
      <c r="W43" s="18"/>
      <c r="X43" s="18">
        <v>39.67</v>
      </c>
      <c r="Y43" s="18">
        <v>38.51</v>
      </c>
      <c r="Z43" s="18">
        <v>116.78</v>
      </c>
      <c r="AA43" s="18"/>
    </row>
    <row r="44" spans="1:27" ht="14.25" customHeight="1" x14ac:dyDescent="0.35">
      <c r="A44" s="18"/>
      <c r="B44" s="22" t="s">
        <v>92</v>
      </c>
      <c r="C44" s="23" t="s">
        <v>254</v>
      </c>
      <c r="D44" s="23" t="s">
        <v>279</v>
      </c>
      <c r="E44" s="24">
        <v>4</v>
      </c>
      <c r="F44" s="25">
        <v>4.8</v>
      </c>
      <c r="G44" s="25">
        <f t="shared" ref="G44:G53" si="15">F44</f>
        <v>4.8</v>
      </c>
      <c r="H44" s="26" t="s">
        <v>243</v>
      </c>
      <c r="I44" s="27">
        <f t="shared" si="14"/>
        <v>1.2</v>
      </c>
      <c r="J44" s="28">
        <v>45663</v>
      </c>
      <c r="K44" s="29"/>
      <c r="L44" s="30">
        <f t="shared" si="7"/>
        <v>4.8</v>
      </c>
      <c r="M44" s="30">
        <f>IF(B44="Texion Textil",0,IF(C44="Malha",'Custos insumos'!$B$24,IF(C44="Dublagem Cretone",'Custos insumos'!$D$7,IF(C44="Dublagem Spun",'Custos insumos'!$D$4,IF(C44="Espelhamento",'Custos insumos'!$B$11,IF(C44="Espelhamento 2x",2*'Custos insumos'!$B$11,IF(C44="Esp. + Pel.",'Custos insumos'!$B$11,IF(C44="Pel. + Spun",'Custos insumos'!$D$4,IF(C44="Dublagem Cretone PES",'Custos insumos'!$D$7,IF(C44="Dublagem Barreira",'Custos insumos'!$D$11,IF(C44="Dublagem - MO + Filme",'Custos insumos'!$D$4,IF(C44="Dublagem Cretone HM50",'Custos insumos'!$D$26,IF(C44="Dublagem Cretone HM70",'Custos insumos'!$F$10,)))))))))))))</f>
        <v>0</v>
      </c>
      <c r="N44" s="30">
        <f>IF(B44="Texion Textil",0,IF(B44="Três Elos",0,IF(C44="Malha",0,IF(C44="Dublagem Cretone",'Custos insumos'!$D$23,IF(C44="Dublagem Spun",'Custos insumos'!$D$19,IF(C44="Espelhamento",0,IF(C44="Espelhamento 2x",0,IF(C44="Esp. + Pel.",0,IF(C44="Pel. + Spun",'Custos insumos'!$D$19,IF(C44="Dublagem Cretone PES",'Custos insumos'!$F$25,IF(C44="Dublagem Barreira",'Custos insumos'!$D$22,)))))))))))</f>
        <v>0</v>
      </c>
      <c r="O44" s="18"/>
      <c r="P44" s="53">
        <f t="shared" si="1"/>
        <v>0.48397839506172841</v>
      </c>
      <c r="Q44" s="50">
        <f t="shared" si="2"/>
        <v>324</v>
      </c>
      <c r="R44" s="50" cm="1">
        <f t="array" ref="R44">_xlfn.IFS(C44="Calandra",(350),C44="Peletização",(421),C44="Dublagem Spun",(250),C44="Dublagem Cretone PES",(180),C44="Felpagem",(270/E44),C44="Emborrachamento",(200),C44="Espelhamento",(250),C44="Malha",(1),C44="Dublagem Cretone",(180),C44="Malha",(1),C44="Dublagem Spun - MO",250,C44="Dublagem Cretone - MO",180,C44="Dublagem Cretone PES - MO",180,C44="Espelhamento - MO",250,C44="Emborrachamento",100,C44="Malha",0,C44="Dublagem Barreira",100,C44="Pel. + Cal.",350,C44="Fel. + Pel. + Cal.",270,C44="Pel. + Spun",250,C44="Espelhamento - L: 1,45m",200,C44="Espelhamento - L: 1,65m",200,C44="Estampagem",100,C44="Fel. + Cal.",270,C44="Dublagem Juta",180,C44="Dublagem Cretone - MO (Juta)",180,C44="Dublagem Tapete",150,C44="Esp. + Pel.",200,C44="Espelhamento 2x",100)</f>
        <v>67.5</v>
      </c>
      <c r="S44" s="50">
        <f t="shared" si="3"/>
        <v>167.191</v>
      </c>
      <c r="T44" s="18" cm="1">
        <f t="array" ref="T44">_xlfn.IFS(C44="Calandra",0.4,C44="Felpagem",0.3,C44="Dublagem Spun",0.8,C44="Dublagem Cretone",0.8,C44="Dublagem Cretone PES",0.8,C44="Espelhamento",0.8,C44="Peletização",0.5,C44="Dublagem Spun - MO",0.8,C44="Dublagem Cretone - MO",0.8,C44="Dublagem Cretone PES - MO",0.8,C44="Espelhamento - MO",0.8,C44="Emborrachamento",1,C44="Malha",0,C44="Dublagem Barreira",1,C44="Pel. + Cal.",0.4,C44="Fel. + Pel. + Cal.",0.5,C44="Pel. + Spun",0.8,C44="Espelhamento - L: 1,45m",0.8,C44="Espelhamento - L: 1,65m",0.8,C44="Estampagem",1,C44="Fel. + Cal.",0.4,C44="Dublagem Juta",0.8,C44="Dublagem Cretone - MO (Juta)",0.8,C44="Dublagem Tapete",0.8,C44="Esp. + Pel.",0.8,C44="Espelhamento 2x",0.8)</f>
        <v>0.3</v>
      </c>
      <c r="U44" s="18">
        <v>1</v>
      </c>
      <c r="V44" s="18">
        <v>1</v>
      </c>
      <c r="W44" s="18"/>
      <c r="X44" s="18">
        <v>39.67</v>
      </c>
      <c r="Y44" s="18">
        <v>38.51</v>
      </c>
      <c r="Z44" s="18">
        <v>116.78</v>
      </c>
      <c r="AA44" s="18"/>
    </row>
    <row r="45" spans="1:27" ht="14.25" customHeight="1" x14ac:dyDescent="0.35">
      <c r="A45" s="18"/>
      <c r="B45" s="22" t="s">
        <v>92</v>
      </c>
      <c r="C45" s="23" t="s">
        <v>254</v>
      </c>
      <c r="D45" s="23" t="s">
        <v>280</v>
      </c>
      <c r="E45" s="24">
        <v>2</v>
      </c>
      <c r="F45" s="25">
        <v>2.6</v>
      </c>
      <c r="G45" s="25">
        <f t="shared" si="15"/>
        <v>2.6</v>
      </c>
      <c r="H45" s="26" t="s">
        <v>243</v>
      </c>
      <c r="I45" s="27">
        <f t="shared" si="14"/>
        <v>1.3</v>
      </c>
      <c r="J45" s="28">
        <v>45663</v>
      </c>
      <c r="K45" s="29"/>
      <c r="L45" s="30">
        <f t="shared" si="7"/>
        <v>2.6</v>
      </c>
      <c r="M45" s="30">
        <f>IF(B45="Texion Textil",0,IF(C45="Malha",'Custos insumos'!$B$24,IF(C45="Dublagem Cretone",'Custos insumos'!$D$7,IF(C45="Dublagem Spun",'Custos insumos'!$D$4,IF(C45="Espelhamento",'Custos insumos'!$B$11,IF(C45="Espelhamento 2x",2*'Custos insumos'!$B$11,IF(C45="Esp. + Pel.",'Custos insumos'!$B$11,IF(C45="Pel. + Spun",'Custos insumos'!$D$4,IF(C45="Dublagem Cretone PES",'Custos insumos'!$D$7,IF(C45="Dublagem Barreira",'Custos insumos'!$D$11,IF(C45="Dublagem - MO + Filme",'Custos insumos'!$D$4,IF(C45="Dublagem Cretone HM50",'Custos insumos'!$D$26,IF(C45="Dublagem Cretone HM70",'Custos insumos'!$F$10,)))))))))))))</f>
        <v>0</v>
      </c>
      <c r="N45" s="30">
        <f>IF(B45="Texion Textil",0,IF(B45="Três Elos",0,IF(C45="Malha",0,IF(C45="Dublagem Cretone",'Custos insumos'!$D$23,IF(C45="Dublagem Spun",'Custos insumos'!$D$19,IF(C45="Espelhamento",0,IF(C45="Espelhamento 2x",0,IF(C45="Esp. + Pel.",0,IF(C45="Pel. + Spun",'Custos insumos'!$D$19,IF(C45="Dublagem Cretone PES",'Custos insumos'!$F$25,IF(C45="Dublagem Barreira",'Custos insumos'!$D$22,)))))))))))</f>
        <v>0</v>
      </c>
      <c r="O45" s="18"/>
      <c r="P45" s="53">
        <f t="shared" si="1"/>
        <v>0.52367236467236467</v>
      </c>
      <c r="Q45" s="50">
        <f t="shared" si="2"/>
        <v>351</v>
      </c>
      <c r="R45" s="50" cm="1">
        <f t="array" ref="R45">_xlfn.IFS(C45="Calandra",(350),C45="Peletização",(421),C45="Dublagem Spun",(250),C45="Dublagem Cretone PES",(180),C45="Felpagem",(270/E45),C45="Emborrachamento",(200),C45="Espelhamento",(250),C45="Malha",(1),C45="Dublagem Cretone",(180),C45="Malha",(1),C45="Dublagem Spun - MO",250,C45="Dublagem Cretone - MO",180,C45="Dublagem Cretone PES - MO",180,C45="Espelhamento - MO",250,C45="Emborrachamento",100,C45="Malha",0,C45="Dublagem Barreira",100,C45="Pel. + Cal.",350,C45="Fel. + Pel. + Cal.",270,C45="Pel. + Spun",250,C45="Espelhamento - L: 1,45m",200,C45="Espelhamento - L: 1,65m",200,C45="Estampagem",100,C45="Fel. + Cal.",270,C45="Dublagem Juta",180,C45="Dublagem Cretone - MO (Juta)",180,C45="Dublagem Tapete",150,C45="Esp. + Pel.",200,C45="Espelhamento 2x",100)</f>
        <v>135</v>
      </c>
      <c r="S45" s="50">
        <f t="shared" si="3"/>
        <v>167.191</v>
      </c>
      <c r="T45" s="18" cm="1">
        <f t="array" ref="T45">_xlfn.IFS(C45="Calandra",0.4,C45="Felpagem",0.3,C45="Dublagem Spun",0.8,C45="Dublagem Cretone",0.8,C45="Dublagem Cretone PES",0.8,C45="Espelhamento",0.8,C45="Peletização",0.5,C45="Dublagem Spun - MO",0.8,C45="Dublagem Cretone - MO",0.8,C45="Dublagem Cretone PES - MO",0.8,C45="Espelhamento - MO",0.8,C45="Emborrachamento",1,C45="Malha",0,C45="Dublagem Barreira",1,C45="Pel. + Cal.",0.4,C45="Fel. + Pel. + Cal.",0.5,C45="Pel. + Spun",0.8,C45="Espelhamento - L: 1,45m",0.8,C45="Espelhamento - L: 1,65m",0.8,C45="Estampagem",1,C45="Fel. + Cal.",0.4,C45="Dublagem Juta",0.8,C45="Dublagem Cretone - MO (Juta)",0.8,C45="Dublagem Tapete",0.8,C45="Esp. + Pel.",0.8,C45="Espelhamento 2x",0.8)</f>
        <v>0.3</v>
      </c>
      <c r="U45" s="18">
        <v>1</v>
      </c>
      <c r="V45" s="18">
        <v>1</v>
      </c>
      <c r="W45" s="18"/>
      <c r="X45" s="18">
        <v>39.67</v>
      </c>
      <c r="Y45" s="18">
        <v>38.51</v>
      </c>
      <c r="Z45" s="18">
        <v>116.78</v>
      </c>
      <c r="AA45" s="18"/>
    </row>
    <row r="46" spans="1:27" ht="14.25" customHeight="1" x14ac:dyDescent="0.35">
      <c r="A46" s="18"/>
      <c r="B46" s="22" t="s">
        <v>92</v>
      </c>
      <c r="C46" s="23" t="s">
        <v>254</v>
      </c>
      <c r="D46" s="23" t="s">
        <v>281</v>
      </c>
      <c r="E46" s="24">
        <v>2</v>
      </c>
      <c r="F46" s="25">
        <v>1.7</v>
      </c>
      <c r="G46" s="25">
        <f t="shared" si="15"/>
        <v>1.7</v>
      </c>
      <c r="H46" s="26" t="s">
        <v>243</v>
      </c>
      <c r="I46" s="27">
        <f t="shared" si="14"/>
        <v>0.85</v>
      </c>
      <c r="J46" s="28">
        <v>45663</v>
      </c>
      <c r="K46" s="29"/>
      <c r="L46" s="30">
        <f t="shared" si="7"/>
        <v>1.7</v>
      </c>
      <c r="M46" s="30">
        <f>IF(B46="Texion Textil",0,IF(C46="Malha",'Custos insumos'!$B$24,IF(C46="Dublagem Cretone",'Custos insumos'!$D$7,IF(C46="Dublagem Spun",'Custos insumos'!$D$4,IF(C46="Espelhamento",'Custos insumos'!$B$11,IF(C46="Espelhamento 2x",2*'Custos insumos'!$B$11,IF(C46="Esp. + Pel.",'Custos insumos'!$B$11,IF(C46="Pel. + Spun",'Custos insumos'!$D$4,IF(C46="Dublagem Cretone PES",'Custos insumos'!$D$7,IF(C46="Dublagem Barreira",'Custos insumos'!$D$11,IF(C46="Dublagem - MO + Filme",'Custos insumos'!$D$4,IF(C46="Dublagem Cretone HM50",'Custos insumos'!$D$26,IF(C46="Dublagem Cretone HM70",'Custos insumos'!$F$10,)))))))))))))</f>
        <v>0</v>
      </c>
      <c r="N46" s="30">
        <f>IF(B46="Texion Textil",0,IF(B46="Três Elos",0,IF(C46="Malha",0,IF(C46="Dublagem Cretone",'Custos insumos'!$D$23,IF(C46="Dublagem Spun",'Custos insumos'!$D$19,IF(C46="Espelhamento",0,IF(C46="Espelhamento 2x",0,IF(C46="Esp. + Pel.",0,IF(C46="Pel. + Spun",'Custos insumos'!$D$19,IF(C46="Dublagem Cretone PES",'Custos insumos'!$F$25,IF(C46="Dublagem Barreira",'Custos insumos'!$D$22,)))))))))))</f>
        <v>0</v>
      </c>
      <c r="O46" s="18"/>
      <c r="P46" s="53">
        <f t="shared" si="1"/>
        <v>0.27149891067538123</v>
      </c>
      <c r="Q46" s="50">
        <f t="shared" si="2"/>
        <v>229.5</v>
      </c>
      <c r="R46" s="50" cm="1">
        <f t="array" ref="R46">_xlfn.IFS(C46="Calandra",(350),C46="Peletização",(421),C46="Dublagem Spun",(250),C46="Dublagem Cretone PES",(180),C46="Felpagem",(270/E46),C46="Emborrachamento",(200),C46="Espelhamento",(250),C46="Malha",(1),C46="Dublagem Cretone",(180),C46="Malha",(1),C46="Dublagem Spun - MO",250,C46="Dublagem Cretone - MO",180,C46="Dublagem Cretone PES - MO",180,C46="Espelhamento - MO",250,C46="Emborrachamento",100,C46="Malha",0,C46="Dublagem Barreira",100,C46="Pel. + Cal.",350,C46="Fel. + Pel. + Cal.",270,C46="Pel. + Spun",250,C46="Espelhamento - L: 1,45m",200,C46="Espelhamento - L: 1,65m",200,C46="Estampagem",100,C46="Fel. + Cal.",270,C46="Dublagem Juta",180,C46="Dublagem Cretone - MO (Juta)",180,C46="Dublagem Tapete",150,C46="Esp. + Pel.",200,C46="Espelhamento 2x",100)</f>
        <v>135</v>
      </c>
      <c r="S46" s="50">
        <f t="shared" si="3"/>
        <v>167.191</v>
      </c>
      <c r="T46" s="18" cm="1">
        <f t="array" ref="T46">_xlfn.IFS(C46="Calandra",0.4,C46="Felpagem",0.3,C46="Dublagem Spun",0.8,C46="Dublagem Cretone",0.8,C46="Dublagem Cretone PES",0.8,C46="Espelhamento",0.8,C46="Peletização",0.5,C46="Dublagem Spun - MO",0.8,C46="Dublagem Cretone - MO",0.8,C46="Dublagem Cretone PES - MO",0.8,C46="Espelhamento - MO",0.8,C46="Emborrachamento",1,C46="Malha",0,C46="Dublagem Barreira",1,C46="Pel. + Cal.",0.4,C46="Fel. + Pel. + Cal.",0.5,C46="Pel. + Spun",0.8,C46="Espelhamento - L: 1,45m",0.8,C46="Espelhamento - L: 1,65m",0.8,C46="Estampagem",1,C46="Fel. + Cal.",0.4,C46="Dublagem Juta",0.8,C46="Dublagem Cretone - MO (Juta)",0.8,C46="Dublagem Tapete",0.8,C46="Esp. + Pel.",0.8,C46="Espelhamento 2x",0.8)</f>
        <v>0.3</v>
      </c>
      <c r="U46" s="18">
        <v>1</v>
      </c>
      <c r="V46" s="18">
        <v>1</v>
      </c>
      <c r="W46" s="18"/>
      <c r="X46" s="18">
        <v>39.67</v>
      </c>
      <c r="Y46" s="18">
        <v>38.51</v>
      </c>
      <c r="Z46" s="18">
        <v>116.78</v>
      </c>
      <c r="AA46" s="18"/>
    </row>
    <row r="47" spans="1:27" ht="14.25" customHeight="1" x14ac:dyDescent="0.35">
      <c r="A47" s="18"/>
      <c r="B47" s="22" t="s">
        <v>92</v>
      </c>
      <c r="C47" s="23" t="s">
        <v>144</v>
      </c>
      <c r="D47" s="23" t="s">
        <v>103</v>
      </c>
      <c r="E47" s="24">
        <v>1</v>
      </c>
      <c r="F47" s="25">
        <v>0.7</v>
      </c>
      <c r="G47" s="25">
        <f t="shared" si="15"/>
        <v>0.7</v>
      </c>
      <c r="H47" s="26" t="s">
        <v>243</v>
      </c>
      <c r="I47" s="27">
        <f t="shared" si="14"/>
        <v>0.7</v>
      </c>
      <c r="J47" s="28">
        <v>45663</v>
      </c>
      <c r="K47" s="29" t="s">
        <v>283</v>
      </c>
      <c r="L47" s="30">
        <f t="shared" si="7"/>
        <v>0.7</v>
      </c>
      <c r="M47" s="30">
        <f>IF(B47="Texion Textil",0,IF(C47="Malha",'Custos insumos'!$B$24,IF(C47="Dublagem Cretone",'Custos insumos'!$D$7,IF(C47="Dublagem Spun",'Custos insumos'!$D$4,IF(C47="Espelhamento",'Custos insumos'!$B$11,IF(C47="Espelhamento 2x",2*'Custos insumos'!$B$11,IF(C47="Esp. + Pel.",'Custos insumos'!$B$11,IF(C47="Pel. + Spun",'Custos insumos'!$D$4,IF(C47="Dublagem Cretone PES",'Custos insumos'!$D$7,IF(C47="Dublagem Barreira",'Custos insumos'!$D$11,IF(C47="Dublagem - MO + Filme",'Custos insumos'!$D$4,IF(C47="Dublagem Cretone HM50",'Custos insumos'!$D$26,IF(C47="Dublagem Cretone HM70",'Custos insumos'!$F$10,)))))))))))))</f>
        <v>0</v>
      </c>
      <c r="N47" s="30">
        <f>IF(B47="Texion Textil",0,IF(B47="Três Elos",0,IF(C47="Malha",0,IF(C47="Dublagem Cretone",'Custos insumos'!$D$23,IF(C47="Dublagem Spun",'Custos insumos'!$D$19,IF(C47="Espelhamento",0,IF(C47="Espelhamento 2x",0,IF(C47="Esp. + Pel.",0,IF(C47="Pel. + Spun",'Custos insumos'!$D$19,IF(C47="Dublagem Cretone PES",'Custos insumos'!$F$25,IF(C47="Dublagem Barreira",'Custos insumos'!$D$22,)))))))))))</f>
        <v>0</v>
      </c>
      <c r="O47" s="18"/>
      <c r="P47" s="53">
        <f t="shared" si="1"/>
        <v>0.40575161180861891</v>
      </c>
      <c r="Q47" s="50">
        <f t="shared" si="2"/>
        <v>294.7</v>
      </c>
      <c r="R47" s="50" cm="1">
        <f t="array" ref="R47">_xlfn.IFS(C47="Calandra",(350),C47="Peletização",(421),C47="Dublagem Spun",(250),C47="Dublagem Cretone PES",(180),C47="Felpagem",(270/E47),C47="Emborrachamento",(200),C47="Espelhamento",(250),C47="Malha",(1),C47="Dublagem Cretone",(180),C47="Malha",(1),C47="Dublagem Spun - MO",250,C47="Dublagem Cretone - MO",180,C47="Dublagem Cretone PES - MO",180,C47="Espelhamento - MO",250,C47="Emborrachamento",100,C47="Malha",0,C47="Dublagem Barreira",100,C47="Pel. + Cal.",350,C47="Fel. + Pel. + Cal.",270,C47="Pel. + Spun",250,C47="Espelhamento - L: 1,45m",200,C47="Espelhamento - L: 1,65m",200,C47="Estampagem",100,C47="Fel. + Cal.",270,C47="Dublagem Juta",180,C47="Dublagem Cretone - MO (Juta)",180,C47="Dublagem Tapete",150,C47="Esp. + Pel.",200,C47="Espelhamento 2x",100)</f>
        <v>421</v>
      </c>
      <c r="S47" s="50">
        <f t="shared" si="3"/>
        <v>175.125</v>
      </c>
      <c r="T47" s="18" cm="1">
        <f t="array" ref="T47">_xlfn.IFS(C47="Calandra",0.4,C47="Felpagem",0.3,C47="Dublagem Spun",0.8,C47="Dublagem Cretone",0.8,C47="Dublagem Cretone PES",0.8,C47="Espelhamento",0.8,C47="Peletização",0.5,C47="Dublagem Spun - MO",0.8,C47="Dublagem Cretone - MO",0.8,C47="Dublagem Cretone PES - MO",0.8,C47="Espelhamento - MO",0.8,C47="Emborrachamento",1,C47="Malha",0,C47="Dublagem Barreira",1,C47="Pel. + Cal.",0.4,C47="Fel. + Pel. + Cal.",0.5,C47="Pel. + Spun",0.8,C47="Espelhamento - L: 1,45m",0.8,C47="Espelhamento - L: 1,65m",0.8,C47="Estampagem",1,C47="Fel. + Cal.",0.4,C47="Dublagem Juta",0.8,C47="Dublagem Cretone - MO (Juta)",0.8,C47="Dublagem Tapete",0.8,C47="Esp. + Pel.",0.8,C47="Espelhamento 2x",0.8)</f>
        <v>0.5</v>
      </c>
      <c r="U47" s="18">
        <v>1</v>
      </c>
      <c r="V47" s="18">
        <v>1</v>
      </c>
      <c r="W47" s="18"/>
      <c r="X47" s="18">
        <v>39.67</v>
      </c>
      <c r="Y47" s="18">
        <v>38.51</v>
      </c>
      <c r="Z47" s="18">
        <v>116.78</v>
      </c>
      <c r="AA47" s="18"/>
    </row>
    <row r="48" spans="1:27" ht="14.25" customHeight="1" x14ac:dyDescent="0.35">
      <c r="A48" s="18"/>
      <c r="B48" s="22" t="s">
        <v>92</v>
      </c>
      <c r="C48" s="23" t="s">
        <v>292</v>
      </c>
      <c r="D48" s="23"/>
      <c r="E48" s="24">
        <v>1</v>
      </c>
      <c r="F48" s="25">
        <v>1.4</v>
      </c>
      <c r="G48" s="25">
        <f t="shared" si="15"/>
        <v>1.4</v>
      </c>
      <c r="H48" s="26" t="s">
        <v>243</v>
      </c>
      <c r="I48" s="27">
        <f t="shared" si="14"/>
        <v>1.4</v>
      </c>
      <c r="J48" s="28">
        <v>45663</v>
      </c>
      <c r="K48" s="29" t="s">
        <v>285</v>
      </c>
      <c r="L48" s="30">
        <f t="shared" si="7"/>
        <v>1.4</v>
      </c>
      <c r="M48" s="30">
        <f>IF(B48="Texion Textil",0,IF(C48="Malha",'Custos insumos'!$B$24,IF(C48="Dublagem Cretone",'Custos insumos'!$D$7,IF(C48="Dublagem Spun",'Custos insumos'!$D$4,IF(C48="Espelhamento",'Custos insumos'!$B$11,IF(C48="Espelhamento 2x",2*'Custos insumos'!$B$11,IF(C48="Esp. + Pel.",'Custos insumos'!$B$11,IF(C48="Pel. + Spun",'Custos insumos'!$D$4,IF(C48="Dublagem Cretone PES",'Custos insumos'!$D$7,IF(C48="Dublagem Barreira",'Custos insumos'!$D$11,IF(C48="Dublagem - MO + Filme",'Custos insumos'!$D$4,IF(C48="Dublagem Cretone HM50",'Custos insumos'!$D$26,IF(C48="Dublagem Cretone HM70",'Custos insumos'!$F$10,)))))))))))))</f>
        <v>0</v>
      </c>
      <c r="N48" s="30">
        <f>IF(B48="Texion Textil",0,IF(B48="Três Elos",0,IF(C48="Malha",0,IF(C48="Dublagem Cretone",'Custos insumos'!$D$23,IF(C48="Dublagem Spun",'Custos insumos'!$D$19,IF(C48="Espelhamento",0,IF(C48="Espelhamento 2x",0,IF(C48="Esp. + Pel.",0,IF(C48="Pel. + Spun",'Custos insumos'!$D$19,IF(C48="Dublagem Cretone PES",'Custos insumos'!$F$25,IF(C48="Dublagem Barreira",'Custos insumos'!$D$22,)))))))))))</f>
        <v>0</v>
      </c>
      <c r="O48" s="18"/>
      <c r="P48" s="53">
        <f t="shared" si="1"/>
        <v>0.65069795918367335</v>
      </c>
      <c r="Q48" s="50">
        <f t="shared" si="2"/>
        <v>489.99999999999994</v>
      </c>
      <c r="R48" s="50" cm="1">
        <f t="array" ref="R48">_xlfn.IFS(C48="Calandra",(350),C48="Peletização",(421),C48="Dublagem Spun",(250),C48="Dublagem Cretone PES",(180),C48="Felpagem",(270/E48),C48="Emborrachamento",(200),C48="Espelhamento",(250),C48="Malha",(1),C48="Dublagem Cretone",(180),C48="Malha",(1),C48="Dublagem Spun - MO",250,C48="Dublagem Cretone - MO",180,C48="Dublagem Cretone PES - MO",180,C48="Espelhamento - MO",250,C48="Emborrachamento",100,C48="Malha",0,C48="Dublagem Barreira",100,C48="Pel. + Cal.",350,C48="Fel. + Pel. + Cal.",270,C48="Pel. + Spun",250,C48="Espelhamento - L: 1,45m",200,C48="Espelhamento - L: 1,65m",200,C48="Estampagem",100,C48="Fel. + Cal.",270,C48="Dublagem Juta",180,C48="Dublagem Cretone - MO (Juta)",180,C48="Dublagem Tapete",150,C48="Esp. + Pel.",200,C48="Espelhamento 2x",100)</f>
        <v>350</v>
      </c>
      <c r="S48" s="50">
        <f t="shared" si="3"/>
        <v>171.15800000000002</v>
      </c>
      <c r="T48" s="18" cm="1">
        <f t="array" ref="T48">_xlfn.IFS(C48="Calandra",0.4,C48="Felpagem",0.3,C48="Dublagem Spun",0.8,C48="Dublagem Cretone",0.8,C48="Dublagem Cretone PES",0.8,C48="Espelhamento",0.8,C48="Peletização",0.5,C48="Dublagem Spun - MO",0.8,C48="Dublagem Cretone - MO",0.8,C48="Dublagem Cretone PES - MO",0.8,C48="Espelhamento - MO",0.8,C48="Emborrachamento",1,C48="Malha",0,C48="Dublagem Barreira",1,C48="Pel. + Cal.",0.4,C48="Fel. + Pel. + Cal.",0.5,C48="Pel. + Spun",0.8,C48="Espelhamento - L: 1,45m",0.8,C48="Espelhamento - L: 1,65m",0.8,C48="Estampagem",1,C48="Fel. + Cal.",0.4,C48="Dublagem Juta",0.8,C48="Dublagem Cretone - MO (Juta)",0.8,C48="Dublagem Tapete",0.8,C48="Esp. + Pel.",0.8,C48="Espelhamento 2x",0.8)</f>
        <v>0.4</v>
      </c>
      <c r="U48" s="18">
        <v>1</v>
      </c>
      <c r="V48" s="18">
        <v>1</v>
      </c>
      <c r="W48" s="18"/>
      <c r="X48" s="18">
        <v>39.67</v>
      </c>
      <c r="Y48" s="18">
        <v>38.51</v>
      </c>
      <c r="Z48" s="18">
        <v>116.78</v>
      </c>
      <c r="AA48" s="18"/>
    </row>
    <row r="49" spans="1:27" ht="14.25" customHeight="1" x14ac:dyDescent="0.35">
      <c r="A49" s="18"/>
      <c r="B49" s="22" t="s">
        <v>92</v>
      </c>
      <c r="C49" s="23" t="s">
        <v>142</v>
      </c>
      <c r="D49" s="23" t="s">
        <v>114</v>
      </c>
      <c r="E49" s="24">
        <v>1</v>
      </c>
      <c r="F49" s="25">
        <v>0.7</v>
      </c>
      <c r="G49" s="25">
        <f t="shared" si="15"/>
        <v>0.7</v>
      </c>
      <c r="H49" s="26" t="s">
        <v>243</v>
      </c>
      <c r="I49" s="27">
        <f t="shared" si="14"/>
        <v>0.7</v>
      </c>
      <c r="J49" s="28">
        <v>45663</v>
      </c>
      <c r="K49" s="29" t="s">
        <v>285</v>
      </c>
      <c r="L49" s="30">
        <f t="shared" si="7"/>
        <v>0.7</v>
      </c>
      <c r="M49" s="30">
        <f>IF(B49="Texion Textil",0,IF(C49="Malha",'Custos insumos'!$B$24,IF(C49="Dublagem Cretone",'Custos insumos'!$D$7,IF(C49="Dublagem Spun",'Custos insumos'!$D$4,IF(C49="Espelhamento",'Custos insumos'!$B$11,IF(C49="Espelhamento 2x",2*'Custos insumos'!$B$11,IF(C49="Esp. + Pel.",'Custos insumos'!$B$11,IF(C49="Pel. + Spun",'Custos insumos'!$D$4,IF(C49="Dublagem Cretone PES",'Custos insumos'!$D$7,IF(C49="Dublagem Barreira",'Custos insumos'!$D$11,IF(C49="Dublagem - MO + Filme",'Custos insumos'!$D$4,IF(C49="Dublagem Cretone HM50",'Custos insumos'!$D$26,IF(C49="Dublagem Cretone HM70",'Custos insumos'!$F$10,)))))))))))))</f>
        <v>0</v>
      </c>
      <c r="N49" s="30">
        <f>IF(B49="Texion Textil",0,IF(B49="Três Elos",0,IF(C49="Malha",0,IF(C49="Dublagem Cretone",'Custos insumos'!$D$23,IF(C49="Dublagem Spun",'Custos insumos'!$D$19,IF(C49="Espelhamento",0,IF(C49="Espelhamento 2x",0,IF(C49="Esp. + Pel.",0,IF(C49="Pel. + Spun",'Custos insumos'!$D$19,IF(C49="Dublagem Cretone PES",'Custos insumos'!$F$25,IF(C49="Dublagem Barreira",'Custos insumos'!$D$22,)))))))))))</f>
        <v>0</v>
      </c>
      <c r="O49" s="18"/>
      <c r="P49" s="53">
        <f t="shared" si="1"/>
        <v>0.3013959183673468</v>
      </c>
      <c r="Q49" s="50">
        <f t="shared" si="2"/>
        <v>244.99999999999997</v>
      </c>
      <c r="R49" s="50" cm="1">
        <f t="array" ref="R49">_xlfn.IFS(C49="Calandra",(350),C49="Peletização",(421),C49="Dublagem Spun",(250),C49="Dublagem Cretone PES",(180),C49="Felpagem",(270/E49),C49="Emborrachamento",(200),C49="Espelhamento",(250),C49="Malha",(1),C49="Dublagem Cretone",(180),C49="Malha",(1),C49="Dublagem Spun - MO",250,C49="Dublagem Cretone - MO",180,C49="Dublagem Cretone PES - MO",180,C49="Espelhamento - MO",250,C49="Emborrachamento",100,C49="Malha",0,C49="Dublagem Barreira",100,C49="Pel. + Cal.",350,C49="Fel. + Pel. + Cal.",270,C49="Pel. + Spun",250,C49="Espelhamento - L: 1,45m",200,C49="Espelhamento - L: 1,65m",200,C49="Estampagem",100,C49="Fel. + Cal.",270,C49="Dublagem Juta",180,C49="Dublagem Cretone - MO (Juta)",180,C49="Dublagem Tapete",150,C49="Esp. + Pel.",200,C49="Espelhamento 2x",100)</f>
        <v>350</v>
      </c>
      <c r="S49" s="50">
        <f t="shared" si="3"/>
        <v>171.15800000000002</v>
      </c>
      <c r="T49" s="18" cm="1">
        <f t="array" ref="T49">_xlfn.IFS(C49="Calandra",0.4,C49="Felpagem",0.3,C49="Dublagem Spun",0.8,C49="Dublagem Cretone",0.8,C49="Dublagem Cretone PES",0.8,C49="Espelhamento",0.8,C49="Peletização",0.5,C49="Dublagem Spun - MO",0.8,C49="Dublagem Cretone - MO",0.8,C49="Dublagem Cretone PES - MO",0.8,C49="Espelhamento - MO",0.8,C49="Emborrachamento",1,C49="Malha",0,C49="Dublagem Barreira",1,C49="Pel. + Cal.",0.4,C49="Fel. + Pel. + Cal.",0.5,C49="Pel. + Spun",0.8,C49="Espelhamento - L: 1,45m",0.8,C49="Espelhamento - L: 1,65m",0.8,C49="Estampagem",1,C49="Fel. + Cal.",0.4,C49="Dublagem Juta",0.8,C49="Dublagem Cretone - MO (Juta)",0.8,C49="Dublagem Tapete",0.8,C49="Esp. + Pel.",0.8,C49="Espelhamento 2x",0.8)</f>
        <v>0.4</v>
      </c>
      <c r="U49" s="18">
        <v>1</v>
      </c>
      <c r="V49" s="18">
        <v>1</v>
      </c>
      <c r="W49" s="18"/>
      <c r="X49" s="18">
        <v>39.67</v>
      </c>
      <c r="Y49" s="18">
        <v>38.51</v>
      </c>
      <c r="Z49" s="18">
        <v>116.78</v>
      </c>
      <c r="AA49" s="18"/>
    </row>
    <row r="50" spans="1:27" ht="14.25" customHeight="1" x14ac:dyDescent="0.35">
      <c r="A50" s="18"/>
      <c r="B50" s="22" t="s">
        <v>120</v>
      </c>
      <c r="C50" s="23" t="s">
        <v>249</v>
      </c>
      <c r="D50" s="23"/>
      <c r="E50" s="24">
        <v>1</v>
      </c>
      <c r="F50" s="25">
        <v>8.6</v>
      </c>
      <c r="G50" s="25">
        <f t="shared" si="15"/>
        <v>8.6</v>
      </c>
      <c r="H50" s="26" t="s">
        <v>243</v>
      </c>
      <c r="I50" s="27">
        <f t="shared" si="14"/>
        <v>8.6</v>
      </c>
      <c r="J50" s="28">
        <v>45663</v>
      </c>
      <c r="K50" s="29"/>
      <c r="L50" s="30">
        <f t="shared" si="7"/>
        <v>6.5857999999999999</v>
      </c>
      <c r="M50" s="30">
        <f>IF(B50="Texion Textil",0,IF(C50="Malha",'Custos insumos'!$B$24,IF(C50="Dublagem Cretone",'Custos insumos'!$D$7,IF(C50="Dublagem Spun",'Custos insumos'!$D$4,IF(C50="Espelhamento",'Custos insumos'!$B$11,IF(C50="Espelhamento 2x",2*'Custos insumos'!$B$11,IF(C50="Esp. + Pel.",'Custos insumos'!$B$11,IF(C50="Pel. + Spun",'Custos insumos'!$D$4,IF(C50="Dublagem Cretone PES",'Custos insumos'!$D$7,IF(C50="Dublagem Barreira",'Custos insumos'!$D$11,IF(C50="Dublagem - MO + Filme",'Custos insumos'!$D$4,IF(C50="Dublagem Cretone HM50",'Custos insumos'!$D$26,IF(C50="Dublagem Cretone HM70",'Custos insumos'!$F$10,)))))))))))))</f>
        <v>1.1232</v>
      </c>
      <c r="N50" s="30">
        <f>IF(B50="Texion Textil",0,IF(B50="Três Elos",0,IF(C50="Malha",0,IF(C50="Dublagem Cretone",'Custos insumos'!$D$23,IF(C50="Dublagem Spun",'Custos insumos'!$D$19,IF(C50="Espelhamento",0,IF(C50="Espelhamento 2x",0,IF(C50="Esp. + Pel.",0,IF(C50="Pel. + Spun",'Custos insumos'!$D$19,IF(C50="Dublagem Cretone PES",'Custos insumos'!$F$25,IF(C50="Dublagem Barreira",'Custos insumos'!$D$22,)))))))))))</f>
        <v>0.89100000000000001</v>
      </c>
      <c r="O50" s="18"/>
      <c r="P50" s="53">
        <f t="shared" si="1"/>
        <v>0.67880186046511626</v>
      </c>
      <c r="Q50" s="50">
        <f t="shared" si="2"/>
        <v>2150</v>
      </c>
      <c r="R50" s="50" cm="1">
        <f t="array" ref="R50">_xlfn.IFS(C50="Calandra",(350),C50="Peletização",(421),C50="Dublagem Spun",(250),C50="Dublagem Cretone PES",(180),C50="Felpagem",(270/E50),C50="Emborrachamento",(200),C50="Espelhamento",(250),C50="Malha",(1),C50="Dublagem Cretone",(180),C50="Malha",(1),C50="Dublagem Spun - MO",250,C50="Dublagem Cretone - MO",180,C50="Dublagem Cretone PES - MO",180,C50="Espelhamento - MO",250,C50="Emborrachamento",100,C50="Malha",0,C50="Dublagem Barreira",100,C50="Pel. + Cal.",350,C50="Fel. + Pel. + Cal.",270,C50="Pel. + Spun",250,C50="Espelhamento - L: 1,45m",200,C50="Espelhamento - L: 1,65m",200,C50="Estampagem",100,C50="Fel. + Cal.",270,C50="Dublagem Juta",180,C50="Dublagem Cretone - MO (Juta)",180,C50="Dublagem Tapete",150,C50="Esp. + Pel.",200,C50="Espelhamento 2x",100)</f>
        <v>250</v>
      </c>
      <c r="S50" s="50">
        <f t="shared" si="3"/>
        <v>690.57600000000002</v>
      </c>
      <c r="T50" s="18" cm="1">
        <f t="array" ref="T50">_xlfn.IFS(C50="Calandra",0.4,C50="Felpagem",0.3,C50="Dublagem Spun",0.8,C50="Dublagem Cretone",0.8,C50="Dublagem Cretone PES",0.8,C50="Espelhamento",0.8,C50="Peletização",0.5,C50="Dublagem Spun - MO",0.8,C50="Dublagem Cretone - MO",0.8,C50="Dublagem Cretone PES - MO",0.8,C50="Espelhamento - MO",0.8,C50="Emborrachamento",1,C50="Malha",0,C50="Dublagem Barreira",1,C50="Pel. + Cal.",0.4,C50="Fel. + Pel. + Cal.",0.5,C50="Pel. + Spun",0.8,C50="Espelhamento - L: 1,45m",0.8,C50="Espelhamento - L: 1,65m",0.8,C50="Estampagem",1,C50="Fel. + Cal.",0.4,C50="Dublagem Juta",0.8,C50="Dublagem Cretone - MO (Juta)",0.8,C50="Dublagem Tapete",0.8,C50="Esp. + Pel.",0.8,C50="Espelhamento 2x",0.8)</f>
        <v>0.8</v>
      </c>
      <c r="U50" s="18">
        <v>1</v>
      </c>
      <c r="V50" s="18">
        <v>1</v>
      </c>
      <c r="W50" s="18"/>
      <c r="X50" s="18">
        <v>39.67</v>
      </c>
      <c r="Y50" s="18">
        <v>38.51</v>
      </c>
      <c r="Z50" s="18">
        <v>116.78</v>
      </c>
      <c r="AA50" s="18"/>
    </row>
    <row r="51" spans="1:27" ht="14.25" customHeight="1" x14ac:dyDescent="0.35">
      <c r="A51" s="18"/>
      <c r="B51" s="22" t="s">
        <v>121</v>
      </c>
      <c r="C51" s="23" t="s">
        <v>142</v>
      </c>
      <c r="D51" s="23"/>
      <c r="E51" s="24">
        <v>1</v>
      </c>
      <c r="F51" s="25">
        <v>0.75</v>
      </c>
      <c r="G51" s="25">
        <f t="shared" si="15"/>
        <v>0.75</v>
      </c>
      <c r="H51" s="26" t="s">
        <v>243</v>
      </c>
      <c r="I51" s="27">
        <f t="shared" si="14"/>
        <v>0.75</v>
      </c>
      <c r="J51" s="28">
        <v>45663</v>
      </c>
      <c r="K51" s="29"/>
      <c r="L51" s="30">
        <f t="shared" si="7"/>
        <v>0.75</v>
      </c>
      <c r="M51" s="30">
        <f>IF(B51="Texion Textil",0,IF(C51="Malha",'Custos insumos'!$B$24,IF(C51="Dublagem Cretone",'Custos insumos'!$D$7,IF(C51="Dublagem Spun",'Custos insumos'!$D$4,IF(C51="Espelhamento",'Custos insumos'!$B$11,IF(C51="Espelhamento 2x",2*'Custos insumos'!$B$11,IF(C51="Esp. + Pel.",'Custos insumos'!$B$11,IF(C51="Pel. + Spun",'Custos insumos'!$D$4,IF(C51="Dublagem Cretone PES",'Custos insumos'!$D$7,IF(C51="Dublagem Barreira",'Custos insumos'!$D$11,IF(C51="Dublagem - MO + Filme",'Custos insumos'!$D$4,IF(C51="Dublagem Cretone HM50",'Custos insumos'!$D$26,IF(C51="Dublagem Cretone HM70",'Custos insumos'!$F$10,)))))))))))))</f>
        <v>0</v>
      </c>
      <c r="N51" s="30">
        <f>IF(B51="Texion Textil",0,IF(B51="Três Elos",0,IF(C51="Malha",0,IF(C51="Dublagem Cretone",'Custos insumos'!$D$23,IF(C51="Dublagem Spun",'Custos insumos'!$D$19,IF(C51="Espelhamento",0,IF(C51="Espelhamento 2x",0,IF(C51="Esp. + Pel.",0,IF(C51="Pel. + Spun",'Custos insumos'!$D$19,IF(C51="Dublagem Cretone PES",'Custos insumos'!$F$25,IF(C51="Dublagem Barreira",'Custos insumos'!$D$22,)))))))))))</f>
        <v>0</v>
      </c>
      <c r="O51" s="18"/>
      <c r="P51" s="53">
        <f t="shared" si="1"/>
        <v>0.34796952380952373</v>
      </c>
      <c r="Q51" s="50">
        <f t="shared" si="2"/>
        <v>262.5</v>
      </c>
      <c r="R51" s="50" cm="1">
        <f t="array" ref="R51">_xlfn.IFS(C51="Calandra",(350),C51="Peletização",(421),C51="Dublagem Spun",(250),C51="Dublagem Cretone PES",(180),C51="Felpagem",(270/E51),C51="Emborrachamento",(200),C51="Espelhamento",(250),C51="Malha",(1),C51="Dublagem Cretone",(180),C51="Malha",(1),C51="Dublagem Spun - MO",250,C51="Dublagem Cretone - MO",180,C51="Dublagem Cretone PES - MO",180,C51="Espelhamento - MO",250,C51="Emborrachamento",100,C51="Malha",0,C51="Dublagem Barreira",100,C51="Pel. + Cal.",350,C51="Fel. + Pel. + Cal.",270,C51="Pel. + Spun",250,C51="Espelhamento - L: 1,45m",200,C51="Espelhamento - L: 1,65m",200,C51="Estampagem",100,C51="Fel. + Cal.",270,C51="Dublagem Juta",180,C51="Dublagem Cretone - MO (Juta)",180,C51="Dublagem Tapete",150,C51="Esp. + Pel.",200,C51="Espelhamento 2x",100)</f>
        <v>350</v>
      </c>
      <c r="S51" s="50">
        <f t="shared" si="3"/>
        <v>171.15800000000002</v>
      </c>
      <c r="T51" s="18" cm="1">
        <f t="array" ref="T51">_xlfn.IFS(C51="Calandra",0.4,C51="Felpagem",0.3,C51="Dublagem Spun",0.8,C51="Dublagem Cretone",0.8,C51="Dublagem Cretone PES",0.8,C51="Espelhamento",0.8,C51="Peletização",0.5,C51="Dublagem Spun - MO",0.8,C51="Dublagem Cretone - MO",0.8,C51="Dublagem Cretone PES - MO",0.8,C51="Espelhamento - MO",0.8,C51="Emborrachamento",1,C51="Malha",0,C51="Dublagem Barreira",1,C51="Pel. + Cal.",0.4,C51="Fel. + Pel. + Cal.",0.5,C51="Pel. + Spun",0.8,C51="Espelhamento - L: 1,45m",0.8,C51="Espelhamento - L: 1,65m",0.8,C51="Estampagem",1,C51="Fel. + Cal.",0.4,C51="Dublagem Juta",0.8,C51="Dublagem Cretone - MO (Juta)",0.8,C51="Dublagem Tapete",0.8,C51="Esp. + Pel.",0.8,C51="Espelhamento 2x",0.8)</f>
        <v>0.4</v>
      </c>
      <c r="U51" s="18">
        <v>1</v>
      </c>
      <c r="V51" s="18">
        <v>1</v>
      </c>
      <c r="W51" s="18"/>
      <c r="X51" s="18">
        <v>39.67</v>
      </c>
      <c r="Y51" s="18">
        <v>38.51</v>
      </c>
      <c r="Z51" s="18">
        <v>116.78</v>
      </c>
      <c r="AA51" s="18"/>
    </row>
    <row r="52" spans="1:27" ht="14.25" customHeight="1" x14ac:dyDescent="0.35">
      <c r="A52" s="18"/>
      <c r="B52" s="22" t="s">
        <v>121</v>
      </c>
      <c r="C52" s="23" t="s">
        <v>286</v>
      </c>
      <c r="D52" s="23"/>
      <c r="E52" s="24">
        <v>1</v>
      </c>
      <c r="F52" s="25">
        <v>4.5</v>
      </c>
      <c r="G52" s="25">
        <f t="shared" si="15"/>
        <v>4.5</v>
      </c>
      <c r="H52" s="26" t="s">
        <v>243</v>
      </c>
      <c r="I52" s="27">
        <f t="shared" si="14"/>
        <v>4.5</v>
      </c>
      <c r="J52" s="28">
        <v>45663</v>
      </c>
      <c r="K52" s="29"/>
      <c r="L52" s="30">
        <f t="shared" si="7"/>
        <v>4.5</v>
      </c>
      <c r="M52" s="30">
        <f>IF(B52="Texion Textil",0,IF(C52="Malha",'Custos insumos'!$B$24,IF(C52="Dublagem Cretone",'Custos insumos'!$D$7,IF(C52="Dublagem Spun",'Custos insumos'!$D$4,IF(C52="Espelhamento",'Custos insumos'!$B$11,IF(C52="Espelhamento 2x",2*'Custos insumos'!$B$11,IF(C52="Esp. + Pel.",'Custos insumos'!$B$11,IF(C52="Pel. + Spun",'Custos insumos'!$D$4,IF(C52="Dublagem Cretone PES",'Custos insumos'!$D$7,IF(C52="Dublagem Barreira",'Custos insumos'!$D$11,IF(C52="Dublagem - MO + Filme",'Custos insumos'!$D$4,IF(C52="Dublagem Cretone HM50",'Custos insumos'!$D$26,IF(C52="Dublagem Cretone HM70",'Custos insumos'!$F$10,)))))))))))))</f>
        <v>0</v>
      </c>
      <c r="N52" s="30">
        <f>IF(B52="Texion Textil",0,IF(B52="Três Elos",0,IF(C52="Malha",0,IF(C52="Dublagem Cretone",'Custos insumos'!$D$23,IF(C52="Dublagem Spun",'Custos insumos'!$D$19,IF(C52="Espelhamento",0,IF(C52="Espelhamento 2x",0,IF(C52="Esp. + Pel.",0,IF(C52="Pel. + Spun",'Custos insumos'!$D$19,IF(C52="Dublagem Cretone PES",'Custos insumos'!$F$25,IF(C52="Dublagem Barreira",'Custos insumos'!$D$22,)))))))))))</f>
        <v>0</v>
      </c>
      <c r="O52" s="18"/>
      <c r="P52" s="53">
        <f t="shared" si="1"/>
        <v>0.72292444444444448</v>
      </c>
      <c r="Q52" s="50">
        <f t="shared" si="2"/>
        <v>675</v>
      </c>
      <c r="R52" s="50" cm="1">
        <f t="array" ref="R52">_xlfn.IFS(C52="Calandra",(350),C52="Peletização",(421),C52="Dublagem Spun",(250),C52="Dublagem Cretone PES",(180),C52="Felpagem",(270/E52),C52="Emborrachamento",(200),C52="Espelhamento",(250),C52="Malha",(1),C52="Dublagem Cretone",(180),C52="Malha",(1),C52="Dublagem Spun - MO",250,C52="Dublagem Cretone - MO",180,C52="Dublagem Cretone PES - MO",180,C52="Espelhamento - MO",250,C52="Emborrachamento",100,C52="Malha",0,C52="Dublagem Barreira",100,C52="Pel. + Cal.",350,C52="Fel. + Pel. + Cal.",270,C52="Pel. + Spun",250,C52="Espelhamento - L: 1,45m",200,C52="Espelhamento - L: 1,65m",200,C52="Estampagem",100,C52="Fel. + Cal.",270,C52="Dublagem Juta",180,C52="Dublagem Cretone - MO (Juta)",180,C52="Dublagem Tapete",150,C52="Esp. + Pel.",200,C52="Espelhamento 2x",100)</f>
        <v>150</v>
      </c>
      <c r="S52" s="50">
        <f t="shared" si="3"/>
        <v>187.02600000000001</v>
      </c>
      <c r="T52" s="18" cm="1">
        <f t="array" ref="T52">_xlfn.IFS(C52="Calandra",0.4,C52="Felpagem",0.3,C52="Dublagem Spun",0.8,C52="Dublagem Cretone",0.8,C52="Dublagem Cretone PES",0.8,C52="Espelhamento",0.8,C52="Peletização",0.5,C52="Dublagem Spun - MO",0.8,C52="Dublagem Cretone - MO",0.8,C52="Dublagem Cretone PES - MO",0.8,C52="Espelhamento - MO",0.8,C52="Emborrachamento",1,C52="Malha",0,C52="Dublagem Barreira",1,C52="Pel. + Cal.",0.4,C52="Fel. + Pel. + Cal.",0.5,C52="Pel. + Spun",0.8,C52="Espelhamento - L: 1,45m",0.8,C52="Espelhamento - L: 1,65m",0.8,C52="Estampagem",1,C52="Fel. + Cal.",0.4,C52="Dublagem Juta",0.8,C52="Dublagem Cretone - MO (Juta)",0.8,C52="Dublagem Tapete",0.8,C52="Esp. + Pel.",0.8,C52="Espelhamento 2x",0.8)</f>
        <v>0.8</v>
      </c>
      <c r="U52" s="18">
        <v>1</v>
      </c>
      <c r="V52" s="18">
        <v>1</v>
      </c>
      <c r="W52" s="18"/>
      <c r="X52" s="18">
        <v>39.67</v>
      </c>
      <c r="Y52" s="18">
        <v>38.51</v>
      </c>
      <c r="Z52" s="18">
        <v>116.78</v>
      </c>
      <c r="AA52" s="18"/>
    </row>
    <row r="53" spans="1:27" ht="14.25" customHeight="1" x14ac:dyDescent="0.35">
      <c r="A53" s="18"/>
      <c r="B53" s="22" t="s">
        <v>121</v>
      </c>
      <c r="C53" s="23" t="s">
        <v>249</v>
      </c>
      <c r="D53" s="23"/>
      <c r="E53" s="24">
        <v>1</v>
      </c>
      <c r="F53" s="25">
        <v>6.1</v>
      </c>
      <c r="G53" s="25">
        <f t="shared" si="15"/>
        <v>6.1</v>
      </c>
      <c r="H53" s="26" t="s">
        <v>243</v>
      </c>
      <c r="I53" s="27">
        <f t="shared" si="14"/>
        <v>6.1</v>
      </c>
      <c r="J53" s="28">
        <v>45663</v>
      </c>
      <c r="K53" s="29"/>
      <c r="L53" s="30">
        <f t="shared" si="7"/>
        <v>4.0857999999999999</v>
      </c>
      <c r="M53" s="30">
        <f>IF(B53="Texion Textil",0,IF(C53="Malha",'Custos insumos'!$B$24,IF(C53="Dublagem Cretone",'Custos insumos'!$D$7,IF(C53="Dublagem Spun",'Custos insumos'!$D$4,IF(C53="Espelhamento",'Custos insumos'!$B$11,IF(C53="Espelhamento 2x",2*'Custos insumos'!$B$11,IF(C53="Esp. + Pel.",'Custos insumos'!$B$11,IF(C53="Pel. + Spun",'Custos insumos'!$D$4,IF(C53="Dublagem Cretone PES",'Custos insumos'!$D$7,IF(C53="Dublagem Barreira",'Custos insumos'!$D$11,IF(C53="Dublagem - MO + Filme",'Custos insumos'!$D$4,IF(C53="Dublagem Cretone HM50",'Custos insumos'!$D$26,IF(C53="Dublagem Cretone HM70",'Custos insumos'!$F$10,)))))))))))))</f>
        <v>1.1232</v>
      </c>
      <c r="N53" s="30">
        <f>IF(B53="Texion Textil",0,IF(B53="Três Elos",0,IF(C53="Malha",0,IF(C53="Dublagem Cretone",'Custos insumos'!$D$23,IF(C53="Dublagem Spun",'Custos insumos'!$D$19,IF(C53="Espelhamento",0,IF(C53="Espelhamento 2x",0,IF(C53="Esp. + Pel.",0,IF(C53="Pel. + Spun",'Custos insumos'!$D$19,IF(C53="Dublagem Cretone PES",'Custos insumos'!$F$25,IF(C53="Dublagem Barreira",'Custos insumos'!$D$22,)))))))))))</f>
        <v>0.89100000000000001</v>
      </c>
      <c r="O53" s="18"/>
      <c r="P53" s="53">
        <f t="shared" si="1"/>
        <v>0.54716327868852455</v>
      </c>
      <c r="Q53" s="50">
        <f t="shared" si="2"/>
        <v>1525</v>
      </c>
      <c r="R53" s="50" cm="1">
        <f t="array" ref="R53">_xlfn.IFS(C53="Calandra",(350),C53="Peletização",(421),C53="Dublagem Spun",(250),C53="Dublagem Cretone PES",(180),C53="Felpagem",(270/E53),C53="Emborrachamento",(200),C53="Espelhamento",(250),C53="Malha",(1),C53="Dublagem Cretone",(180),C53="Malha",(1),C53="Dublagem Spun - MO",250,C53="Dublagem Cretone - MO",180,C53="Dublagem Cretone PES - MO",180,C53="Espelhamento - MO",250,C53="Emborrachamento",100,C53="Malha",0,C53="Dublagem Barreira",100,C53="Pel. + Cal.",350,C53="Fel. + Pel. + Cal.",270,C53="Pel. + Spun",250,C53="Espelhamento - L: 1,45m",200,C53="Espelhamento - L: 1,65m",200,C53="Estampagem",100,C53="Fel. + Cal.",270,C53="Dublagem Juta",180,C53="Dublagem Cretone - MO (Juta)",180,C53="Dublagem Tapete",150,C53="Esp. + Pel.",200,C53="Espelhamento 2x",100)</f>
        <v>250</v>
      </c>
      <c r="S53" s="50">
        <f t="shared" si="3"/>
        <v>690.57600000000002</v>
      </c>
      <c r="T53" s="18" cm="1">
        <f t="array" ref="T53">_xlfn.IFS(C53="Calandra",0.4,C53="Felpagem",0.3,C53="Dublagem Spun",0.8,C53="Dublagem Cretone",0.8,C53="Dublagem Cretone PES",0.8,C53="Espelhamento",0.8,C53="Peletização",0.5,C53="Dublagem Spun - MO",0.8,C53="Dublagem Cretone - MO",0.8,C53="Dublagem Cretone PES - MO",0.8,C53="Espelhamento - MO",0.8,C53="Emborrachamento",1,C53="Malha",0,C53="Dublagem Barreira",1,C53="Pel. + Cal.",0.4,C53="Fel. + Pel. + Cal.",0.5,C53="Pel. + Spun",0.8,C53="Espelhamento - L: 1,45m",0.8,C53="Espelhamento - L: 1,65m",0.8,C53="Estampagem",1,C53="Fel. + Cal.",0.4,C53="Dublagem Juta",0.8,C53="Dublagem Cretone - MO (Juta)",0.8,C53="Dublagem Tapete",0.8,C53="Esp. + Pel.",0.8,C53="Espelhamento 2x",0.8)</f>
        <v>0.8</v>
      </c>
      <c r="U53" s="18">
        <v>1</v>
      </c>
      <c r="V53" s="18">
        <v>1</v>
      </c>
      <c r="W53" s="18"/>
      <c r="X53" s="18">
        <v>39.67</v>
      </c>
      <c r="Y53" s="18">
        <v>38.51</v>
      </c>
      <c r="Z53" s="18">
        <v>116.78</v>
      </c>
      <c r="AA53" s="18"/>
    </row>
    <row r="54" spans="1:27" ht="14.25" customHeight="1" x14ac:dyDescent="0.35">
      <c r="A54" s="18"/>
      <c r="B54" s="22" t="s">
        <v>121</v>
      </c>
      <c r="C54" s="23" t="s">
        <v>254</v>
      </c>
      <c r="D54" s="23"/>
      <c r="E54" s="24">
        <v>2</v>
      </c>
      <c r="F54" s="25">
        <v>1.05</v>
      </c>
      <c r="G54" s="25">
        <v>1</v>
      </c>
      <c r="H54" s="26" t="s">
        <v>243</v>
      </c>
      <c r="I54" s="27">
        <f t="shared" si="14"/>
        <v>0.5</v>
      </c>
      <c r="J54" s="28">
        <v>45663</v>
      </c>
      <c r="K54" s="29"/>
      <c r="L54" s="30">
        <f t="shared" si="7"/>
        <v>1</v>
      </c>
      <c r="M54" s="30">
        <f>IF(B54="Texion Textil",0,IF(C54="Malha",'Custos insumos'!$B$24,IF(C54="Dublagem Cretone",'Custos insumos'!$D$7,IF(C54="Dublagem Spun",'Custos insumos'!$D$4,IF(C54="Espelhamento",'Custos insumos'!$B$11,IF(C54="Espelhamento 2x",2*'Custos insumos'!$B$11,IF(C54="Esp. + Pel.",'Custos insumos'!$B$11,IF(C54="Pel. + Spun",'Custos insumos'!$D$4,IF(C54="Dublagem Cretone PES",'Custos insumos'!$D$7,IF(C54="Dublagem Barreira",'Custos insumos'!$D$11,IF(C54="Dublagem - MO + Filme",'Custos insumos'!$D$4,IF(C54="Dublagem Cretone HM50",'Custos insumos'!$D$26,IF(C54="Dublagem Cretone HM70",'Custos insumos'!$F$10,)))))))))))))</f>
        <v>0</v>
      </c>
      <c r="N54" s="30">
        <f>IF(B54="Texion Textil",0,IF(B54="Três Elos",0,IF(C54="Malha",0,IF(C54="Dublagem Cretone",'Custos insumos'!$D$23,IF(C54="Dublagem Spun",'Custos insumos'!$D$19,IF(C54="Espelhamento",0,IF(C54="Espelhamento 2x",0,IF(C54="Esp. + Pel.",0,IF(C54="Pel. + Spun",'Custos insumos'!$D$19,IF(C54="Dublagem Cretone PES",'Custos insumos'!$F$25,IF(C54="Dublagem Barreira",'Custos insumos'!$D$22,)))))))))))</f>
        <v>0</v>
      </c>
      <c r="O54" s="18"/>
      <c r="P54" s="53">
        <f t="shared" si="1"/>
        <v>-0.23845185185185186</v>
      </c>
      <c r="Q54" s="50">
        <f t="shared" si="2"/>
        <v>135</v>
      </c>
      <c r="R54" s="50" cm="1">
        <f t="array" ref="R54">_xlfn.IFS(C54="Calandra",(350),C54="Peletização",(421),C54="Dublagem Spun",(250),C54="Dublagem Cretone PES",(180),C54="Felpagem",(270/E54),C54="Emborrachamento",(200),C54="Espelhamento",(250),C54="Malha",(1),C54="Dublagem Cretone",(180),C54="Malha",(1),C54="Dublagem Spun - MO",250,C54="Dublagem Cretone - MO",180,C54="Dublagem Cretone PES - MO",180,C54="Espelhamento - MO",250,C54="Emborrachamento",100,C54="Malha",0,C54="Dublagem Barreira",100,C54="Pel. + Cal.",350,C54="Fel. + Pel. + Cal.",270,C54="Pel. + Spun",250,C54="Espelhamento - L: 1,45m",200,C54="Espelhamento - L: 1,65m",200,C54="Estampagem",100,C54="Fel. + Cal.",270,C54="Dublagem Juta",180,C54="Dublagem Cretone - MO (Juta)",180,C54="Dublagem Tapete",150,C54="Esp. + Pel.",200,C54="Espelhamento 2x",100)</f>
        <v>135</v>
      </c>
      <c r="S54" s="50">
        <f t="shared" si="3"/>
        <v>167.191</v>
      </c>
      <c r="T54" s="18" cm="1">
        <f t="array" ref="T54">_xlfn.IFS(C54="Calandra",0.4,C54="Felpagem",0.3,C54="Dublagem Spun",0.8,C54="Dublagem Cretone",0.8,C54="Dublagem Cretone PES",0.8,C54="Espelhamento",0.8,C54="Peletização",0.5,C54="Dublagem Spun - MO",0.8,C54="Dublagem Cretone - MO",0.8,C54="Dublagem Cretone PES - MO",0.8,C54="Espelhamento - MO",0.8,C54="Emborrachamento",1,C54="Malha",0,C54="Dublagem Barreira",1,C54="Pel. + Cal.",0.4,C54="Fel. + Pel. + Cal.",0.5,C54="Pel. + Spun",0.8,C54="Espelhamento - L: 1,45m",0.8,C54="Espelhamento - L: 1,65m",0.8,C54="Estampagem",1,C54="Fel. + Cal.",0.4,C54="Dublagem Juta",0.8,C54="Dublagem Cretone - MO (Juta)",0.8,C54="Dublagem Tapete",0.8,C54="Esp. + Pel.",0.8,C54="Espelhamento 2x",0.8)</f>
        <v>0.3</v>
      </c>
      <c r="U54" s="18">
        <v>1</v>
      </c>
      <c r="V54" s="18">
        <v>1</v>
      </c>
      <c r="W54" s="18"/>
      <c r="X54" s="18">
        <v>39.67</v>
      </c>
      <c r="Y54" s="18">
        <v>38.51</v>
      </c>
      <c r="Z54" s="18">
        <v>116.78</v>
      </c>
      <c r="AA54" s="18"/>
    </row>
    <row r="55" spans="1:27" ht="14.25" customHeight="1" x14ac:dyDescent="0.35">
      <c r="A55" s="18"/>
      <c r="B55" s="22" t="s">
        <v>288</v>
      </c>
      <c r="C55" s="23" t="s">
        <v>142</v>
      </c>
      <c r="D55" s="23"/>
      <c r="E55" s="24">
        <v>1</v>
      </c>
      <c r="F55" s="25">
        <v>0.77</v>
      </c>
      <c r="G55" s="25">
        <v>0.8</v>
      </c>
      <c r="H55" s="26" t="s">
        <v>243</v>
      </c>
      <c r="I55" s="27">
        <f t="shared" ref="I55" si="16">G55/E55</f>
        <v>0.8</v>
      </c>
      <c r="J55" s="28">
        <v>45663</v>
      </c>
      <c r="K55" s="29"/>
      <c r="L55" s="30">
        <f t="shared" ref="L55" si="17">G55-M55-N55</f>
        <v>0.8</v>
      </c>
      <c r="M55" s="30">
        <f>IF(B55="Texion Textil",0,IF(C55="Malha",'Custos insumos'!$B$24,IF(C55="Dublagem Cretone",'Custos insumos'!$D$7,IF(C55="Dublagem Spun",'Custos insumos'!$D$4,IF(C55="Espelhamento",'Custos insumos'!$B$11,IF(C55="Espelhamento 2x",2*'Custos insumos'!$B$11,IF(C55="Esp. + Pel.",'Custos insumos'!$B$11,IF(C55="Pel. + Spun",'Custos insumos'!$D$4,IF(C55="Dublagem Cretone PES",'Custos insumos'!$D$7,IF(C55="Dublagem Barreira",'Custos insumos'!$D$11,IF(C55="Dublagem - MO + Filme",'Custos insumos'!$D$4,IF(C55="Dublagem Cretone HM50",'Custos insumos'!$D$26,IF(C55="Dublagem Cretone HM70",'Custos insumos'!$F$10,)))))))))))))</f>
        <v>0</v>
      </c>
      <c r="N55" s="30">
        <f>IF(B55="Texion Textil",0,IF(B55="Três Elos",0,IF(C55="Malha",0,IF(C55="Dublagem Cretone",'Custos insumos'!$D$23,IF(C55="Dublagem Spun",'Custos insumos'!$D$19,IF(C55="Espelhamento",0,IF(C55="Espelhamento 2x",0,IF(C55="Esp. + Pel.",0,IF(C55="Pel. + Spun",'Custos insumos'!$D$19,IF(C55="Dublagem Cretone PES",'Custos insumos'!$F$25,IF(C55="Dublagem Barreira",'Custos insumos'!$D$22,)))))))))))</f>
        <v>0</v>
      </c>
      <c r="O55" s="18"/>
      <c r="P55" s="53">
        <f t="shared" si="1"/>
        <v>0.3887214285714285</v>
      </c>
      <c r="Q55" s="50">
        <f t="shared" si="2"/>
        <v>280</v>
      </c>
      <c r="R55" s="50" cm="1">
        <f t="array" ref="R55">_xlfn.IFS(C55="Calandra",(350),C55="Peletização",(421),C55="Dublagem Spun",(250),C55="Dublagem Cretone PES",(180),C55="Felpagem",(270/E55),C55="Emborrachamento",(200),C55="Espelhamento",(250),C55="Malha",(1),C55="Dublagem Cretone",(180),C55="Malha",(1),C55="Dublagem Spun - MO",250,C55="Dublagem Cretone - MO",180,C55="Dublagem Cretone PES - MO",180,C55="Espelhamento - MO",250,C55="Emborrachamento",100,C55="Malha",0,C55="Dublagem Barreira",100,C55="Pel. + Cal.",350,C55="Fel. + Pel. + Cal.",270,C55="Pel. + Spun",250,C55="Espelhamento - L: 1,45m",200,C55="Espelhamento - L: 1,65m",200,C55="Estampagem",100,C55="Fel. + Cal.",270,C55="Dublagem Juta",180,C55="Dublagem Cretone - MO (Juta)",180,C55="Dublagem Tapete",150,C55="Esp. + Pel.",200,C55="Espelhamento 2x",100)</f>
        <v>350</v>
      </c>
      <c r="S55" s="50">
        <f t="shared" si="3"/>
        <v>171.15800000000002</v>
      </c>
      <c r="T55" s="18" cm="1">
        <f t="array" ref="T55">_xlfn.IFS(C55="Calandra",0.4,C55="Felpagem",0.3,C55="Dublagem Spun",0.8,C55="Dublagem Cretone",0.8,C55="Dublagem Cretone PES",0.8,C55="Espelhamento",0.8,C55="Peletização",0.5,C55="Dublagem Spun - MO",0.8,C55="Dublagem Cretone - MO",0.8,C55="Dublagem Cretone PES - MO",0.8,C55="Espelhamento - MO",0.8,C55="Emborrachamento",1,C55="Malha",0,C55="Dublagem Barreira",1,C55="Pel. + Cal.",0.4,C55="Fel. + Pel. + Cal.",0.5,C55="Pel. + Spun",0.8,C55="Espelhamento - L: 1,45m",0.8,C55="Espelhamento - L: 1,65m",0.8,C55="Estampagem",1,C55="Fel. + Cal.",0.4,C55="Dublagem Juta",0.8,C55="Dublagem Cretone - MO (Juta)",0.8,C55="Dublagem Tapete",0.8,C55="Esp. + Pel.",0.8,C55="Espelhamento 2x",0.8)</f>
        <v>0.4</v>
      </c>
      <c r="U55" s="18">
        <v>1</v>
      </c>
      <c r="V55" s="18">
        <v>1</v>
      </c>
      <c r="W55" s="18"/>
      <c r="X55" s="18">
        <v>39.67</v>
      </c>
      <c r="Y55" s="18">
        <v>38.51</v>
      </c>
      <c r="Z55" s="18">
        <v>116.78</v>
      </c>
      <c r="AA55" s="18"/>
    </row>
    <row r="56" spans="1:27" ht="14.25" customHeight="1" x14ac:dyDescent="0.35">
      <c r="A56" s="18"/>
      <c r="B56" s="22" t="s">
        <v>288</v>
      </c>
      <c r="C56" s="23" t="s">
        <v>254</v>
      </c>
      <c r="D56" s="23"/>
      <c r="E56" s="24">
        <v>1</v>
      </c>
      <c r="F56" s="25">
        <v>0.77</v>
      </c>
      <c r="G56" s="25">
        <f>F56*1.13</f>
        <v>0.87009999999999998</v>
      </c>
      <c r="H56" s="26" t="s">
        <v>243</v>
      </c>
      <c r="I56" s="27">
        <f t="shared" si="14"/>
        <v>0.87009999999999998</v>
      </c>
      <c r="J56" s="28">
        <v>45663</v>
      </c>
      <c r="K56" s="29"/>
      <c r="L56" s="30">
        <f t="shared" si="7"/>
        <v>0.87009999999999998</v>
      </c>
      <c r="M56" s="30">
        <f>IF(B56="Texion Textil",0,IF(C56="Malha",'Custos insumos'!$B$24,IF(C56="Dublagem Cretone",'Custos insumos'!$D$7,IF(C56="Dublagem Spun",'Custos insumos'!$D$4,IF(C56="Espelhamento",'Custos insumos'!$B$11,IF(C56="Espelhamento 2x",2*'Custos insumos'!$B$11,IF(C56="Esp. + Pel.",'Custos insumos'!$B$11,IF(C56="Pel. + Spun",'Custos insumos'!$D$4,IF(C56="Dublagem Cretone PES",'Custos insumos'!$D$7,IF(C56="Dublagem Barreira",'Custos insumos'!$D$11,IF(C56="Dublagem - MO + Filme",'Custos insumos'!$D$4,IF(C56="Dublagem Cretone HM50",'Custos insumos'!$D$26,IF(C56="Dublagem Cretone HM70",'Custos insumos'!$F$10,)))))))))))))</f>
        <v>0</v>
      </c>
      <c r="N56" s="30">
        <f>IF(B56="Texion Textil",0,IF(B56="Três Elos",0,IF(C56="Malha",0,IF(C56="Dublagem Cretone",'Custos insumos'!$D$23,IF(C56="Dublagem Spun",'Custos insumos'!$D$19,IF(C56="Espelhamento",0,IF(C56="Espelhamento 2x",0,IF(C56="Esp. + Pel.",0,IF(C56="Pel. + Spun",'Custos insumos'!$D$19,IF(C56="Dublagem Cretone PES",'Custos insumos'!$F$25,IF(C56="Dublagem Barreira",'Custos insumos'!$D$22,)))))))))))</f>
        <v>0</v>
      </c>
      <c r="O56" s="18"/>
      <c r="P56" s="53">
        <f t="shared" ref="P56" si="18">(Q56-S56)/Q56</f>
        <v>0.28832786354910245</v>
      </c>
      <c r="Q56" s="50">
        <f t="shared" ref="Q56" si="19">G56*R56</f>
        <v>234.92699999999999</v>
      </c>
      <c r="R56" s="50" cm="1">
        <f t="array" ref="R56">_xlfn.IFS(C56="Calandra",(350),C56="Peletização",(421),C56="Dublagem Spun",(250),C56="Dublagem Cretone PES",(180),C56="Felpagem",(270/E56),C56="Emborrachamento",(200),C56="Espelhamento",(250),C56="Malha",(1),C56="Dublagem Cretone",(180),C56="Malha",(1),C56="Dublagem Spun - MO",250,C56="Dublagem Cretone - MO",180,C56="Dublagem Cretone PES - MO",180,C56="Espelhamento - MO",250,C56="Emborrachamento",100,C56="Malha",0,C56="Dublagem Barreira",100,C56="Pel. + Cal.",350,C56="Fel. + Pel. + Cal.",270,C56="Pel. + Spun",250,C56="Espelhamento - L: 1,45m",200,C56="Espelhamento - L: 1,65m",200,C56="Estampagem",100,C56="Fel. + Cal.",270,C56="Dublagem Juta",180,C56="Dublagem Cretone - MO (Juta)",180,C56="Dublagem Tapete",150,C56="Esp. + Pel.",200,C56="Espelhamento 2x",100)</f>
        <v>270</v>
      </c>
      <c r="S56" s="50">
        <f t="shared" ref="S56" si="20">(T56*X56)+(U56*Y56)+(V56*Z56)+((M56+N56)*(R56))</f>
        <v>167.191</v>
      </c>
      <c r="T56" s="18" cm="1">
        <f t="array" ref="T56">_xlfn.IFS(C56="Calandra",0.4,C56="Felpagem",0.3,C56="Dublagem Spun",0.8,C56="Dublagem Cretone",0.8,C56="Dublagem Cretone PES",0.8,C56="Espelhamento",0.8,C56="Peletização",0.5,C56="Dublagem Spun - MO",0.8,C56="Dublagem Cretone - MO",0.8,C56="Dublagem Cretone PES - MO",0.8,C56="Espelhamento - MO",0.8,C56="Emborrachamento",1,C56="Malha",0,C56="Dublagem Barreira",1,C56="Pel. + Cal.",0.4,C56="Fel. + Pel. + Cal.",0.5,C56="Pel. + Spun",0.8,C56="Espelhamento - L: 1,45m",0.8,C56="Espelhamento - L: 1,65m",0.8,C56="Estampagem",1,C56="Fel. + Cal.",0.4,C56="Dublagem Juta",0.8,C56="Dublagem Cretone - MO (Juta)",0.8,C56="Dublagem Tapete",0.8,C56="Esp. + Pel.",0.8,C56="Espelhamento 2x",0.8)</f>
        <v>0.3</v>
      </c>
      <c r="U56" s="18">
        <v>1</v>
      </c>
      <c r="V56" s="18">
        <v>1</v>
      </c>
      <c r="W56" s="18"/>
      <c r="X56" s="18">
        <v>39.67</v>
      </c>
      <c r="Y56" s="18">
        <v>38.51</v>
      </c>
      <c r="Z56" s="18">
        <v>116.78</v>
      </c>
      <c r="AA56" s="18"/>
    </row>
    <row r="57" spans="1:27" ht="14.25" customHeight="1" x14ac:dyDescent="0.35">
      <c r="A57" s="18"/>
      <c r="B57" s="22" t="s">
        <v>288</v>
      </c>
      <c r="C57" s="23" t="s">
        <v>98</v>
      </c>
      <c r="D57" s="23" t="s">
        <v>366</v>
      </c>
      <c r="E57" s="24"/>
      <c r="F57" s="25"/>
      <c r="G57" s="25">
        <v>2.1</v>
      </c>
      <c r="H57" s="26"/>
      <c r="I57" s="27"/>
      <c r="J57" s="28"/>
      <c r="K57" s="29"/>
      <c r="L57" s="30">
        <f>G57-M57</f>
        <v>1.4388000000000001</v>
      </c>
      <c r="M57" s="30">
        <f>'Custos insumos'!N3</f>
        <v>0.6611999999999999</v>
      </c>
      <c r="N57" s="30"/>
      <c r="O57" s="18"/>
      <c r="P57" s="53"/>
      <c r="Q57" s="50"/>
      <c r="R57" s="50"/>
      <c r="S57" s="50"/>
      <c r="T57" s="18" t="e" cm="1">
        <f t="array" ref="T57">_xlfn.IFS(C57="Calandra",0.4,C57="Felpagem",0.3,C57="Dublagem Spun",0.8,C57="Dublagem Cretone",0.8,C57="Dublagem Cretone PES",0.8,C57="Espelhamento",0.8,C57="Peletização",0.5,C57="Dublagem Spun - MO",0.8,C57="Dublagem Cretone - MO",0.8,C57="Dublagem Cretone PES - MO",0.8,C57="Espelhamento - MO",0.8,C57="Emborrachamento",1,C57="Malha",0,C57="Dublagem Barreira",1,C57="Pel. + Cal.",0.4,C57="Fel. + Pel. + Cal.",0.5,C57="Pel. + Spun",0.8,C57="Espelhamento - L: 1,45m",0.8,C57="Espelhamento - L: 1,65m",0.8,C57="Estampagem",1,C57="Fel. + Cal.",0.4,C57="Dublagem Juta",0.8,C57="Dublagem Cretone - MO (Juta)",0.8,C57="Dublagem Tapete",0.8,C57="Esp. + Pel.",0.8,C57="Espelhamento 2x",0.8)</f>
        <v>#N/A</v>
      </c>
      <c r="U57" s="18"/>
      <c r="V57" s="18"/>
      <c r="W57" s="18"/>
      <c r="X57" s="18"/>
      <c r="Y57" s="18"/>
      <c r="Z57" s="18"/>
      <c r="AA57" s="18"/>
    </row>
    <row r="58" spans="1:27" ht="14.25" customHeight="1" x14ac:dyDescent="0.35">
      <c r="A58" s="18"/>
      <c r="B58" s="22" t="s">
        <v>288</v>
      </c>
      <c r="C58" s="23" t="s">
        <v>464</v>
      </c>
      <c r="D58" s="23" t="s">
        <v>436</v>
      </c>
      <c r="E58" s="24">
        <v>1</v>
      </c>
      <c r="F58" s="25">
        <v>0.77</v>
      </c>
      <c r="G58" s="25">
        <v>2.8</v>
      </c>
      <c r="H58" s="26" t="s">
        <v>243</v>
      </c>
      <c r="I58" s="27">
        <f t="shared" ref="I58:I92" si="21">G58/E58</f>
        <v>2.8</v>
      </c>
      <c r="J58" s="28">
        <v>45663</v>
      </c>
      <c r="K58" s="29"/>
      <c r="L58" s="30">
        <f t="shared" ref="L58:L92" si="22">G58-M58-N58</f>
        <v>2.1387999999999998</v>
      </c>
      <c r="M58" s="30">
        <f>'Custos insumos'!N3</f>
        <v>0.6611999999999999</v>
      </c>
      <c r="N58" s="30">
        <f>IF(B58="Texion Textil",0,IF(B58="Três Elos",0,IF(C58="Malha",0,IF(C58="Dublagem Cretone",'Custos insumos'!$D$23,IF(C58="Dublagem Spun",'Custos insumos'!$D$19,IF(C58="Espelhamento",0,IF(C58="Espelhamento 2x",0,IF(C58="Esp. + Pel.",0,IF(C58="Pel. + Spun",'Custos insumos'!$D$19,IF(C58="Dublagem Cretone PES",'Custos insumos'!$F$25,IF(C58="Dublagem Barreira",'Custos insumos'!$D$22,)))))))))))</f>
        <v>0</v>
      </c>
      <c r="O58" s="18"/>
      <c r="P58" s="53" t="e">
        <f t="shared" si="1"/>
        <v>#N/A</v>
      </c>
      <c r="Q58" s="50" t="e">
        <f t="shared" si="2"/>
        <v>#N/A</v>
      </c>
      <c r="R58" s="50" t="e" cm="1">
        <f t="array" ref="R58">_xlfn.IFS(C58="Calandra",(350),C58="Peletização",(421),C58="Dublagem Spun",(250),C58="Dublagem Cretone PES",(180),C58="Felpagem",(270/E58),C58="Emborrachamento",(200),C58="Espelhamento",(250),C58="Malha",(1),C58="Dublagem Cretone",(180),C58="Malha",(1),C58="Dublagem Spun - MO",250,C58="Dublagem Cretone - MO",180,C58="Dublagem Cretone PES - MO",180,C58="Espelhamento - MO",250,C58="Emborrachamento",100,C58="Malha",0,C58="Dublagem Barreira",100,C58="Pel. + Cal.",350,C58="Fel. + Pel. + Cal.",270,C58="Pel. + Spun",250,C58="Espelhamento - L: 1,45m",200,C58="Espelhamento - L: 1,65m",200,C58="Estampagem",100,C58="Fel. + Cal.",270,C58="Dublagem Juta",180,C58="Dublagem Cretone - MO (Juta)",180,C58="Dublagem Tapete",150,C58="Esp. + Pel.",200,C58="Espelhamento 2x",100)</f>
        <v>#N/A</v>
      </c>
      <c r="S58" s="50" t="e">
        <f t="shared" si="3"/>
        <v>#N/A</v>
      </c>
      <c r="T58" s="18" t="e" cm="1">
        <f t="array" ref="T58">_xlfn.IFS(C58="Calandra",0.4,C58="Felpagem",0.3,C58="Dublagem Spun",0.8,C58="Dublagem Cretone",0.8,C58="Dublagem Cretone PES",0.8,C58="Espelhamento",0.8,C58="Peletização",0.5,C58="Dublagem Spun - MO",0.8,C58="Dublagem Cretone - MO",0.8,C58="Dublagem Cretone PES - MO",0.8,C58="Espelhamento - MO",0.8,C58="Emborrachamento",1,C58="Malha",0,C58="Dublagem Barreira",1,C58="Pel. + Cal.",0.4,C58="Fel. + Pel. + Cal.",0.5,C58="Pel. + Spun",0.8,C58="Espelhamento - L: 1,45m",0.8,C58="Espelhamento - L: 1,65m",0.8,C58="Estampagem",1,C58="Fel. + Cal.",0.4,C58="Dublagem Juta",0.8,C58="Dublagem Cretone - MO (Juta)",0.8,C58="Dublagem Tapete",0.8,C58="Esp. + Pel.",0.8,C58="Espelhamento 2x",0.8)</f>
        <v>#N/A</v>
      </c>
      <c r="U58" s="18">
        <v>1</v>
      </c>
      <c r="V58" s="18">
        <v>1</v>
      </c>
      <c r="W58" s="18"/>
      <c r="X58" s="18">
        <v>39.67</v>
      </c>
      <c r="Y58" s="18">
        <v>38.51</v>
      </c>
      <c r="Z58" s="18">
        <v>116.78</v>
      </c>
      <c r="AA58" s="18"/>
    </row>
    <row r="59" spans="1:27" ht="14.25" customHeight="1" x14ac:dyDescent="0.35">
      <c r="A59" s="18"/>
      <c r="B59" s="22" t="s">
        <v>124</v>
      </c>
      <c r="C59" s="23" t="s">
        <v>144</v>
      </c>
      <c r="D59" s="23"/>
      <c r="E59" s="24">
        <v>1</v>
      </c>
      <c r="F59" s="25">
        <v>0.6</v>
      </c>
      <c r="G59" s="25">
        <f t="shared" ref="G59:G67" si="23">F59</f>
        <v>0.6</v>
      </c>
      <c r="H59" s="26" t="s">
        <v>243</v>
      </c>
      <c r="I59" s="27">
        <f t="shared" si="21"/>
        <v>0.6</v>
      </c>
      <c r="J59" s="28">
        <v>45663</v>
      </c>
      <c r="K59" s="29"/>
      <c r="L59" s="30">
        <f t="shared" si="22"/>
        <v>0.6</v>
      </c>
      <c r="M59" s="30">
        <f>IF(B59="Texion Textil",0,IF(C59="Malha",'Custos insumos'!$B$24,IF(C59="Dublagem Cretone",'Custos insumos'!$D$7,IF(C59="Dublagem Spun",'Custos insumos'!$D$4,IF(C59="Espelhamento",'Custos insumos'!$B$11,IF(C59="Espelhamento 2x",2*'Custos insumos'!$B$11,IF(C59="Esp. + Pel.",'Custos insumos'!$B$11,IF(C59="Pel. + Spun",'Custos insumos'!$D$4,IF(C59="Dublagem Cretone PES",'Custos insumos'!$D$7,IF(C59="Dublagem Barreira",'Custos insumos'!$D$11,IF(C59="Dublagem - MO + Filme",'Custos insumos'!$D$4,IF(C59="Dublagem Cretone HM50",'Custos insumos'!$D$26,IF(C59="Dublagem Cretone HM70",'Custos insumos'!$F$10,)))))))))))))</f>
        <v>0</v>
      </c>
      <c r="N59" s="30">
        <f>IF(B59="Texion Textil",0,IF(B59="Três Elos",0,IF(C59="Malha",0,IF(C59="Dublagem Cretone",'Custos insumos'!$D$23,IF(C59="Dublagem Spun",'Custos insumos'!$D$19,IF(C59="Espelhamento",0,IF(C59="Espelhamento 2x",0,IF(C59="Esp. + Pel.",0,IF(C59="Pel. + Spun",'Custos insumos'!$D$19,IF(C59="Dublagem Cretone PES",'Custos insumos'!$F$25,IF(C59="Dublagem Barreira",'Custos insumos'!$D$22,)))))))))))</f>
        <v>0</v>
      </c>
      <c r="O59" s="18"/>
      <c r="P59" s="53">
        <f t="shared" si="1"/>
        <v>0.30671021377672208</v>
      </c>
      <c r="Q59" s="50">
        <f t="shared" si="2"/>
        <v>252.6</v>
      </c>
      <c r="R59" s="50" cm="1">
        <f t="array" ref="R59">_xlfn.IFS(C59="Calandra",(350),C59="Peletização",(421),C59="Dublagem Spun",(250),C59="Dublagem Cretone PES",(180),C59="Felpagem",(270/E59),C59="Emborrachamento",(200),C59="Espelhamento",(250),C59="Malha",(1),C59="Dublagem Cretone",(180),C59="Malha",(1),C59="Dublagem Spun - MO",250,C59="Dublagem Cretone - MO",180,C59="Dublagem Cretone PES - MO",180,C59="Espelhamento - MO",250,C59="Emborrachamento",100,C59="Malha",0,C59="Dublagem Barreira",100,C59="Pel. + Cal.",350,C59="Fel. + Pel. + Cal.",270,C59="Pel. + Spun",250,C59="Espelhamento - L: 1,45m",200,C59="Espelhamento - L: 1,65m",200,C59="Estampagem",100,C59="Fel. + Cal.",270,C59="Dublagem Juta",180,C59="Dublagem Cretone - MO (Juta)",180,C59="Dublagem Tapete",150,C59="Esp. + Pel.",200,C59="Espelhamento 2x",100)</f>
        <v>421</v>
      </c>
      <c r="S59" s="50">
        <f t="shared" si="3"/>
        <v>175.125</v>
      </c>
      <c r="T59" s="18" cm="1">
        <f t="array" ref="T59">_xlfn.IFS(C59="Calandra",0.4,C59="Felpagem",0.3,C59="Dublagem Spun",0.8,C59="Dublagem Cretone",0.8,C59="Dublagem Cretone PES",0.8,C59="Espelhamento",0.8,C59="Peletização",0.5,C59="Dublagem Spun - MO",0.8,C59="Dublagem Cretone - MO",0.8,C59="Dublagem Cretone PES - MO",0.8,C59="Espelhamento - MO",0.8,C59="Emborrachamento",1,C59="Malha",0,C59="Dublagem Barreira",1,C59="Pel. + Cal.",0.4,C59="Fel. + Pel. + Cal.",0.5,C59="Pel. + Spun",0.8,C59="Espelhamento - L: 1,45m",0.8,C59="Espelhamento - L: 1,65m",0.8,C59="Estampagem",1,C59="Fel. + Cal.",0.4,C59="Dublagem Juta",0.8,C59="Dublagem Cretone - MO (Juta)",0.8,C59="Dublagem Tapete",0.8,C59="Esp. + Pel.",0.8,C59="Espelhamento 2x",0.8)</f>
        <v>0.5</v>
      </c>
      <c r="U59" s="18">
        <v>1</v>
      </c>
      <c r="V59" s="18">
        <v>1</v>
      </c>
      <c r="W59" s="18"/>
      <c r="X59" s="18">
        <v>39.67</v>
      </c>
      <c r="Y59" s="18">
        <v>38.51</v>
      </c>
      <c r="Z59" s="18">
        <v>116.78</v>
      </c>
      <c r="AA59" s="18"/>
    </row>
    <row r="60" spans="1:27" ht="14.25" customHeight="1" x14ac:dyDescent="0.35">
      <c r="A60" s="18"/>
      <c r="B60" s="22" t="s">
        <v>126</v>
      </c>
      <c r="C60" s="23" t="s">
        <v>254</v>
      </c>
      <c r="D60" s="23"/>
      <c r="E60" s="24">
        <v>2</v>
      </c>
      <c r="F60" s="25">
        <v>1.2</v>
      </c>
      <c r="G60" s="25">
        <f t="shared" si="23"/>
        <v>1.2</v>
      </c>
      <c r="H60" s="26" t="s">
        <v>243</v>
      </c>
      <c r="I60" s="27">
        <f t="shared" si="21"/>
        <v>0.6</v>
      </c>
      <c r="J60" s="28">
        <v>45663</v>
      </c>
      <c r="K60" s="29"/>
      <c r="L60" s="30">
        <f t="shared" si="22"/>
        <v>1.2</v>
      </c>
      <c r="M60" s="30">
        <f>IF(B60="Texion Textil",0,IF(C60="Malha",'Custos insumos'!$B$24,IF(C60="Dublagem Cretone",'Custos insumos'!$D$7,IF(C60="Dublagem Spun",'Custos insumos'!$D$4,IF(C60="Espelhamento",'Custos insumos'!$B$11,IF(C60="Espelhamento 2x",2*'Custos insumos'!$B$11,IF(C60="Esp. + Pel.",'Custos insumos'!$B$11,IF(C60="Pel. + Spun",'Custos insumos'!$D$4,IF(C60="Dublagem Cretone PES",'Custos insumos'!$D$7,IF(C60="Dublagem Barreira",'Custos insumos'!$D$11,IF(C60="Dublagem - MO + Filme",'Custos insumos'!$D$4,IF(C60="Dublagem Cretone HM50",'Custos insumos'!$D$26,IF(C60="Dublagem Cretone HM70",'Custos insumos'!$F$10,)))))))))))))</f>
        <v>0</v>
      </c>
      <c r="N60" s="30">
        <f>IF(B60="Texion Textil",0,IF(B60="Três Elos",0,IF(C60="Malha",0,IF(C60="Dublagem Cretone",'Custos insumos'!$D$23,IF(C60="Dublagem Spun",'Custos insumos'!$D$19,IF(C60="Espelhamento",0,IF(C60="Espelhamento 2x",0,IF(C60="Esp. + Pel.",0,IF(C60="Pel. + Spun",'Custos insumos'!$D$19,IF(C60="Dublagem Cretone PES",'Custos insumos'!$F$25,IF(C60="Dublagem Barreira",'Custos insumos'!$D$22,)))))))))))</f>
        <v>0</v>
      </c>
      <c r="O60" s="18"/>
      <c r="P60" s="53">
        <f t="shared" si="1"/>
        <v>-3.2043209876543223E-2</v>
      </c>
      <c r="Q60" s="50">
        <f t="shared" si="2"/>
        <v>162</v>
      </c>
      <c r="R60" s="50" cm="1">
        <f t="array" ref="R60">_xlfn.IFS(C60="Calandra",(350),C60="Peletização",(421),C60="Dublagem Spun",(250),C60="Dublagem Cretone PES",(180),C60="Felpagem",(270/E60),C60="Emborrachamento",(200),C60="Espelhamento",(250),C60="Malha",(1),C60="Dublagem Cretone",(180),C60="Malha",(1),C60="Dublagem Spun - MO",250,C60="Dublagem Cretone - MO",180,C60="Dublagem Cretone PES - MO",180,C60="Espelhamento - MO",250,C60="Emborrachamento",100,C60="Malha",0,C60="Dublagem Barreira",100,C60="Pel. + Cal.",350,C60="Fel. + Pel. + Cal.",270,C60="Pel. + Spun",250,C60="Espelhamento - L: 1,45m",200,C60="Espelhamento - L: 1,65m",200,C60="Estampagem",100,C60="Fel. + Cal.",270,C60="Dublagem Juta",180,C60="Dublagem Cretone - MO (Juta)",180,C60="Dublagem Tapete",150,C60="Esp. + Pel.",200,C60="Espelhamento 2x",100)</f>
        <v>135</v>
      </c>
      <c r="S60" s="50">
        <f t="shared" si="3"/>
        <v>167.191</v>
      </c>
      <c r="T60" s="18" cm="1">
        <f t="array" ref="T60">_xlfn.IFS(C60="Calandra",0.4,C60="Felpagem",0.3,C60="Dublagem Spun",0.8,C60="Dublagem Cretone",0.8,C60="Dublagem Cretone PES",0.8,C60="Espelhamento",0.8,C60="Peletização",0.5,C60="Dublagem Spun - MO",0.8,C60="Dublagem Cretone - MO",0.8,C60="Dublagem Cretone PES - MO",0.8,C60="Espelhamento - MO",0.8,C60="Emborrachamento",1,C60="Malha",0,C60="Dublagem Barreira",1,C60="Pel. + Cal.",0.4,C60="Fel. + Pel. + Cal.",0.5,C60="Pel. + Spun",0.8,C60="Espelhamento - L: 1,45m",0.8,C60="Espelhamento - L: 1,65m",0.8,C60="Estampagem",1,C60="Fel. + Cal.",0.4,C60="Dublagem Juta",0.8,C60="Dublagem Cretone - MO (Juta)",0.8,C60="Dublagem Tapete",0.8,C60="Esp. + Pel.",0.8,C60="Espelhamento 2x",0.8)</f>
        <v>0.3</v>
      </c>
      <c r="U60" s="18">
        <v>1</v>
      </c>
      <c r="V60" s="18">
        <v>1</v>
      </c>
      <c r="W60" s="18"/>
      <c r="X60" s="18">
        <v>39.67</v>
      </c>
      <c r="Y60" s="18">
        <v>38.51</v>
      </c>
      <c r="Z60" s="18">
        <v>116.78</v>
      </c>
      <c r="AA60" s="18"/>
    </row>
    <row r="61" spans="1:27" ht="14.25" customHeight="1" x14ac:dyDescent="0.35">
      <c r="A61" s="18"/>
      <c r="B61" s="22" t="s">
        <v>128</v>
      </c>
      <c r="C61" s="23" t="s">
        <v>289</v>
      </c>
      <c r="D61" s="23"/>
      <c r="E61" s="24">
        <v>1</v>
      </c>
      <c r="F61" s="25">
        <v>3.5</v>
      </c>
      <c r="G61" s="25">
        <f t="shared" si="23"/>
        <v>3.5</v>
      </c>
      <c r="H61" s="26" t="s">
        <v>243</v>
      </c>
      <c r="I61" s="27">
        <f t="shared" si="21"/>
        <v>3.5</v>
      </c>
      <c r="J61" s="28">
        <v>45663</v>
      </c>
      <c r="K61" s="29"/>
      <c r="L61" s="30">
        <f t="shared" si="22"/>
        <v>2.4414997101449272</v>
      </c>
      <c r="M61" s="30">
        <f>IF(B61="Texion Textil",0,IF(C61="Malha",'Custos insumos'!$B$24,IF(C61="Dublagem Cretone",'Custos insumos'!$D$7,IF(C61="Dublagem Spun",'Custos insumos'!$D$4,IF(C61="Espelhamento",'Custos insumos'!$B$11,IF(C61="Espelhamento 2x",2*'Custos insumos'!$B$11,IF(C61="Esp. + Pel.",'Custos insumos'!$B$11,IF(C61="Pel. + Spun",'Custos insumos'!$D$4,IF(C61="Dublagem Cretone PES",'Custos insumos'!$D$7,IF(C61="Dublagem Barreira",'Custos insumos'!$D$11,IF(C61="Dublagem - MO + Filme",'Custos insumos'!$D$4,IF(C61="Dublagem Cretone HM50",'Custos insumos'!$D$26,IF(C61="Dublagem Cretone HM70",'Custos insumos'!$F$10,)))))))))))))</f>
        <v>1.0585002898550726</v>
      </c>
      <c r="N61" s="30">
        <f>IF(B61="Texion Textil",0,IF(B61="Três Elos",0,IF(C61="Malha",0,IF(C61="Dublagem Cretone",'Custos insumos'!$D$23,IF(C61="Dublagem Spun",'Custos insumos'!$D$19,IF(C61="Espelhamento",0,IF(C61="Espelhamento 2x",0,IF(C61="Esp. + Pel.",0,IF(C61="Pel. + Spun",'Custos insumos'!$D$19,IF(C61="Dublagem Cretone PES",'Custos insumos'!$F$25,IF(C61="Dublagem Barreira",'Custos insumos'!$D$22,)))))))))))</f>
        <v>0</v>
      </c>
      <c r="O61" s="18"/>
      <c r="P61" s="53">
        <f t="shared" si="1"/>
        <v>0.43039134575569349</v>
      </c>
      <c r="Q61" s="50">
        <f t="shared" si="2"/>
        <v>700</v>
      </c>
      <c r="R61" s="50" cm="1">
        <f t="array" ref="R61">_xlfn.IFS(C61="Calandra",(350),C61="Peletização",(421),C61="Dublagem Spun",(250),C61="Dublagem Cretone PES",(180),C61="Felpagem",(270/E61),C61="Emborrachamento",(200),C61="Espelhamento",(250),C61="Malha",(1),C61="Dublagem Cretone",(180),C61="Malha",(1),C61="Dublagem Spun - MO",250,C61="Dublagem Cretone - MO",180,C61="Dublagem Cretone PES - MO",180,C61="Espelhamento - MO",250,C61="Emborrachamento",100,C61="Malha",0,C61="Dublagem Barreira",100,C61="Pel. + Cal.",350,C61="Fel. + Pel. + Cal.",270,C61="Pel. + Spun",250,C61="Espelhamento - L: 1,45m",200,C61="Espelhamento - L: 1,65m",200,C61="Estampagem",100,C61="Fel. + Cal.",270,C61="Dublagem Juta",180,C61="Dublagem Cretone - MO (Juta)",180,C61="Dublagem Tapete",150,C61="Esp. + Pel.",200,C61="Espelhamento 2x",100)</f>
        <v>200</v>
      </c>
      <c r="S61" s="50">
        <f t="shared" si="3"/>
        <v>398.72605797101454</v>
      </c>
      <c r="T61" s="18" cm="1">
        <f t="array" ref="T61">_xlfn.IFS(C61="Calandra",0.4,C61="Felpagem",0.3,C61="Dublagem Spun",0.8,C61="Dublagem Cretone",0.8,C61="Dublagem Cretone PES",0.8,C61="Espelhamento",0.8,C61="Peletização",0.5,C61="Dublagem Spun - MO",0.8,C61="Dublagem Cretone - MO",0.8,C61="Dublagem Cretone PES - MO",0.8,C61="Espelhamento - MO",0.8,C61="Emborrachamento",1,C61="Malha",0,C61="Dublagem Barreira",1,C61="Pel. + Cal.",0.4,C61="Fel. + Pel. + Cal.",0.5,C61="Pel. + Spun",0.8,C61="Espelhamento - L: 1,45m",0.8,C61="Espelhamento - L: 1,65m",0.8,C61="Estampagem",1,C61="Fel. + Cal.",0.4,C61="Dublagem Juta",0.8,C61="Dublagem Cretone - MO (Juta)",0.8,C61="Dublagem Tapete",0.8,C61="Esp. + Pel.",0.8,C61="Espelhamento 2x",0.8)</f>
        <v>0.8</v>
      </c>
      <c r="U61" s="18">
        <v>1</v>
      </c>
      <c r="V61" s="18">
        <v>1</v>
      </c>
      <c r="W61" s="18"/>
      <c r="X61" s="18">
        <v>39.67</v>
      </c>
      <c r="Y61" s="18">
        <v>38.51</v>
      </c>
      <c r="Z61" s="18">
        <v>116.78</v>
      </c>
      <c r="AA61" s="18"/>
    </row>
    <row r="62" spans="1:27" ht="13.5" customHeight="1" x14ac:dyDescent="0.35">
      <c r="A62" s="18"/>
      <c r="B62" s="22" t="s">
        <v>128</v>
      </c>
      <c r="C62" s="23" t="s">
        <v>106</v>
      </c>
      <c r="D62" s="23" t="s">
        <v>421</v>
      </c>
      <c r="E62" s="24">
        <v>1</v>
      </c>
      <c r="F62" s="25">
        <v>2.75</v>
      </c>
      <c r="G62" s="25">
        <f t="shared" si="23"/>
        <v>2.75</v>
      </c>
      <c r="H62" s="26" t="s">
        <v>243</v>
      </c>
      <c r="I62" s="27">
        <f t="shared" si="21"/>
        <v>2.75</v>
      </c>
      <c r="J62" s="28">
        <v>45663</v>
      </c>
      <c r="K62" s="29"/>
      <c r="L62" s="30">
        <f t="shared" si="22"/>
        <v>1.6914997101449274</v>
      </c>
      <c r="M62" s="30">
        <f>IF(B62="Texion Textil",0,IF(C62="Malha",'Custos insumos'!$B$24,IF(C62="Dublagem Cretone",'Custos insumos'!$D$7,IF(C62="Dublagem Spun",'Custos insumos'!$D$4,IF(C62="Espelhamento",'Custos insumos'!$B$11,IF(C62="Espelhamento 2x",2*'Custos insumos'!$B$11,IF(C62="Esp. + Pel.",'Custos insumos'!$B$11,IF(C62="Pel. + Spun",'Custos insumos'!$D$4,IF(C62="Dublagem Cretone PES",'Custos insumos'!$D$7,IF(C62="Dublagem Barreira",'Custos insumos'!$D$11,IF(C62="Dublagem - MO + Filme",'Custos insumos'!$D$4,IF(C62="Dublagem Cretone HM50",'Custos insumos'!$D$26,IF(C62="Dublagem Cretone HM70",'Custos insumos'!$F$10,)))))))))))))</f>
        <v>1.0585002898550726</v>
      </c>
      <c r="N62" s="30">
        <f>IF(B62="Texion Textil",0,IF(B62="Três Elos",0,IF(C62="Malha",0,IF(C62="Dublagem Cretone",'Custos insumos'!$D$23,IF(C62="Dublagem Spun",'Custos insumos'!$D$19,IF(C62="Espelhamento",0,IF(C62="Espelhamento 2x",0,IF(C62="Esp. + Pel.",0,IF(C62="Pel. + Spun",'Custos insumos'!$D$19,IF(C62="Dublagem Cretone PES",'Custos insumos'!$F$25,IF(C62="Dublagem Barreira",'Custos insumos'!$D$22,)))))))))))</f>
        <v>0</v>
      </c>
      <c r="O62" s="18"/>
      <c r="P62" s="53">
        <f t="shared" si="1"/>
        <v>0.34305298550724628</v>
      </c>
      <c r="Q62" s="50">
        <f t="shared" si="2"/>
        <v>687.5</v>
      </c>
      <c r="R62" s="50" cm="1">
        <f t="array" ref="R62">_xlfn.IFS(C62="Calandra",(350),C62="Peletização",(421),C62="Dublagem Spun",(250),C62="Dublagem Cretone PES",(180),C62="Felpagem",(270/E62),C62="Emborrachamento",(200),C62="Espelhamento",(250),C62="Malha",(1),C62="Dublagem Cretone",(180),C62="Malha",(1),C62="Dublagem Spun - MO",250,C62="Dublagem Cretone - MO",180,C62="Dublagem Cretone PES - MO",180,C62="Espelhamento - MO",250,C62="Emborrachamento",100,C62="Malha",0,C62="Dublagem Barreira",100,C62="Pel. + Cal.",350,C62="Fel. + Pel. + Cal.",270,C62="Pel. + Spun",250,C62="Espelhamento - L: 1,45m",200,C62="Espelhamento - L: 1,65m",200,C62="Estampagem",100,C62="Fel. + Cal.",270,C62="Dublagem Juta",180,C62="Dublagem Cretone - MO (Juta)",180,C62="Dublagem Tapete",150,C62="Esp. + Pel.",200,C62="Espelhamento 2x",100)</f>
        <v>250</v>
      </c>
      <c r="S62" s="50">
        <f t="shared" si="3"/>
        <v>451.65107246376817</v>
      </c>
      <c r="T62" s="18" cm="1">
        <f t="array" ref="T62">_xlfn.IFS(C62="Calandra",0.4,C62="Felpagem",0.3,C62="Dublagem Spun",0.8,C62="Dublagem Cretone",0.8,C62="Dublagem Cretone PES",0.8,C62="Espelhamento",0.8,C62="Peletização",0.5,C62="Dublagem Spun - MO",0.8,C62="Dublagem Cretone - MO",0.8,C62="Dublagem Cretone PES - MO",0.8,C62="Espelhamento - MO",0.8,C62="Emborrachamento",1,C62="Malha",0,C62="Dublagem Barreira",1,C62="Pel. + Cal.",0.4,C62="Fel. + Pel. + Cal.",0.5,C62="Pel. + Spun",0.8,C62="Espelhamento - L: 1,45m",0.8,C62="Espelhamento - L: 1,65m",0.8,C62="Estampagem",1,C62="Fel. + Cal.",0.4,C62="Dublagem Juta",0.8,C62="Dublagem Cretone - MO (Juta)",0.8,C62="Dublagem Tapete",0.8,C62="Esp. + Pel.",0.8,C62="Espelhamento 2x",0.8)</f>
        <v>0.8</v>
      </c>
      <c r="U62" s="18">
        <v>1</v>
      </c>
      <c r="V62" s="18">
        <v>1</v>
      </c>
      <c r="W62" s="18"/>
      <c r="X62" s="18">
        <v>39.67</v>
      </c>
      <c r="Y62" s="18">
        <v>38.51</v>
      </c>
      <c r="Z62" s="18">
        <v>116.78</v>
      </c>
      <c r="AA62" s="18"/>
    </row>
    <row r="63" spans="1:27" ht="14.25" customHeight="1" x14ac:dyDescent="0.35">
      <c r="A63" s="18"/>
      <c r="B63" s="22" t="s">
        <v>128</v>
      </c>
      <c r="C63" s="23" t="s">
        <v>290</v>
      </c>
      <c r="D63" s="23"/>
      <c r="E63" s="24">
        <v>1</v>
      </c>
      <c r="F63" s="25">
        <f>(2*1.17)+(2*1.15)+0.36</f>
        <v>5</v>
      </c>
      <c r="G63" s="25">
        <f t="shared" si="23"/>
        <v>5</v>
      </c>
      <c r="H63" s="26" t="s">
        <v>243</v>
      </c>
      <c r="I63" s="27">
        <f t="shared" si="21"/>
        <v>5</v>
      </c>
      <c r="J63" s="28">
        <v>45663</v>
      </c>
      <c r="K63" s="29"/>
      <c r="L63" s="30">
        <f t="shared" si="22"/>
        <v>2.8829994202898548</v>
      </c>
      <c r="M63" s="30">
        <f>IF(B63="Texion Textil",0,IF(C63="Malha",'Custos insumos'!$B$24,IF(C63="Dublagem Cretone",'Custos insumos'!$D$7,IF(C63="Dublagem Spun",'Custos insumos'!$D$4,IF(C63="Espelhamento",'Custos insumos'!$B$11,IF(C63="Espelhamento 2x",2*'Custos insumos'!$B$11,IF(C63="Esp. + Pel.",'Custos insumos'!$B$11,IF(C63="Pel. + Spun",'Custos insumos'!$D$4,IF(C63="Dublagem Cretone PES",'Custos insumos'!$D$7,IF(C63="Dublagem Barreira",'Custos insumos'!$D$11,IF(C63="Dublagem - MO + Filme",'Custos insumos'!$D$4,IF(C63="Dublagem Cretone HM50",'Custos insumos'!$D$26,IF(C63="Dublagem Cretone HM70",'Custos insumos'!$F$10,)))))))))))))</f>
        <v>2.1170005797101452</v>
      </c>
      <c r="N63" s="30">
        <f>IF(B63="Texion Textil",0,IF(B63="Três Elos",0,IF(C63="Malha",0,IF(C63="Dublagem Cretone",'Custos insumos'!$D$23,IF(C63="Dublagem Spun",'Custos insumos'!$D$19,IF(C63="Espelhamento",0,IF(C63="Espelhamento 2x",0,IF(C63="Esp. + Pel.",0,IF(C63="Pel. + Spun",'Custos insumos'!$D$19,IF(C63="Dublagem Cretone PES",'Custos insumos'!$F$25,IF(C63="Dublagem Barreira",'Custos insumos'!$D$22,)))))))))))</f>
        <v>0</v>
      </c>
      <c r="O63" s="18"/>
      <c r="P63" s="53">
        <f t="shared" si="1"/>
        <v>0.20254788405797092</v>
      </c>
      <c r="Q63" s="50">
        <f t="shared" si="2"/>
        <v>500</v>
      </c>
      <c r="R63" s="50" cm="1">
        <f t="array" ref="R63">_xlfn.IFS(C63="Calandra",(350),C63="Peletização",(421),C63="Dublagem Spun",(250),C63="Dublagem Cretone PES",(180),C63="Felpagem",(270/E63),C63="Emborrachamento",(200),C63="Espelhamento",(250),C63="Malha",(1),C63="Dublagem Cretone",(180),C63="Malha",(1),C63="Dublagem Spun - MO",250,C63="Dublagem Cretone - MO",180,C63="Dublagem Cretone PES - MO",180,C63="Espelhamento - MO",250,C63="Emborrachamento",100,C63="Malha",0,C63="Dublagem Barreira",100,C63="Pel. + Cal.",350,C63="Fel. + Pel. + Cal.",270,C63="Pel. + Spun",250,C63="Espelhamento - L: 1,45m",200,C63="Espelhamento - L: 1,65m",200,C63="Estampagem",100,C63="Fel. + Cal.",270,C63="Dublagem Juta",180,C63="Dublagem Cretone - MO (Juta)",180,C63="Dublagem Tapete",150,C63="Esp. + Pel.",200,C63="Espelhamento 2x",100)</f>
        <v>100</v>
      </c>
      <c r="S63" s="50">
        <f t="shared" si="3"/>
        <v>398.72605797101454</v>
      </c>
      <c r="T63" s="18" cm="1">
        <f t="array" ref="T63">_xlfn.IFS(C63="Calandra",0.4,C63="Felpagem",0.3,C63="Dublagem Spun",0.8,C63="Dublagem Cretone",0.8,C63="Dublagem Cretone PES",0.8,C63="Espelhamento",0.8,C63="Peletização",0.5,C63="Dublagem Spun - MO",0.8,C63="Dublagem Cretone - MO",0.8,C63="Dublagem Cretone PES - MO",0.8,C63="Espelhamento - MO",0.8,C63="Emborrachamento",1,C63="Malha",0,C63="Dublagem Barreira",1,C63="Pel. + Cal.",0.4,C63="Fel. + Pel. + Cal.",0.5,C63="Pel. + Spun",0.8,C63="Espelhamento - L: 1,45m",0.8,C63="Espelhamento - L: 1,65m",0.8,C63="Estampagem",1,C63="Fel. + Cal.",0.4,C63="Dublagem Juta",0.8,C63="Dublagem Cretone - MO (Juta)",0.8,C63="Dublagem Tapete",0.8,C63="Esp. + Pel.",0.8,C63="Espelhamento 2x",0.8)</f>
        <v>0.8</v>
      </c>
      <c r="U63" s="18">
        <v>1</v>
      </c>
      <c r="V63" s="18">
        <v>1</v>
      </c>
      <c r="W63" s="18"/>
      <c r="X63" s="18">
        <v>39.67</v>
      </c>
      <c r="Y63" s="18">
        <v>38.51</v>
      </c>
      <c r="Z63" s="18">
        <v>116.78</v>
      </c>
      <c r="AA63" s="18"/>
    </row>
    <row r="64" spans="1:27" ht="14.25" customHeight="1" x14ac:dyDescent="0.35">
      <c r="A64" s="18"/>
      <c r="B64" s="22" t="s">
        <v>128</v>
      </c>
      <c r="C64" s="23" t="s">
        <v>144</v>
      </c>
      <c r="D64" s="23"/>
      <c r="E64" s="24">
        <v>1</v>
      </c>
      <c r="F64" s="25">
        <v>0.65</v>
      </c>
      <c r="G64" s="25">
        <f t="shared" si="23"/>
        <v>0.65</v>
      </c>
      <c r="H64" s="26" t="s">
        <v>243</v>
      </c>
      <c r="I64" s="27">
        <f t="shared" si="21"/>
        <v>0.65</v>
      </c>
      <c r="J64" s="28">
        <v>45663</v>
      </c>
      <c r="K64" s="29"/>
      <c r="L64" s="30">
        <f t="shared" si="22"/>
        <v>0.65</v>
      </c>
      <c r="M64" s="30">
        <f>IF(B64="Texion Textil",0,IF(C64="Malha",'Custos insumos'!$B$24,IF(C64="Dublagem Cretone",'Custos insumos'!$D$7,IF(C64="Dublagem Spun",'Custos insumos'!$D$4,IF(C64="Espelhamento",'Custos insumos'!$B$11,IF(C64="Espelhamento 2x",2*'Custos insumos'!$B$11,IF(C64="Esp. + Pel.",'Custos insumos'!$B$11,IF(C64="Pel. + Spun",'Custos insumos'!$D$4,IF(C64="Dublagem Cretone PES",'Custos insumos'!$D$7,IF(C64="Dublagem Barreira",'Custos insumos'!$D$11,IF(C64="Dublagem - MO + Filme",'Custos insumos'!$D$4,IF(C64="Dublagem Cretone HM50",'Custos insumos'!$D$26,IF(C64="Dublagem Cretone HM70",'Custos insumos'!$F$10,)))))))))))))</f>
        <v>0</v>
      </c>
      <c r="N64" s="30">
        <f>IF(B64="Texion Textil",0,IF(B64="Três Elos",0,IF(C64="Malha",0,IF(C64="Dublagem Cretone",'Custos insumos'!$D$23,IF(C64="Dublagem Spun",'Custos insumos'!$D$19,IF(C64="Espelhamento",0,IF(C64="Espelhamento 2x",0,IF(C64="Esp. + Pel.",0,IF(C64="Pel. + Spun",'Custos insumos'!$D$19,IF(C64="Dublagem Cretone PES",'Custos insumos'!$F$25,IF(C64="Dublagem Barreira",'Custos insumos'!$D$22,)))))))))))</f>
        <v>0</v>
      </c>
      <c r="O64" s="18"/>
      <c r="P64" s="53">
        <f t="shared" si="1"/>
        <v>0.36004019733235892</v>
      </c>
      <c r="Q64" s="50">
        <f t="shared" si="2"/>
        <v>273.65000000000003</v>
      </c>
      <c r="R64" s="50" cm="1">
        <f t="array" ref="R64">_xlfn.IFS(C64="Calandra",(350),C64="Peletização",(421),C64="Dublagem Spun",(250),C64="Dublagem Cretone PES",(180),C64="Felpagem",(270/E64),C64="Emborrachamento",(200),C64="Espelhamento",(250),C64="Malha",(1),C64="Dublagem Cretone",(180),C64="Malha",(1),C64="Dublagem Spun - MO",250,C64="Dublagem Cretone - MO",180,C64="Dublagem Cretone PES - MO",180,C64="Espelhamento - MO",250,C64="Emborrachamento",100,C64="Malha",0,C64="Dublagem Barreira",100,C64="Pel. + Cal.",350,C64="Fel. + Pel. + Cal.",270,C64="Pel. + Spun",250,C64="Espelhamento - L: 1,45m",200,C64="Espelhamento - L: 1,65m",200,C64="Estampagem",100,C64="Fel. + Cal.",270,C64="Dublagem Juta",180,C64="Dublagem Cretone - MO (Juta)",180,C64="Dublagem Tapete",150,C64="Esp. + Pel.",200,C64="Espelhamento 2x",100)</f>
        <v>421</v>
      </c>
      <c r="S64" s="50">
        <f t="shared" si="3"/>
        <v>175.125</v>
      </c>
      <c r="T64" s="18" cm="1">
        <f t="array" ref="T64">_xlfn.IFS(C64="Calandra",0.4,C64="Felpagem",0.3,C64="Dublagem Spun",0.8,C64="Dublagem Cretone",0.8,C64="Dublagem Cretone PES",0.8,C64="Espelhamento",0.8,C64="Peletização",0.5,C64="Dublagem Spun - MO",0.8,C64="Dublagem Cretone - MO",0.8,C64="Dublagem Cretone PES - MO",0.8,C64="Espelhamento - MO",0.8,C64="Emborrachamento",1,C64="Malha",0,C64="Dublagem Barreira",1,C64="Pel. + Cal.",0.4,C64="Fel. + Pel. + Cal.",0.5,C64="Pel. + Spun",0.8,C64="Espelhamento - L: 1,45m",0.8,C64="Espelhamento - L: 1,65m",0.8,C64="Estampagem",1,C64="Fel. + Cal.",0.4,C64="Dublagem Juta",0.8,C64="Dublagem Cretone - MO (Juta)",0.8,C64="Dublagem Tapete",0.8,C64="Esp. + Pel.",0.8,C64="Espelhamento 2x",0.8)</f>
        <v>0.5</v>
      </c>
      <c r="U64" s="18">
        <v>1</v>
      </c>
      <c r="V64" s="18">
        <v>1</v>
      </c>
      <c r="W64" s="18"/>
      <c r="X64" s="18">
        <v>39.67</v>
      </c>
      <c r="Y64" s="18">
        <v>38.51</v>
      </c>
      <c r="Z64" s="18">
        <v>116.78</v>
      </c>
      <c r="AA64" s="18"/>
    </row>
    <row r="65" spans="1:27" ht="14.25" customHeight="1" x14ac:dyDescent="0.35">
      <c r="A65" s="18"/>
      <c r="B65" s="22" t="s">
        <v>128</v>
      </c>
      <c r="C65" s="23" t="s">
        <v>254</v>
      </c>
      <c r="D65" s="23" t="s">
        <v>268</v>
      </c>
      <c r="E65" s="24">
        <v>2</v>
      </c>
      <c r="F65" s="25">
        <v>1.25</v>
      </c>
      <c r="G65" s="25">
        <f t="shared" si="23"/>
        <v>1.25</v>
      </c>
      <c r="H65" s="26" t="s">
        <v>243</v>
      </c>
      <c r="I65" s="27">
        <f t="shared" si="21"/>
        <v>0.625</v>
      </c>
      <c r="J65" s="28">
        <v>45663</v>
      </c>
      <c r="K65" s="29"/>
      <c r="L65" s="30">
        <f t="shared" si="22"/>
        <v>1.25</v>
      </c>
      <c r="M65" s="30">
        <f>IF(B65="Texion Textil",0,IF(C65="Malha",'Custos insumos'!$B$24,IF(C65="Dublagem Cretone",'Custos insumos'!$D$7,IF(C65="Dublagem Spun",'Custos insumos'!$D$4,IF(C65="Espelhamento",'Custos insumos'!$B$11,IF(C65="Espelhamento 2x",2*'Custos insumos'!$B$11,IF(C65="Esp. + Pel.",'Custos insumos'!$B$11,IF(C65="Pel. + Spun",'Custos insumos'!$D$4,IF(C65="Dublagem Cretone PES",'Custos insumos'!$D$7,IF(C65="Dublagem Barreira",'Custos insumos'!$D$11,IF(C65="Dublagem - MO + Filme",'Custos insumos'!$D$4,IF(C65="Dublagem Cretone HM50",'Custos insumos'!$D$26,IF(C65="Dublagem Cretone HM70",'Custos insumos'!$F$10,)))))))))))))</f>
        <v>0</v>
      </c>
      <c r="N65" s="30">
        <f>IF(B65="Texion Textil",0,IF(B65="Três Elos",0,IF(C65="Malha",0,IF(C65="Dublagem Cretone",'Custos insumos'!$D$23,IF(C65="Dublagem Spun",'Custos insumos'!$D$19,IF(C65="Espelhamento",0,IF(C65="Espelhamento 2x",0,IF(C65="Esp. + Pel.",0,IF(C65="Pel. + Spun",'Custos insumos'!$D$19,IF(C65="Dublagem Cretone PES",'Custos insumos'!$F$25,IF(C65="Dublagem Barreira",'Custos insumos'!$D$22,)))))))))))</f>
        <v>0</v>
      </c>
      <c r="O65" s="18"/>
      <c r="P65" s="53">
        <f t="shared" si="1"/>
        <v>9.2385185185185036E-3</v>
      </c>
      <c r="Q65" s="50">
        <f t="shared" si="2"/>
        <v>168.75</v>
      </c>
      <c r="R65" s="50" cm="1">
        <f t="array" ref="R65">_xlfn.IFS(C65="Calandra",(350),C65="Peletização",(421),C65="Dublagem Spun",(250),C65="Dublagem Cretone PES",(180),C65="Felpagem",(270/E65),C65="Emborrachamento",(200),C65="Espelhamento",(250),C65="Malha",(1),C65="Dublagem Cretone",(180),C65="Malha",(1),C65="Dublagem Spun - MO",250,C65="Dublagem Cretone - MO",180,C65="Dublagem Cretone PES - MO",180,C65="Espelhamento - MO",250,C65="Emborrachamento",100,C65="Malha",0,C65="Dublagem Barreira",100,C65="Pel. + Cal.",350,C65="Fel. + Pel. + Cal.",270,C65="Pel. + Spun",250,C65="Espelhamento - L: 1,45m",200,C65="Espelhamento - L: 1,65m",200,C65="Estampagem",100,C65="Fel. + Cal.",270,C65="Dublagem Juta",180,C65="Dublagem Cretone - MO (Juta)",180,C65="Dublagem Tapete",150,C65="Esp. + Pel.",200,C65="Espelhamento 2x",100)</f>
        <v>135</v>
      </c>
      <c r="S65" s="50">
        <f t="shared" si="3"/>
        <v>167.191</v>
      </c>
      <c r="T65" s="18" cm="1">
        <f t="array" ref="T65">_xlfn.IFS(C65="Calandra",0.4,C65="Felpagem",0.3,C65="Dublagem Spun",0.8,C65="Dublagem Cretone",0.8,C65="Dublagem Cretone PES",0.8,C65="Espelhamento",0.8,C65="Peletização",0.5,C65="Dublagem Spun - MO",0.8,C65="Dublagem Cretone - MO",0.8,C65="Dublagem Cretone PES - MO",0.8,C65="Espelhamento - MO",0.8,C65="Emborrachamento",1,C65="Malha",0,C65="Dublagem Barreira",1,C65="Pel. + Cal.",0.4,C65="Fel. + Pel. + Cal.",0.5,C65="Pel. + Spun",0.8,C65="Espelhamento - L: 1,45m",0.8,C65="Espelhamento - L: 1,65m",0.8,C65="Estampagem",1,C65="Fel. + Cal.",0.4,C65="Dublagem Juta",0.8,C65="Dublagem Cretone - MO (Juta)",0.8,C65="Dublagem Tapete",0.8,C65="Esp. + Pel.",0.8,C65="Espelhamento 2x",0.8)</f>
        <v>0.3</v>
      </c>
      <c r="U65" s="18">
        <v>1</v>
      </c>
      <c r="V65" s="18">
        <v>1</v>
      </c>
      <c r="W65" s="18"/>
      <c r="X65" s="18">
        <v>39.67</v>
      </c>
      <c r="Y65" s="18">
        <v>38.51</v>
      </c>
      <c r="Z65" s="18">
        <v>116.78</v>
      </c>
      <c r="AA65" s="18"/>
    </row>
    <row r="66" spans="1:27" ht="14.25" customHeight="1" x14ac:dyDescent="0.35">
      <c r="A66" s="18"/>
      <c r="B66" s="22" t="s">
        <v>128</v>
      </c>
      <c r="C66" s="23" t="s">
        <v>254</v>
      </c>
      <c r="D66" s="23" t="s">
        <v>131</v>
      </c>
      <c r="E66" s="24">
        <v>1</v>
      </c>
      <c r="F66" s="25">
        <v>1.1499999999999999</v>
      </c>
      <c r="G66" s="25">
        <f t="shared" si="23"/>
        <v>1.1499999999999999</v>
      </c>
      <c r="H66" s="26" t="s">
        <v>243</v>
      </c>
      <c r="I66" s="27">
        <f t="shared" si="21"/>
        <v>1.1499999999999999</v>
      </c>
      <c r="J66" s="28">
        <v>45663</v>
      </c>
      <c r="K66" s="29"/>
      <c r="L66" s="30">
        <f t="shared" si="22"/>
        <v>1.1499999999999999</v>
      </c>
      <c r="M66" s="30">
        <f>IF(B66="Texion Textil",0,IF(C66="Malha",'Custos insumos'!$B$24,IF(C66="Dublagem Cretone",'Custos insumos'!$D$7,IF(C66="Dublagem Spun",'Custos insumos'!$D$4,IF(C66="Espelhamento",'Custos insumos'!$B$11,IF(C66="Espelhamento 2x",2*'Custos insumos'!$B$11,IF(C66="Esp. + Pel.",'Custos insumos'!$B$11,IF(C66="Pel. + Spun",'Custos insumos'!$D$4,IF(C66="Dublagem Cretone PES",'Custos insumos'!$D$7,IF(C66="Dublagem Barreira",'Custos insumos'!$D$11,IF(C66="Dublagem - MO + Filme",'Custos insumos'!$D$4,IF(C66="Dublagem Cretone HM50",'Custos insumos'!$D$26,IF(C66="Dublagem Cretone HM70",'Custos insumos'!$F$10,)))))))))))))</f>
        <v>0</v>
      </c>
      <c r="N66" s="30">
        <f>IF(B66="Texion Textil",0,IF(B66="Três Elos",0,IF(C66="Malha",0,IF(C66="Dublagem Cretone",'Custos insumos'!$D$23,IF(C66="Dublagem Spun",'Custos insumos'!$D$19,IF(C66="Espelhamento",0,IF(C66="Espelhamento 2x",0,IF(C66="Esp. + Pel.",0,IF(C66="Pel. + Spun",'Custos insumos'!$D$19,IF(C66="Dublagem Cretone PES",'Custos insumos'!$F$25,IF(C66="Dublagem Barreira",'Custos insumos'!$D$22,)))))))))))</f>
        <v>0</v>
      </c>
      <c r="O66" s="18"/>
      <c r="P66" s="53">
        <f t="shared" si="1"/>
        <v>0.46154267310789049</v>
      </c>
      <c r="Q66" s="50">
        <f t="shared" si="2"/>
        <v>310.5</v>
      </c>
      <c r="R66" s="50" cm="1">
        <f t="array" ref="R66">_xlfn.IFS(C66="Calandra",(350),C66="Peletização",(421),C66="Dublagem Spun",(250),C66="Dublagem Cretone PES",(180),C66="Felpagem",(270/E66),C66="Emborrachamento",(200),C66="Espelhamento",(250),C66="Malha",(1),C66="Dublagem Cretone",(180),C66="Malha",(1),C66="Dublagem Spun - MO",250,C66="Dublagem Cretone - MO",180,C66="Dublagem Cretone PES - MO",180,C66="Espelhamento - MO",250,C66="Emborrachamento",100,C66="Malha",0,C66="Dublagem Barreira",100,C66="Pel. + Cal.",350,C66="Fel. + Pel. + Cal.",270,C66="Pel. + Spun",250,C66="Espelhamento - L: 1,45m",200,C66="Espelhamento - L: 1,65m",200,C66="Estampagem",100,C66="Fel. + Cal.",270,C66="Dublagem Juta",180,C66="Dublagem Cretone - MO (Juta)",180,C66="Dublagem Tapete",150,C66="Esp. + Pel.",200,C66="Espelhamento 2x",100)</f>
        <v>270</v>
      </c>
      <c r="S66" s="50">
        <f t="shared" si="3"/>
        <v>167.191</v>
      </c>
      <c r="T66" s="18" cm="1">
        <f t="array" ref="T66">_xlfn.IFS(C66="Calandra",0.4,C66="Felpagem",0.3,C66="Dublagem Spun",0.8,C66="Dublagem Cretone",0.8,C66="Dublagem Cretone PES",0.8,C66="Espelhamento",0.8,C66="Peletização",0.5,C66="Dublagem Spun - MO",0.8,C66="Dublagem Cretone - MO",0.8,C66="Dublagem Cretone PES - MO",0.8,C66="Espelhamento - MO",0.8,C66="Emborrachamento",1,C66="Malha",0,C66="Dublagem Barreira",1,C66="Pel. + Cal.",0.4,C66="Fel. + Pel. + Cal.",0.5,C66="Pel. + Spun",0.8,C66="Espelhamento - L: 1,45m",0.8,C66="Espelhamento - L: 1,65m",0.8,C66="Estampagem",1,C66="Fel. + Cal.",0.4,C66="Dublagem Juta",0.8,C66="Dublagem Cretone - MO (Juta)",0.8,C66="Dublagem Tapete",0.8,C66="Esp. + Pel.",0.8,C66="Espelhamento 2x",0.8)</f>
        <v>0.3</v>
      </c>
      <c r="U66" s="18">
        <v>1</v>
      </c>
      <c r="V66" s="18">
        <v>1</v>
      </c>
      <c r="W66" s="18"/>
      <c r="X66" s="18">
        <v>39.67</v>
      </c>
      <c r="Y66" s="18">
        <v>38.51</v>
      </c>
      <c r="Z66" s="18">
        <v>116.78</v>
      </c>
      <c r="AA66" s="18"/>
    </row>
    <row r="67" spans="1:27" ht="14.25" customHeight="1" x14ac:dyDescent="0.35">
      <c r="A67" s="18"/>
      <c r="B67" s="22" t="s">
        <v>128</v>
      </c>
      <c r="C67" s="23" t="s">
        <v>254</v>
      </c>
      <c r="D67" s="23" t="s">
        <v>134</v>
      </c>
      <c r="E67" s="24">
        <v>3</v>
      </c>
      <c r="F67" s="25">
        <v>2.15</v>
      </c>
      <c r="G67" s="25">
        <f t="shared" si="23"/>
        <v>2.15</v>
      </c>
      <c r="H67" s="26" t="s">
        <v>243</v>
      </c>
      <c r="I67" s="27">
        <f t="shared" si="21"/>
        <v>0.71666666666666667</v>
      </c>
      <c r="J67" s="28">
        <v>45663</v>
      </c>
      <c r="K67" s="29"/>
      <c r="L67" s="30">
        <f t="shared" si="22"/>
        <v>2.15</v>
      </c>
      <c r="M67" s="30">
        <f>IF(B67="Texion Textil",0,IF(C67="Malha",'Custos insumos'!$B$24,IF(C67="Dublagem Cretone",'Custos insumos'!$D$7,IF(C67="Dublagem Spun",'Custos insumos'!$D$4,IF(C67="Espelhamento",'Custos insumos'!$B$11,IF(C67="Espelhamento 2x",2*'Custos insumos'!$B$11,IF(C67="Esp. + Pel.",'Custos insumos'!$B$11,IF(C67="Pel. + Spun",'Custos insumos'!$D$4,IF(C67="Dublagem Cretone PES",'Custos insumos'!$D$7,IF(C67="Dublagem Barreira",'Custos insumos'!$D$11,IF(C67="Dublagem - MO + Filme",'Custos insumos'!$D$4,IF(C67="Dublagem Cretone HM50",'Custos insumos'!$D$26,IF(C67="Dublagem Cretone HM70",'Custos insumos'!$F$10,)))))))))))))</f>
        <v>0</v>
      </c>
      <c r="N67" s="30">
        <f>IF(B67="Texion Textil",0,IF(B67="Três Elos",0,IF(C67="Malha",0,IF(C67="Dublagem Cretone",'Custos insumos'!$D$23,IF(C67="Dublagem Spun",'Custos insumos'!$D$19,IF(C67="Espelhamento",0,IF(C67="Espelhamento 2x",0,IF(C67="Esp. + Pel.",0,IF(C67="Pel. + Spun",'Custos insumos'!$D$19,IF(C67="Dublagem Cretone PES",'Custos insumos'!$F$25,IF(C67="Dublagem Barreira",'Custos insumos'!$D$22,)))))))))))</f>
        <v>0</v>
      </c>
      <c r="O67" s="18"/>
      <c r="P67" s="53">
        <f t="shared" si="1"/>
        <v>0.13596382428940568</v>
      </c>
      <c r="Q67" s="50">
        <f t="shared" si="2"/>
        <v>193.5</v>
      </c>
      <c r="R67" s="50" cm="1">
        <f t="array" ref="R67">_xlfn.IFS(C67="Calandra",(350),C67="Peletização",(421),C67="Dublagem Spun",(250),C67="Dublagem Cretone PES",(180),C67="Felpagem",(270/E67),C67="Emborrachamento",(200),C67="Espelhamento",(250),C67="Malha",(1),C67="Dublagem Cretone",(180),C67="Malha",(1),C67="Dublagem Spun - MO",250,C67="Dublagem Cretone - MO",180,C67="Dublagem Cretone PES - MO",180,C67="Espelhamento - MO",250,C67="Emborrachamento",100,C67="Malha",0,C67="Dublagem Barreira",100,C67="Pel. + Cal.",350,C67="Fel. + Pel. + Cal.",270,C67="Pel. + Spun",250,C67="Espelhamento - L: 1,45m",200,C67="Espelhamento - L: 1,65m",200,C67="Estampagem",100,C67="Fel. + Cal.",270,C67="Dublagem Juta",180,C67="Dublagem Cretone - MO (Juta)",180,C67="Dublagem Tapete",150,C67="Esp. + Pel.",200,C67="Espelhamento 2x",100)</f>
        <v>90</v>
      </c>
      <c r="S67" s="50">
        <f t="shared" si="3"/>
        <v>167.191</v>
      </c>
      <c r="T67" s="18" cm="1">
        <f t="array" ref="T67">_xlfn.IFS(C67="Calandra",0.4,C67="Felpagem",0.3,C67="Dublagem Spun",0.8,C67="Dublagem Cretone",0.8,C67="Dublagem Cretone PES",0.8,C67="Espelhamento",0.8,C67="Peletização",0.5,C67="Dublagem Spun - MO",0.8,C67="Dublagem Cretone - MO",0.8,C67="Dublagem Cretone PES - MO",0.8,C67="Espelhamento - MO",0.8,C67="Emborrachamento",1,C67="Malha",0,C67="Dublagem Barreira",1,C67="Pel. + Cal.",0.4,C67="Fel. + Pel. + Cal.",0.5,C67="Pel. + Spun",0.8,C67="Espelhamento - L: 1,45m",0.8,C67="Espelhamento - L: 1,65m",0.8,C67="Estampagem",1,C67="Fel. + Cal.",0.4,C67="Dublagem Juta",0.8,C67="Dublagem Cretone - MO (Juta)",0.8,C67="Dublagem Tapete",0.8,C67="Esp. + Pel.",0.8,C67="Espelhamento 2x",0.8)</f>
        <v>0.3</v>
      </c>
      <c r="U67" s="18">
        <v>1</v>
      </c>
      <c r="V67" s="18">
        <v>1</v>
      </c>
      <c r="W67" s="18"/>
      <c r="X67" s="18">
        <v>39.67</v>
      </c>
      <c r="Y67" s="18">
        <v>38.51</v>
      </c>
      <c r="Z67" s="18">
        <v>116.78</v>
      </c>
      <c r="AA67" s="18"/>
    </row>
    <row r="68" spans="1:27" ht="14.25" customHeight="1" x14ac:dyDescent="0.35">
      <c r="A68" s="18"/>
      <c r="B68" s="22" t="s">
        <v>128</v>
      </c>
      <c r="C68" s="23" t="s">
        <v>68</v>
      </c>
      <c r="D68" s="23"/>
      <c r="E68" s="24">
        <v>1</v>
      </c>
      <c r="F68" s="25">
        <v>20.9</v>
      </c>
      <c r="G68" s="25">
        <v>22.9</v>
      </c>
      <c r="H68" s="26" t="s">
        <v>246</v>
      </c>
      <c r="I68" s="27">
        <f t="shared" si="21"/>
        <v>22.9</v>
      </c>
      <c r="J68" s="28">
        <v>45663</v>
      </c>
      <c r="K68" s="29"/>
      <c r="L68" s="30">
        <f t="shared" si="22"/>
        <v>10.399999999999999</v>
      </c>
      <c r="M68" s="30">
        <f>IF(B68="Texion Textil",0,IF(C68="Malha",'Custos insumos'!$B$24,IF(C68="Dublagem Cretone",'Custos insumos'!$D$7,IF(C68="Dublagem Spun",'Custos insumos'!$D$4,IF(C68="Espelhamento",'Custos insumos'!$B$11,IF(C68="Espelhamento 2x",2*'Custos insumos'!$B$11,IF(C68="Esp. + Pel.",'Custos insumos'!$B$11,IF(C68="Pel. + Spun",'Custos insumos'!$D$4,IF(C68="Dublagem Cretone PES",'Custos insumos'!$D$7,IF(C68="Dublagem Barreira",'Custos insumos'!$D$11,IF(C68="Dublagem - MO + Filme",'Custos insumos'!$D$4,IF(C68="Dublagem Cretone HM50",'Custos insumos'!$D$26,IF(C68="Dublagem Cretone HM70",'Custos insumos'!$F$10,)))))))))))))</f>
        <v>12.5</v>
      </c>
      <c r="N68" s="30">
        <f>IF(B68="Texion Textil",0,IF(B68="Três Elos",0,IF(C68="Malha",0,IF(C68="Dublagem Cretone",'Custos insumos'!$D$23,IF(C68="Dublagem Spun",'Custos insumos'!$D$19,IF(C68="Espelhamento",0,IF(C68="Espelhamento 2x",0,IF(C68="Esp. + Pel.",0,IF(C68="Pel. + Spun",'Custos insumos'!$D$19,IF(C68="Dublagem Cretone PES",'Custos insumos'!$F$25,IF(C68="Dublagem Barreira",'Custos insumos'!$D$22,)))))))))))</f>
        <v>0</v>
      </c>
      <c r="O68" s="18"/>
      <c r="P68" s="53">
        <f t="shared" si="1"/>
        <v>-6.32707423580786</v>
      </c>
      <c r="Q68" s="50">
        <f t="shared" si="2"/>
        <v>22.9</v>
      </c>
      <c r="R68" s="50" cm="1">
        <f t="array" ref="R68">_xlfn.IFS(C68="Calandra",(350),C68="Peletização",(421),C68="Dublagem Spun",(250),C68="Dublagem Cretone PES",(180),C68="Felpagem",(270/E68),C68="Emborrachamento",(200),C68="Espelhamento",(250),C68="Malha",(1),C68="Dublagem Cretone",(180),C68="Malha",(1),C68="Dublagem Spun - MO",250,C68="Dublagem Cretone - MO",180,C68="Dublagem Cretone PES - MO",180,C68="Espelhamento - MO",250,C68="Emborrachamento",100,C68="Malha",0,C68="Dublagem Barreira",100,C68="Pel. + Cal.",350,C68="Fel. + Pel. + Cal.",270,C68="Pel. + Spun",250,C68="Espelhamento - L: 1,45m",200,C68="Espelhamento - L: 1,65m",200,C68="Estampagem",100,C68="Fel. + Cal.",270,C68="Dublagem Juta",180,C68="Dublagem Cretone - MO (Juta)",180,C68="Dublagem Tapete",150,C68="Esp. + Pel.",200,C68="Espelhamento 2x",100)</f>
        <v>1</v>
      </c>
      <c r="S68" s="50">
        <f t="shared" si="3"/>
        <v>167.79</v>
      </c>
      <c r="T68" s="18" cm="1">
        <f t="array" ref="T68">_xlfn.IFS(C68="Calandra",0.4,C68="Felpagem",0.3,C68="Dublagem Spun",0.8,C68="Dublagem Cretone",0.8,C68="Dublagem Cretone PES",0.8,C68="Espelhamento",0.8,C68="Peletização",0.5,C68="Dublagem Spun - MO",0.8,C68="Dublagem Cretone - MO",0.8,C68="Dublagem Cretone PES - MO",0.8,C68="Espelhamento - MO",0.8,C68="Emborrachamento",1,C68="Malha",0,C68="Dublagem Barreira",1,C68="Pel. + Cal.",0.4,C68="Fel. + Pel. + Cal.",0.5,C68="Pel. + Spun",0.8,C68="Espelhamento - L: 1,45m",0.8,C68="Espelhamento - L: 1,65m",0.8,C68="Estampagem",1,C68="Fel. + Cal.",0.4,C68="Dublagem Juta",0.8,C68="Dublagem Cretone - MO (Juta)",0.8,C68="Dublagem Tapete",0.8,C68="Esp. + Pel.",0.8,C68="Espelhamento 2x",0.8)</f>
        <v>0</v>
      </c>
      <c r="U68" s="18">
        <v>1</v>
      </c>
      <c r="V68" s="18">
        <v>1</v>
      </c>
      <c r="W68" s="18"/>
      <c r="X68" s="18">
        <v>39.67</v>
      </c>
      <c r="Y68" s="18">
        <v>38.51</v>
      </c>
      <c r="Z68" s="18">
        <v>116.78</v>
      </c>
      <c r="AA68" s="18"/>
    </row>
    <row r="69" spans="1:27" ht="14.25" customHeight="1" x14ac:dyDescent="0.35">
      <c r="A69" s="18"/>
      <c r="B69" s="22" t="s">
        <v>135</v>
      </c>
      <c r="C69" s="23" t="s">
        <v>254</v>
      </c>
      <c r="D69" s="23"/>
      <c r="E69" s="24">
        <v>1</v>
      </c>
      <c r="F69" s="25">
        <v>2.39</v>
      </c>
      <c r="G69" s="25">
        <f t="shared" ref="G69:G85" si="24">F69</f>
        <v>2.39</v>
      </c>
      <c r="H69" s="26" t="s">
        <v>243</v>
      </c>
      <c r="I69" s="27">
        <f t="shared" si="21"/>
        <v>2.39</v>
      </c>
      <c r="J69" s="28">
        <v>45663</v>
      </c>
      <c r="K69" s="29"/>
      <c r="L69" s="30">
        <f t="shared" si="22"/>
        <v>2.39</v>
      </c>
      <c r="M69" s="30">
        <f>IF(B69="Texion Textil",0,IF(C69="Malha",'Custos insumos'!$B$24,IF(C69="Dublagem Cretone",'Custos insumos'!$D$7,IF(C69="Dublagem Spun",'Custos insumos'!$D$4,IF(C69="Espelhamento",'Custos insumos'!$B$11,IF(C69="Espelhamento 2x",2*'Custos insumos'!$B$11,IF(C69="Esp. + Pel.",'Custos insumos'!$B$11,IF(C69="Pel. + Spun",'Custos insumos'!$D$4,IF(C69="Dublagem Cretone PES",'Custos insumos'!$D$7,IF(C69="Dublagem Barreira",'Custos insumos'!$D$11,IF(C69="Dublagem - MO + Filme",'Custos insumos'!$D$4,IF(C69="Dublagem Cretone HM50",'Custos insumos'!$D$26,IF(C69="Dublagem Cretone HM70",'Custos insumos'!$F$10,)))))))))))))</f>
        <v>0</v>
      </c>
      <c r="N69" s="30">
        <f>IF(B69="Texion Textil",0,IF(B69="Três Elos",0,IF(C69="Malha",0,IF(C69="Dublagem Cretone",'Custos insumos'!$D$23,IF(C69="Dublagem Spun",'Custos insumos'!$D$19,IF(C69="Espelhamento",0,IF(C69="Espelhamento 2x",0,IF(C69="Esp. + Pel.",0,IF(C69="Pel. + Spun",'Custos insumos'!$D$19,IF(C69="Dublagem Cretone PES",'Custos insumos'!$F$25,IF(C69="Dublagem Barreira",'Custos insumos'!$D$22,)))))))))))</f>
        <v>0</v>
      </c>
      <c r="O69" s="18"/>
      <c r="P69" s="53">
        <f t="shared" si="1"/>
        <v>0.74090965442429879</v>
      </c>
      <c r="Q69" s="50">
        <f t="shared" si="2"/>
        <v>645.30000000000007</v>
      </c>
      <c r="R69" s="50" cm="1">
        <f t="array" ref="R69">_xlfn.IFS(C69="Calandra",(350),C69="Peletização",(421),C69="Dublagem Spun",(250),C69="Dublagem Cretone PES",(180),C69="Felpagem",(270/E69),C69="Emborrachamento",(200),C69="Espelhamento",(250),C69="Malha",(1),C69="Dublagem Cretone",(180),C69="Malha",(1),C69="Dublagem Spun - MO",250,C69="Dublagem Cretone - MO",180,C69="Dublagem Cretone PES - MO",180,C69="Espelhamento - MO",250,C69="Emborrachamento",100,C69="Malha",0,C69="Dublagem Barreira",100,C69="Pel. + Cal.",350,C69="Fel. + Pel. + Cal.",270,C69="Pel. + Spun",250,C69="Espelhamento - L: 1,45m",200,C69="Espelhamento - L: 1,65m",200,C69="Estampagem",100,C69="Fel. + Cal.",270,C69="Dublagem Juta",180,C69="Dublagem Cretone - MO (Juta)",180,C69="Dublagem Tapete",150,C69="Esp. + Pel.",200,C69="Espelhamento 2x",100)</f>
        <v>270</v>
      </c>
      <c r="S69" s="50">
        <f t="shared" si="3"/>
        <v>167.191</v>
      </c>
      <c r="T69" s="18" cm="1">
        <f t="array" ref="T69">_xlfn.IFS(C69="Calandra",0.4,C69="Felpagem",0.3,C69="Dublagem Spun",0.8,C69="Dublagem Cretone",0.8,C69="Dublagem Cretone PES",0.8,C69="Espelhamento",0.8,C69="Peletização",0.5,C69="Dublagem Spun - MO",0.8,C69="Dublagem Cretone - MO",0.8,C69="Dublagem Cretone PES - MO",0.8,C69="Espelhamento - MO",0.8,C69="Emborrachamento",1,C69="Malha",0,C69="Dublagem Barreira",1,C69="Pel. + Cal.",0.4,C69="Fel. + Pel. + Cal.",0.5,C69="Pel. + Spun",0.8,C69="Espelhamento - L: 1,45m",0.8,C69="Espelhamento - L: 1,65m",0.8,C69="Estampagem",1,C69="Fel. + Cal.",0.4,C69="Dublagem Juta",0.8,C69="Dublagem Cretone - MO (Juta)",0.8,C69="Dublagem Tapete",0.8,C69="Esp. + Pel.",0.8,C69="Espelhamento 2x",0.8)</f>
        <v>0.3</v>
      </c>
      <c r="U69" s="18">
        <v>1</v>
      </c>
      <c r="V69" s="18">
        <v>1</v>
      </c>
      <c r="W69" s="18"/>
      <c r="X69" s="18">
        <v>39.67</v>
      </c>
      <c r="Y69" s="18">
        <v>38.51</v>
      </c>
      <c r="Z69" s="18">
        <v>116.78</v>
      </c>
      <c r="AA69" s="18"/>
    </row>
    <row r="70" spans="1:27" ht="14.25" customHeight="1" x14ac:dyDescent="0.35">
      <c r="A70" s="18"/>
      <c r="B70" s="22" t="s">
        <v>136</v>
      </c>
      <c r="C70" s="23" t="s">
        <v>144</v>
      </c>
      <c r="D70" s="23"/>
      <c r="E70" s="24">
        <v>1</v>
      </c>
      <c r="F70" s="25">
        <v>0.6</v>
      </c>
      <c r="G70" s="25">
        <f t="shared" si="24"/>
        <v>0.6</v>
      </c>
      <c r="H70" s="26" t="s">
        <v>243</v>
      </c>
      <c r="I70" s="27">
        <f t="shared" si="21"/>
        <v>0.6</v>
      </c>
      <c r="J70" s="28">
        <v>45663</v>
      </c>
      <c r="K70" s="29"/>
      <c r="L70" s="30">
        <f t="shared" si="22"/>
        <v>0.6</v>
      </c>
      <c r="M70" s="30">
        <f>IF(B70="Texion Textil",0,IF(C70="Malha",'Custos insumos'!$B$24,IF(C70="Dublagem Cretone",'Custos insumos'!$D$7,IF(C70="Dublagem Spun",'Custos insumos'!$D$4,IF(C70="Espelhamento",'Custos insumos'!$B$11,IF(C70="Espelhamento 2x",2*'Custos insumos'!$B$11,IF(C70="Esp. + Pel.",'Custos insumos'!$B$11,IF(C70="Pel. + Spun",'Custos insumos'!$D$4,IF(C70="Dublagem Cretone PES",'Custos insumos'!$D$7,IF(C70="Dublagem Barreira",'Custos insumos'!$D$11,IF(C70="Dublagem - MO + Filme",'Custos insumos'!$D$4,IF(C70="Dublagem Cretone HM50",'Custos insumos'!$D$26,IF(C70="Dublagem Cretone HM70",'Custos insumos'!$F$10,)))))))))))))</f>
        <v>0</v>
      </c>
      <c r="N70" s="30">
        <f>IF(B70="Texion Textil",0,IF(B70="Três Elos",0,IF(C70="Malha",0,IF(C70="Dublagem Cretone",'Custos insumos'!$D$23,IF(C70="Dublagem Spun",'Custos insumos'!$D$19,IF(C70="Espelhamento",0,IF(C70="Espelhamento 2x",0,IF(C70="Esp. + Pel.",0,IF(C70="Pel. + Spun",'Custos insumos'!$D$19,IF(C70="Dublagem Cretone PES",'Custos insumos'!$F$25,IF(C70="Dublagem Barreira",'Custos insumos'!$D$22,)))))))))))</f>
        <v>0</v>
      </c>
      <c r="O70" s="18"/>
      <c r="P70" s="53">
        <f t="shared" si="1"/>
        <v>0.30671021377672208</v>
      </c>
      <c r="Q70" s="50">
        <f t="shared" si="2"/>
        <v>252.6</v>
      </c>
      <c r="R70" s="50" cm="1">
        <f t="array" ref="R70">_xlfn.IFS(C70="Calandra",(350),C70="Peletização",(421),C70="Dublagem Spun",(250),C70="Dublagem Cretone PES",(180),C70="Felpagem",(270/E70),C70="Emborrachamento",(200),C70="Espelhamento",(250),C70="Malha",(1),C70="Dublagem Cretone",(180),C70="Malha",(1),C70="Dublagem Spun - MO",250,C70="Dublagem Cretone - MO",180,C70="Dublagem Cretone PES - MO",180,C70="Espelhamento - MO",250,C70="Emborrachamento",100,C70="Malha",0,C70="Dublagem Barreira",100,C70="Pel. + Cal.",350,C70="Fel. + Pel. + Cal.",270,C70="Pel. + Spun",250,C70="Espelhamento - L: 1,45m",200,C70="Espelhamento - L: 1,65m",200,C70="Estampagem",100,C70="Fel. + Cal.",270,C70="Dublagem Juta",180,C70="Dublagem Cretone - MO (Juta)",180,C70="Dublagem Tapete",150,C70="Esp. + Pel.",200,C70="Espelhamento 2x",100)</f>
        <v>421</v>
      </c>
      <c r="S70" s="50">
        <f t="shared" si="3"/>
        <v>175.125</v>
      </c>
      <c r="T70" s="18" cm="1">
        <f t="array" ref="T70">_xlfn.IFS(C70="Calandra",0.4,C70="Felpagem",0.3,C70="Dublagem Spun",0.8,C70="Dublagem Cretone",0.8,C70="Dublagem Cretone PES",0.8,C70="Espelhamento",0.8,C70="Peletização",0.5,C70="Dublagem Spun - MO",0.8,C70="Dublagem Cretone - MO",0.8,C70="Dublagem Cretone PES - MO",0.8,C70="Espelhamento - MO",0.8,C70="Emborrachamento",1,C70="Malha",0,C70="Dublagem Barreira",1,C70="Pel. + Cal.",0.4,C70="Fel. + Pel. + Cal.",0.5,C70="Pel. + Spun",0.8,C70="Espelhamento - L: 1,45m",0.8,C70="Espelhamento - L: 1,65m",0.8,C70="Estampagem",1,C70="Fel. + Cal.",0.4,C70="Dublagem Juta",0.8,C70="Dublagem Cretone - MO (Juta)",0.8,C70="Dublagem Tapete",0.8,C70="Esp. + Pel.",0.8,C70="Espelhamento 2x",0.8)</f>
        <v>0.5</v>
      </c>
      <c r="U70" s="18">
        <v>1</v>
      </c>
      <c r="V70" s="18">
        <v>1</v>
      </c>
      <c r="W70" s="18"/>
      <c r="X70" s="18">
        <v>39.67</v>
      </c>
      <c r="Y70" s="18">
        <v>38.51</v>
      </c>
      <c r="Z70" s="18">
        <v>116.78</v>
      </c>
      <c r="AA70" s="18"/>
    </row>
    <row r="71" spans="1:27" ht="14.25" customHeight="1" x14ac:dyDescent="0.35">
      <c r="A71" s="18"/>
      <c r="B71" s="22" t="s">
        <v>137</v>
      </c>
      <c r="C71" s="23" t="s">
        <v>142</v>
      </c>
      <c r="D71" s="23"/>
      <c r="E71" s="24">
        <v>1</v>
      </c>
      <c r="F71" s="25">
        <v>0.65</v>
      </c>
      <c r="G71" s="25">
        <f t="shared" si="24"/>
        <v>0.65</v>
      </c>
      <c r="H71" s="26" t="s">
        <v>243</v>
      </c>
      <c r="I71" s="27">
        <f t="shared" si="21"/>
        <v>0.65</v>
      </c>
      <c r="J71" s="28">
        <v>45663</v>
      </c>
      <c r="K71" s="29"/>
      <c r="L71" s="30">
        <f t="shared" si="22"/>
        <v>0.65</v>
      </c>
      <c r="M71" s="30">
        <f>IF(B71="Texion Textil",0,IF(C71="Malha",'Custos insumos'!$B$24,IF(C71="Dublagem Cretone",'Custos insumos'!$D$7,IF(C71="Dublagem Spun",'Custos insumos'!$D$4,IF(C71="Espelhamento",'Custos insumos'!$B$11,IF(C71="Espelhamento 2x",2*'Custos insumos'!$B$11,IF(C71="Esp. + Pel.",'Custos insumos'!$B$11,IF(C71="Pel. + Spun",'Custos insumos'!$D$4,IF(C71="Dublagem Cretone PES",'Custos insumos'!$D$7,IF(C71="Dublagem Barreira",'Custos insumos'!$D$11,IF(C71="Dublagem - MO + Filme",'Custos insumos'!$D$4,IF(C71="Dublagem Cretone HM50",'Custos insumos'!$D$26,IF(C71="Dublagem Cretone HM70",'Custos insumos'!$F$10,)))))))))))))</f>
        <v>0</v>
      </c>
      <c r="N71" s="30">
        <f>IF(B71="Texion Textil",0,IF(B71="Três Elos",0,IF(C71="Malha",0,IF(C71="Dublagem Cretone",'Custos insumos'!$D$23,IF(C71="Dublagem Spun",'Custos insumos'!$D$19,IF(C71="Espelhamento",0,IF(C71="Espelhamento 2x",0,IF(C71="Esp. + Pel.",0,IF(C71="Pel. + Spun",'Custos insumos'!$D$19,IF(C71="Dublagem Cretone PES",'Custos insumos'!$F$25,IF(C71="Dublagem Barreira",'Custos insumos'!$D$22,)))))))))))</f>
        <v>0</v>
      </c>
      <c r="O71" s="18"/>
      <c r="P71" s="53">
        <f t="shared" si="1"/>
        <v>0.2476571428571428</v>
      </c>
      <c r="Q71" s="50">
        <f t="shared" si="2"/>
        <v>227.5</v>
      </c>
      <c r="R71" s="50" cm="1">
        <f t="array" ref="R71">_xlfn.IFS(C71="Calandra",(350),C71="Peletização",(421),C71="Dublagem Spun",(250),C71="Dublagem Cretone PES",(180),C71="Felpagem",(270/E71),C71="Emborrachamento",(200),C71="Espelhamento",(250),C71="Malha",(1),C71="Dublagem Cretone",(180),C71="Malha",(1),C71="Dublagem Spun - MO",250,C71="Dublagem Cretone - MO",180,C71="Dublagem Cretone PES - MO",180,C71="Espelhamento - MO",250,C71="Emborrachamento",100,C71="Malha",0,C71="Dublagem Barreira",100,C71="Pel. + Cal.",350,C71="Fel. + Pel. + Cal.",270,C71="Pel. + Spun",250,C71="Espelhamento - L: 1,45m",200,C71="Espelhamento - L: 1,65m",200,C71="Estampagem",100,C71="Fel. + Cal.",270,C71="Dublagem Juta",180,C71="Dublagem Cretone - MO (Juta)",180,C71="Dublagem Tapete",150,C71="Esp. + Pel.",200,C71="Espelhamento 2x",100)</f>
        <v>350</v>
      </c>
      <c r="S71" s="50">
        <f t="shared" si="3"/>
        <v>171.15800000000002</v>
      </c>
      <c r="T71" s="18" cm="1">
        <f t="array" ref="T71">_xlfn.IFS(C71="Calandra",0.4,C71="Felpagem",0.3,C71="Dublagem Spun",0.8,C71="Dublagem Cretone",0.8,C71="Dublagem Cretone PES",0.8,C71="Espelhamento",0.8,C71="Peletização",0.5,C71="Dublagem Spun - MO",0.8,C71="Dublagem Cretone - MO",0.8,C71="Dublagem Cretone PES - MO",0.8,C71="Espelhamento - MO",0.8,C71="Emborrachamento",1,C71="Malha",0,C71="Dublagem Barreira",1,C71="Pel. + Cal.",0.4,C71="Fel. + Pel. + Cal.",0.5,C71="Pel. + Spun",0.8,C71="Espelhamento - L: 1,45m",0.8,C71="Espelhamento - L: 1,65m",0.8,C71="Estampagem",1,C71="Fel. + Cal.",0.4,C71="Dublagem Juta",0.8,C71="Dublagem Cretone - MO (Juta)",0.8,C71="Dublagem Tapete",0.8,C71="Esp. + Pel.",0.8,C71="Espelhamento 2x",0.8)</f>
        <v>0.4</v>
      </c>
      <c r="U71" s="18">
        <v>1</v>
      </c>
      <c r="V71" s="18">
        <v>1</v>
      </c>
      <c r="W71" s="18"/>
      <c r="X71" s="18">
        <v>39.67</v>
      </c>
      <c r="Y71" s="18">
        <v>38.51</v>
      </c>
      <c r="Z71" s="18">
        <v>116.78</v>
      </c>
      <c r="AA71" s="18"/>
    </row>
    <row r="72" spans="1:27" ht="14.25" customHeight="1" x14ac:dyDescent="0.35">
      <c r="A72" s="18"/>
      <c r="B72" s="22" t="s">
        <v>137</v>
      </c>
      <c r="C72" s="23" t="s">
        <v>144</v>
      </c>
      <c r="D72" s="23"/>
      <c r="E72" s="24">
        <v>1</v>
      </c>
      <c r="F72" s="25">
        <v>0.6</v>
      </c>
      <c r="G72" s="25">
        <f t="shared" si="24"/>
        <v>0.6</v>
      </c>
      <c r="H72" s="26" t="s">
        <v>243</v>
      </c>
      <c r="I72" s="66">
        <f t="shared" si="21"/>
        <v>0.6</v>
      </c>
      <c r="J72" s="28">
        <v>45663</v>
      </c>
      <c r="K72" s="29"/>
      <c r="L72" s="30">
        <f t="shared" si="22"/>
        <v>0.6</v>
      </c>
      <c r="M72" s="30">
        <f>IF(B72="Texion Textil",0,IF(C72="Malha",'Custos insumos'!$B$24,IF(C72="Dublagem Cretone",'Custos insumos'!$D$7,IF(C72="Dublagem Spun",'Custos insumos'!$D$4,IF(C72="Espelhamento",'Custos insumos'!$B$11,IF(C72="Espelhamento 2x",2*'Custos insumos'!$B$11,IF(C72="Esp. + Pel.",'Custos insumos'!$B$11,IF(C72="Pel. + Spun",'Custos insumos'!$D$4,IF(C72="Dublagem Cretone PES",'Custos insumos'!$D$7,IF(C72="Dublagem Barreira",'Custos insumos'!$D$11,IF(C72="Dublagem - MO + Filme",'Custos insumos'!$D$4,IF(C72="Dublagem Cretone HM50",'Custos insumos'!$D$26,IF(C72="Dublagem Cretone HM70",'Custos insumos'!$F$10,)))))))))))))</f>
        <v>0</v>
      </c>
      <c r="N72" s="30"/>
      <c r="O72" s="18"/>
      <c r="P72" s="53">
        <f t="shared" si="1"/>
        <v>0.30671021377672208</v>
      </c>
      <c r="Q72" s="50">
        <f t="shared" si="2"/>
        <v>252.6</v>
      </c>
      <c r="R72" s="50" cm="1">
        <f t="array" ref="R72">_xlfn.IFS(C72="Calandra",(350),C72="Peletização",(421),C72="Dublagem Spun",(250),C72="Dublagem Cretone PES",(180),C72="Felpagem",(270/E72),C72="Emborrachamento",(200),C72="Espelhamento",(250),C72="Malha",(1),C72="Dublagem Cretone",(180),C72="Malha",(1),C72="Dublagem Spun - MO",250,C72="Dublagem Cretone - MO",180,C72="Dublagem Cretone PES - MO",180,C72="Espelhamento - MO",250,C72="Emborrachamento",100,C72="Malha",0,C72="Dublagem Barreira",100,C72="Pel. + Cal.",350,C72="Fel. + Pel. + Cal.",270,C72="Pel. + Spun",250,C72="Espelhamento - L: 1,45m",200,C72="Espelhamento - L: 1,65m",200,C72="Estampagem",100,C72="Fel. + Cal.",270,C72="Dublagem Juta",180,C72="Dublagem Cretone - MO (Juta)",180,C72="Dublagem Tapete",150,C72="Esp. + Pel.",200,C72="Espelhamento 2x",100)</f>
        <v>421</v>
      </c>
      <c r="S72" s="50">
        <f t="shared" si="3"/>
        <v>175.125</v>
      </c>
      <c r="T72" s="18" cm="1">
        <f t="array" ref="T72">_xlfn.IFS(C72="Calandra",0.4,C72="Felpagem",0.3,C72="Dublagem Spun",0.8,C72="Dublagem Cretone",0.8,C72="Dublagem Cretone PES",0.8,C72="Espelhamento",0.8,C72="Peletização",0.5,C72="Dublagem Spun - MO",0.8,C72="Dublagem Cretone - MO",0.8,C72="Dublagem Cretone PES - MO",0.8,C72="Espelhamento - MO",0.8,C72="Emborrachamento",1,C72="Malha",0,C72="Dublagem Barreira",1,C72="Pel. + Cal.",0.4,C72="Fel. + Pel. + Cal.",0.5,C72="Pel. + Spun",0.8,C72="Espelhamento - L: 1,45m",0.8,C72="Espelhamento - L: 1,65m",0.8,C72="Estampagem",1,C72="Fel. + Cal.",0.4,C72="Dublagem Juta",0.8,C72="Dublagem Cretone - MO (Juta)",0.8,C72="Dublagem Tapete",0.8,C72="Esp. + Pel.",0.8,C72="Espelhamento 2x",0.8)</f>
        <v>0.5</v>
      </c>
      <c r="U72" s="18">
        <v>1</v>
      </c>
      <c r="V72" s="18">
        <v>1</v>
      </c>
      <c r="W72" s="18"/>
      <c r="X72" s="18">
        <v>39.67</v>
      </c>
      <c r="Y72" s="18">
        <v>38.51</v>
      </c>
      <c r="Z72" s="18">
        <v>116.78</v>
      </c>
      <c r="AA72" s="18"/>
    </row>
    <row r="73" spans="1:27" ht="14.25" customHeight="1" x14ac:dyDescent="0.35">
      <c r="A73" s="18"/>
      <c r="B73" s="22" t="s">
        <v>138</v>
      </c>
      <c r="C73" s="23" t="s">
        <v>254</v>
      </c>
      <c r="D73" s="23"/>
      <c r="E73" s="24">
        <v>1</v>
      </c>
      <c r="F73" s="25">
        <v>0.4</v>
      </c>
      <c r="G73" s="25">
        <f t="shared" si="24"/>
        <v>0.4</v>
      </c>
      <c r="H73" s="26" t="s">
        <v>243</v>
      </c>
      <c r="I73" s="27">
        <f t="shared" si="21"/>
        <v>0.4</v>
      </c>
      <c r="J73" s="28">
        <v>45663</v>
      </c>
      <c r="K73" s="29"/>
      <c r="L73" s="30">
        <f t="shared" si="22"/>
        <v>0.4</v>
      </c>
      <c r="M73" s="30">
        <f>IF(B73="Texion Textil",0,IF(C73="Malha",'Custos insumos'!$B$24,IF(C73="Dublagem Cretone",'Custos insumos'!$D$7,IF(C73="Dublagem Spun",'Custos insumos'!$D$4,IF(C73="Espelhamento",'Custos insumos'!$B$11,IF(C73="Espelhamento 2x",2*'Custos insumos'!$B$11,IF(C73="Esp. + Pel.",'Custos insumos'!$B$11,IF(C73="Pel. + Spun",'Custos insumos'!$D$4,IF(C73="Dublagem Cretone PES",'Custos insumos'!$D$7,IF(C73="Dublagem Barreira",'Custos insumos'!$D$11,IF(C73="Dublagem - MO + Filme",'Custos insumos'!$D$4,IF(C73="Dublagem Cretone HM50",'Custos insumos'!$D$26,IF(C73="Dublagem Cretone HM70",'Custos insumos'!$F$10,)))))))))))))</f>
        <v>0</v>
      </c>
      <c r="N73" s="30">
        <f>IF(B73="Texion Textil",0,IF(B73="Três Elos",0,IF(C73="Malha",0,IF(C73="Dublagem Cretone",'Custos insumos'!$D$23,IF(C73="Dublagem Spun",'Custos insumos'!$D$16,IF(C73="Espelhamento",0,IF(C73="Espelhamento 2x",0,IF(C73="Esp. + Pel.",0,IF(C73="Pel. + Spun",'Custos insumos'!$D$16,IF(C73="Dublagem Cretone PES",'Custos insumos'!$F$25,IF(C73="Dublagem Barreira",'Custos insumos'!$D$22,)))))))))))</f>
        <v>0</v>
      </c>
      <c r="O73" s="18"/>
      <c r="P73" s="53">
        <f t="shared" si="1"/>
        <v>-0.54806481481481484</v>
      </c>
      <c r="Q73" s="50">
        <f t="shared" si="2"/>
        <v>108</v>
      </c>
      <c r="R73" s="50" cm="1">
        <f t="array" ref="R73">_xlfn.IFS(C73="Calandra",(350),C73="Peletização",(421),C73="Dublagem Spun",(250),C73="Dublagem Cretone PES",(180),C73="Felpagem",(270/E73),C73="Emborrachamento",(200),C73="Espelhamento",(250),C73="Malha",(1),C73="Dublagem Cretone",(180),C73="Malha",(1),C73="Dublagem Spun - MO",250,C73="Dublagem Cretone - MO",180,C73="Dublagem Cretone PES - MO",180,C73="Espelhamento - MO",250,C73="Emborrachamento",100,C73="Malha",0,C73="Dublagem Barreira",100,C73="Pel. + Cal.",350,C73="Fel. + Pel. + Cal.",270,C73="Pel. + Spun",250,C73="Espelhamento - L: 1,45m",200,C73="Espelhamento - L: 1,65m",200,C73="Estampagem",100,C73="Fel. + Cal.",270,C73="Dublagem Juta",180,C73="Dublagem Cretone - MO (Juta)",180,C73="Dublagem Tapete",150,C73="Esp. + Pel.",200,C73="Espelhamento 2x",100)</f>
        <v>270</v>
      </c>
      <c r="S73" s="50">
        <f t="shared" si="3"/>
        <v>167.191</v>
      </c>
      <c r="T73" s="18" cm="1">
        <f t="array" ref="T73">_xlfn.IFS(C73="Calandra",0.4,C73="Felpagem",0.3,C73="Dublagem Spun",0.8,C73="Dublagem Cretone",0.8,C73="Dublagem Cretone PES",0.8,C73="Espelhamento",0.8,C73="Peletização",0.5,C73="Dublagem Spun - MO",0.8,C73="Dublagem Cretone - MO",0.8,C73="Dublagem Cretone PES - MO",0.8,C73="Espelhamento - MO",0.8,C73="Emborrachamento",1,C73="Malha",0,C73="Dublagem Barreira",1,C73="Pel. + Cal.",0.4,C73="Fel. + Pel. + Cal.",0.5,C73="Pel. + Spun",0.8,C73="Espelhamento - L: 1,45m",0.8,C73="Espelhamento - L: 1,65m",0.8,C73="Estampagem",1,C73="Fel. + Cal.",0.4,C73="Dublagem Juta",0.8,C73="Dublagem Cretone - MO (Juta)",0.8,C73="Dublagem Tapete",0.8,C73="Esp. + Pel.",0.8,C73="Espelhamento 2x",0.8)</f>
        <v>0.3</v>
      </c>
      <c r="U73" s="18">
        <v>1</v>
      </c>
      <c r="V73" s="18">
        <v>1</v>
      </c>
      <c r="W73" s="18"/>
      <c r="X73" s="18">
        <v>39.67</v>
      </c>
      <c r="Y73" s="18">
        <v>38.51</v>
      </c>
      <c r="Z73" s="18">
        <v>116.78</v>
      </c>
      <c r="AA73" s="18"/>
    </row>
    <row r="74" spans="1:27" ht="14.25" customHeight="1" x14ac:dyDescent="0.35">
      <c r="A74" s="18"/>
      <c r="B74" s="22" t="s">
        <v>138</v>
      </c>
      <c r="C74" s="23" t="s">
        <v>249</v>
      </c>
      <c r="D74" s="23"/>
      <c r="E74" s="24">
        <v>1</v>
      </c>
      <c r="F74" s="25">
        <v>6.1</v>
      </c>
      <c r="G74" s="25">
        <f t="shared" si="24"/>
        <v>6.1</v>
      </c>
      <c r="H74" s="26" t="s">
        <v>243</v>
      </c>
      <c r="I74" s="27">
        <f t="shared" si="21"/>
        <v>6.1</v>
      </c>
      <c r="J74" s="28">
        <v>45663</v>
      </c>
      <c r="K74" s="29" t="s">
        <v>248</v>
      </c>
      <c r="L74" s="30">
        <f t="shared" si="22"/>
        <v>4.25908</v>
      </c>
      <c r="M74" s="30">
        <f>IF(B74="Texion Textil",0,IF(C74="Malha",'Custos insumos'!$B$24,IF(C74="Dublagem Cretone",'Custos insumos'!$D$7,IF(C74="Dublagem Spun",'Custos insumos'!$D$4,IF(C74="Espelhamento",'Custos insumos'!$B$11,IF(C74="Espelhamento 2x",2*'Custos insumos'!$B$11,IF(C74="Esp. + Pel.",'Custos insumos'!$B$11,IF(C74="Pel. + Spun",'Custos insumos'!$D$4,IF(C74="Dublagem Cretone PES",'Custos insumos'!$D$7,IF(C74="Dublagem Barreira",'Custos insumos'!$D$11,IF(C74="Dublagem - MO + Filme",'Custos insumos'!$D$4,IF(C74="Dublagem Cretone HM50",'Custos insumos'!$D$26,IF(C74="Dublagem Cretone HM70",'Custos insumos'!$F$10,)))))))))))))</f>
        <v>1.1232</v>
      </c>
      <c r="N74" s="30">
        <f>IF(B74="Texion Textil",0,IF(B74="Três Elos",0,IF(C74="Malha",0,IF(C74="Dublagem Cretone",'Custos insumos'!$D$23,IF(C74="Dublagem Spun",'Custos insumos'!$D$16,IF(C74="Espelhamento",0,IF(C74="Espelhamento 2x",0,IF(C74="Esp. + Pel.",0,IF(C74="Pel. + Spun",'Custos insumos'!$D$16,IF(C74="Dublagem Cretone PES",'Custos insumos'!$F$25,IF(C74="Dublagem Barreira",'Custos insumos'!$D$22,)))))))))))</f>
        <v>0.71771999999999991</v>
      </c>
      <c r="O74" s="18"/>
      <c r="P74" s="53">
        <f t="shared" si="1"/>
        <v>0.57556983606557377</v>
      </c>
      <c r="Q74" s="50">
        <f t="shared" si="2"/>
        <v>1525</v>
      </c>
      <c r="R74" s="50" cm="1">
        <f t="array" ref="R74">_xlfn.IFS(C74="Calandra",(350),C74="Peletização",(421),C74="Dublagem Spun",(250),C74="Dublagem Cretone PES",(180),C74="Felpagem",(270/E74),C74="Emborrachamento",(200),C74="Espelhamento",(250),C74="Malha",(1),C74="Dublagem Cretone",(180),C74="Malha",(1),C74="Dublagem Spun - MO",250,C74="Dublagem Cretone - MO",180,C74="Dublagem Cretone PES - MO",180,C74="Espelhamento - MO",250,C74="Emborrachamento",100,C74="Malha",0,C74="Dublagem Barreira",100,C74="Pel. + Cal.",350,C74="Fel. + Pel. + Cal.",270,C74="Pel. + Spun",250,C74="Espelhamento - L: 1,45m",200,C74="Espelhamento - L: 1,65m",200,C74="Estampagem",100,C74="Fel. + Cal.",270,C74="Dublagem Juta",180,C74="Dublagem Cretone - MO (Juta)",180,C74="Dublagem Tapete",150,C74="Esp. + Pel.",200,C74="Espelhamento 2x",100)</f>
        <v>250</v>
      </c>
      <c r="S74" s="50">
        <f t="shared" ref="S74:S93" si="25">(T74*X74)+(U74*Y74)+(V74*Z74)+((M74+N74)*(R74))</f>
        <v>647.25599999999997</v>
      </c>
      <c r="T74" s="18" cm="1">
        <f t="array" ref="T74">_xlfn.IFS(C74="Calandra",0.4,C74="Felpagem",0.3,C74="Dublagem Spun",0.8,C74="Dublagem Cretone",0.8,C74="Dublagem Cretone PES",0.8,C74="Espelhamento",0.8,C74="Peletização",0.5,C74="Dublagem Spun - MO",0.8,C74="Dublagem Cretone - MO",0.8,C74="Dublagem Cretone PES - MO",0.8,C74="Espelhamento - MO",0.8,C74="Emborrachamento",1,C74="Malha",0,C74="Dublagem Barreira",1,C74="Pel. + Cal.",0.4,C74="Fel. + Pel. + Cal.",0.5,C74="Pel. + Spun",0.8,C74="Espelhamento - L: 1,45m",0.8,C74="Espelhamento - L: 1,65m",0.8,C74="Estampagem",1,C74="Fel. + Cal.",0.4,C74="Dublagem Juta",0.8,C74="Dublagem Cretone - MO (Juta)",0.8,C74="Dublagem Tapete",0.8,C74="Esp. + Pel.",0.8,C74="Espelhamento 2x",0.8)</f>
        <v>0.8</v>
      </c>
      <c r="U74" s="18">
        <v>1</v>
      </c>
      <c r="V74" s="18">
        <v>1</v>
      </c>
      <c r="W74" s="18"/>
      <c r="X74" s="18">
        <v>39.67</v>
      </c>
      <c r="Y74" s="18">
        <v>38.51</v>
      </c>
      <c r="Z74" s="18">
        <v>116.78</v>
      </c>
      <c r="AA74" s="18"/>
    </row>
    <row r="75" spans="1:27" ht="14.25" customHeight="1" x14ac:dyDescent="0.35">
      <c r="A75" s="18"/>
      <c r="B75" s="22" t="s">
        <v>138</v>
      </c>
      <c r="C75" s="23" t="s">
        <v>142</v>
      </c>
      <c r="D75" s="23"/>
      <c r="E75" s="24">
        <v>2</v>
      </c>
      <c r="F75" s="25">
        <v>0.65</v>
      </c>
      <c r="G75" s="25">
        <f t="shared" si="24"/>
        <v>0.65</v>
      </c>
      <c r="H75" s="26" t="s">
        <v>243</v>
      </c>
      <c r="I75" s="27">
        <f t="shared" si="21"/>
        <v>0.32500000000000001</v>
      </c>
      <c r="J75" s="28">
        <v>45663</v>
      </c>
      <c r="K75" s="29"/>
      <c r="L75" s="30">
        <f t="shared" si="22"/>
        <v>0.65</v>
      </c>
      <c r="M75" s="30">
        <f>IF(B75="Texion Textil",0,IF(C75="Malha",'Custos insumos'!$B$24,IF(C75="Dublagem Cretone",'Custos insumos'!$D$7,IF(C75="Dublagem Spun",'Custos insumos'!$D$4,IF(C75="Espelhamento",'Custos insumos'!$B$11,IF(C75="Espelhamento 2x",2*'Custos insumos'!$B$11,IF(C75="Esp. + Pel.",'Custos insumos'!$B$11,IF(C75="Pel. + Spun",'Custos insumos'!$D$4,IF(C75="Dublagem Cretone PES",'Custos insumos'!$D$7,IF(C75="Dublagem Barreira",'Custos insumos'!$D$11,IF(C75="Dublagem - MO + Filme",'Custos insumos'!$D$4,IF(C75="Dublagem Cretone HM50",'Custos insumos'!$D$26,IF(C75="Dublagem Cretone HM70",'Custos insumos'!$F$10,)))))))))))))</f>
        <v>0</v>
      </c>
      <c r="N75" s="30">
        <f>IF(B75="Texion Textil",0,IF(B75="Três Elos",0,IF(C75="Malha",0,IF(C75="Dublagem Cretone",'Custos insumos'!$D$23,IF(C75="Dublagem Spun",'Custos insumos'!$D$16,IF(C75="Espelhamento",0,IF(C75="Espelhamento 2x",0,IF(C75="Esp. + Pel.",0,IF(C75="Pel. + Spun",'Custos insumos'!$D$16,IF(C75="Dublagem Cretone PES",'Custos insumos'!$F$25,IF(C75="Dublagem Barreira",'Custos insumos'!$D$22,)))))))))))</f>
        <v>0</v>
      </c>
      <c r="O75" s="18"/>
      <c r="P75" s="53">
        <f t="shared" si="1"/>
        <v>0.2476571428571428</v>
      </c>
      <c r="Q75" s="50">
        <f t="shared" si="2"/>
        <v>227.5</v>
      </c>
      <c r="R75" s="50" cm="1">
        <f t="array" ref="R75">_xlfn.IFS(C75="Calandra",(350),C75="Peletização",(421),C75="Dublagem Spun",(250),C75="Dublagem Cretone PES",(180),C75="Felpagem",(270/E75),C75="Emborrachamento",(200),C75="Espelhamento",(250),C75="Malha",(1),C75="Dublagem Cretone",(180),C75="Malha",(1),C75="Dublagem Spun - MO",250,C75="Dublagem Cretone - MO",180,C75="Dublagem Cretone PES - MO",180,C75="Espelhamento - MO",250,C75="Emborrachamento",100,C75="Malha",0,C75="Dublagem Barreira",100,C75="Pel. + Cal.",350,C75="Fel. + Pel. + Cal.",270,C75="Pel. + Spun",250,C75="Espelhamento - L: 1,45m",200,C75="Espelhamento - L: 1,65m",200,C75="Estampagem",100,C75="Fel. + Cal.",270,C75="Dublagem Juta",180,C75="Dublagem Cretone - MO (Juta)",180,C75="Dublagem Tapete",150,C75="Esp. + Pel.",200,C75="Espelhamento 2x",100)</f>
        <v>350</v>
      </c>
      <c r="S75" s="50">
        <f t="shared" si="25"/>
        <v>171.15800000000002</v>
      </c>
      <c r="T75" s="18" cm="1">
        <f t="array" ref="T75">_xlfn.IFS(C75="Calandra",0.4,C75="Felpagem",0.3,C75="Dublagem Spun",0.8,C75="Dublagem Cretone",0.8,C75="Dublagem Cretone PES",0.8,C75="Espelhamento",0.8,C75="Peletização",0.5,C75="Dublagem Spun - MO",0.8,C75="Dublagem Cretone - MO",0.8,C75="Dublagem Cretone PES - MO",0.8,C75="Espelhamento - MO",0.8,C75="Emborrachamento",1,C75="Malha",0,C75="Dublagem Barreira",1,C75="Pel. + Cal.",0.4,C75="Fel. + Pel. + Cal.",0.5,C75="Pel. + Spun",0.8,C75="Espelhamento - L: 1,45m",0.8,C75="Espelhamento - L: 1,65m",0.8,C75="Estampagem",1,C75="Fel. + Cal.",0.4,C75="Dublagem Juta",0.8,C75="Dublagem Cretone - MO (Juta)",0.8,C75="Dublagem Tapete",0.8,C75="Esp. + Pel.",0.8,C75="Espelhamento 2x",0.8)</f>
        <v>0.4</v>
      </c>
      <c r="U75" s="18">
        <v>1</v>
      </c>
      <c r="V75" s="18">
        <v>1</v>
      </c>
      <c r="W75" s="18"/>
      <c r="X75" s="18">
        <v>39.67</v>
      </c>
      <c r="Y75" s="18">
        <v>38.51</v>
      </c>
      <c r="Z75" s="18">
        <v>116.78</v>
      </c>
      <c r="AA75" s="18"/>
    </row>
    <row r="76" spans="1:27" ht="14.25" customHeight="1" x14ac:dyDescent="0.35">
      <c r="A76" s="18"/>
      <c r="B76" s="22" t="s">
        <v>143</v>
      </c>
      <c r="C76" s="23" t="s">
        <v>251</v>
      </c>
      <c r="D76" s="23" t="s">
        <v>361</v>
      </c>
      <c r="E76" s="24">
        <v>1</v>
      </c>
      <c r="F76" s="25">
        <v>7.1</v>
      </c>
      <c r="G76" s="25">
        <f t="shared" si="24"/>
        <v>7.1</v>
      </c>
      <c r="H76" s="26" t="s">
        <v>243</v>
      </c>
      <c r="I76" s="27">
        <f t="shared" si="21"/>
        <v>7.1</v>
      </c>
      <c r="J76" s="28">
        <v>45663</v>
      </c>
      <c r="K76" s="29"/>
      <c r="L76" s="30">
        <f t="shared" si="22"/>
        <v>2.5400000000000005</v>
      </c>
      <c r="M76" s="30">
        <f>'Custos insumos'!F9</f>
        <v>2.2319999999999998</v>
      </c>
      <c r="N76" s="30">
        <f>'Custos insumos'!D23</f>
        <v>2.3279999999999998</v>
      </c>
      <c r="O76" s="18"/>
      <c r="P76" s="53">
        <f t="shared" si="1"/>
        <v>0.2114037558685446</v>
      </c>
      <c r="Q76" s="50">
        <f t="shared" si="2"/>
        <v>1278</v>
      </c>
      <c r="R76" s="50" cm="1">
        <f t="array" ref="R76">_xlfn.IFS(C76="Calandra",(350),C76="Peletização",(421),C76="Dublagem Spun",(250),C76="Dublagem Cretone PES",(180),C76="Felpagem",(270/E76),C76="Emborrachamento",(200),C76="Espelhamento",(250),C76="Malha",(1),C76="Dublagem Cretone",(180),C76="Malha",(1),C76="Dublagem Spun - MO",250,C76="Dublagem Cretone - MO",180,C76="Dublagem Cretone PES - MO",180,C76="Espelhamento - MO",250,C76="Emborrachamento",100,C76="Malha",0,C76="Dublagem Barreira",100,C76="Pel. + Cal.",350,C76="Fel. + Pel. + Cal.",270,C76="Pel. + Spun",250,C76="Espelhamento - L: 1,45m",200,C76="Espelhamento - L: 1,65m",200,C76="Estampagem",100,C76="Fel. + Cal.",270,C76="Dublagem Juta",180,C76="Dublagem Cretone - MO (Juta)",180,C76="Dublagem Tapete",150,C76="Esp. + Pel.",200,C76="Espelhamento 2x",100)</f>
        <v>180</v>
      </c>
      <c r="S76" s="50">
        <f t="shared" si="25"/>
        <v>1007.826</v>
      </c>
      <c r="T76" s="18" cm="1">
        <f t="array" ref="T76">_xlfn.IFS(C76="Calandra",0.4,C76="Felpagem",0.3,C76="Dublagem Spun",0.8,C76="Dublagem Cretone",0.8,C76="Dublagem Cretone PES",0.8,C76="Espelhamento",0.8,C76="Peletização",0.5,C76="Dublagem Spun - MO",0.8,C76="Dublagem Cretone - MO",0.8,C76="Dublagem Cretone PES - MO",0.8,C76="Espelhamento - MO",0.8,C76="Emborrachamento",1,C76="Malha",0,C76="Dublagem Barreira",1,C76="Pel. + Cal.",0.4,C76="Fel. + Pel. + Cal.",0.5,C76="Pel. + Spun",0.8,C76="Espelhamento - L: 1,45m",0.8,C76="Espelhamento - L: 1,65m",0.8,C76="Estampagem",1,C76="Fel. + Cal.",0.4,C76="Dublagem Juta",0.8,C76="Dublagem Cretone - MO (Juta)",0.8,C76="Dublagem Tapete",0.8,C76="Esp. + Pel.",0.8,C76="Espelhamento 2x",0.8)</f>
        <v>0.8</v>
      </c>
      <c r="U76" s="18">
        <v>1</v>
      </c>
      <c r="V76" s="18">
        <v>1</v>
      </c>
      <c r="W76" s="18"/>
      <c r="X76" s="18">
        <v>39.67</v>
      </c>
      <c r="Y76" s="18">
        <v>38.51</v>
      </c>
      <c r="Z76" s="18">
        <v>116.78</v>
      </c>
      <c r="AA76" s="18"/>
    </row>
    <row r="77" spans="1:27" ht="14.25" customHeight="1" x14ac:dyDescent="0.35">
      <c r="A77" s="18"/>
      <c r="B77" s="22" t="s">
        <v>143</v>
      </c>
      <c r="C77" s="23" t="s">
        <v>251</v>
      </c>
      <c r="D77" s="23" t="s">
        <v>362</v>
      </c>
      <c r="E77" s="24">
        <v>1</v>
      </c>
      <c r="F77" s="25">
        <v>6.1</v>
      </c>
      <c r="G77" s="25">
        <f t="shared" si="24"/>
        <v>6.1</v>
      </c>
      <c r="H77" s="26" t="s">
        <v>243</v>
      </c>
      <c r="I77" s="27">
        <f t="shared" si="21"/>
        <v>6.1</v>
      </c>
      <c r="J77" s="28">
        <v>45663</v>
      </c>
      <c r="K77" s="29"/>
      <c r="L77" s="30">
        <f t="shared" si="22"/>
        <v>1.81</v>
      </c>
      <c r="M77" s="30">
        <f>IF(B77="Texion Textil",0,IF(C77="Malha",'Custos insumos'!$B$24,IF(C77="Dublagem Cretone",'Custos insumos'!$D$7,IF(C77="Dublagem Spun",'Custos insumos'!$D$4,IF(C77="Espelhamento",'Custos insumos'!$B$11,IF(C77="Espelhamento 2x",2*'Custos insumos'!$B$11,IF(C77="Esp. + Pel.",'Custos insumos'!$B$11,IF(C77="Pel. + Spun",'Custos insumos'!$D$4,IF(C77="Dublagem Cretone PES",'Custos insumos'!$D$7,IF(C77="Dublagem Barreira",'Custos insumos'!$D$11,IF(C77="Dublagem - MO + Filme",'Custos insumos'!$D$4,IF(C77="Dublagem Cretone HM50",'Custos insumos'!$D$26,IF(C77="Dublagem Cretone HM70",'Custos insumos'!$F$10,)))))))))))))</f>
        <v>1.962</v>
      </c>
      <c r="N77" s="30">
        <f>IF(B77="Texion Textil",0,IF(B77="Três Elos",0,IF(C77="Malha",0,IF(C77="Dublagem Cretone",'Custos insumos'!$D$23,IF(C77="Dublagem Spun",'Custos insumos'!$D$16,IF(C77="Espelhamento",0,IF(C77="Espelhamento 2x",0,IF(C77="Esp. + Pel.",0,IF(C77="Pel. + Spun",'Custos insumos'!$D$16,IF(C77="Dublagem Cretone PES",'Custos insumos'!$F$25,IF(C77="Dublagem Barreira",'Custos insumos'!$D$22,)))))))))))</f>
        <v>2.3279999999999998</v>
      </c>
      <c r="O77" s="18"/>
      <c r="P77" s="53">
        <f t="shared" si="1"/>
        <v>0.12638797814207639</v>
      </c>
      <c r="Q77" s="50">
        <f t="shared" si="2"/>
        <v>1098</v>
      </c>
      <c r="R77" s="50" cm="1">
        <f t="array" ref="R77">_xlfn.IFS(C77="Calandra",(350),C77="Peletização",(421),C77="Dublagem Spun",(250),C77="Dublagem Cretone PES",(180),C77="Felpagem",(270/E77),C77="Emborrachamento",(200),C77="Espelhamento",(250),C77="Malha",(1),C77="Dublagem Cretone",(180),C77="Malha",(1),C77="Dublagem Spun - MO",250,C77="Dublagem Cretone - MO",180,C77="Dublagem Cretone PES - MO",180,C77="Espelhamento - MO",250,C77="Emborrachamento",100,C77="Malha",0,C77="Dublagem Barreira",100,C77="Pel. + Cal.",350,C77="Fel. + Pel. + Cal.",270,C77="Pel. + Spun",250,C77="Espelhamento - L: 1,45m",200,C77="Espelhamento - L: 1,65m",200,C77="Estampagem",100,C77="Fel. + Cal.",270,C77="Dublagem Juta",180,C77="Dublagem Cretone - MO (Juta)",180,C77="Dublagem Tapete",150,C77="Esp. + Pel.",200,C77="Espelhamento 2x",100)</f>
        <v>180</v>
      </c>
      <c r="S77" s="50">
        <f t="shared" si="25"/>
        <v>959.22600000000011</v>
      </c>
      <c r="T77" s="18" cm="1">
        <f t="array" ref="T77">_xlfn.IFS(C77="Calandra",0.4,C77="Felpagem",0.3,C77="Dublagem Spun",0.8,C77="Dublagem Cretone",0.8,C77="Dublagem Cretone PES",0.8,C77="Espelhamento",0.8,C77="Peletização",0.5,C77="Dublagem Spun - MO",0.8,C77="Dublagem Cretone - MO",0.8,C77="Dublagem Cretone PES - MO",0.8,C77="Espelhamento - MO",0.8,C77="Emborrachamento",1,C77="Malha",0,C77="Dublagem Barreira",1,C77="Pel. + Cal.",0.4,C77="Fel. + Pel. + Cal.",0.5,C77="Pel. + Spun",0.8,C77="Espelhamento - L: 1,45m",0.8,C77="Espelhamento - L: 1,65m",0.8,C77="Estampagem",1,C77="Fel. + Cal.",0.4,C77="Dublagem Juta",0.8,C77="Dublagem Cretone - MO (Juta)",0.8,C77="Dublagem Tapete",0.8,C77="Esp. + Pel.",0.8,C77="Espelhamento 2x",0.8)</f>
        <v>0.8</v>
      </c>
      <c r="U77" s="18">
        <v>1</v>
      </c>
      <c r="V77" s="18">
        <v>1</v>
      </c>
      <c r="W77" s="18"/>
      <c r="X77" s="18">
        <v>39.67</v>
      </c>
      <c r="Y77" s="18">
        <v>38.51</v>
      </c>
      <c r="Z77" s="18">
        <v>116.78</v>
      </c>
      <c r="AA77" s="18"/>
    </row>
    <row r="78" spans="1:27" ht="14.25" customHeight="1" x14ac:dyDescent="0.35">
      <c r="A78" s="18"/>
      <c r="B78" s="22" t="s">
        <v>143</v>
      </c>
      <c r="C78" s="23" t="s">
        <v>249</v>
      </c>
      <c r="D78" s="23"/>
      <c r="E78" s="24">
        <v>1</v>
      </c>
      <c r="F78" s="25">
        <v>6.1</v>
      </c>
      <c r="G78" s="25">
        <f t="shared" si="24"/>
        <v>6.1</v>
      </c>
      <c r="H78" s="26" t="s">
        <v>243</v>
      </c>
      <c r="I78" s="27">
        <f t="shared" si="21"/>
        <v>6.1</v>
      </c>
      <c r="J78" s="28">
        <v>45663</v>
      </c>
      <c r="K78" s="29"/>
      <c r="L78" s="30">
        <f t="shared" si="22"/>
        <v>4.25908</v>
      </c>
      <c r="M78" s="30">
        <f>IF(B78="Texion Textil",0,IF(C78="Malha",'Custos insumos'!$B$24,IF(C78="Dublagem Cretone",'Custos insumos'!$D$7,IF(C78="Dublagem Spun",'Custos insumos'!$D$4,IF(C78="Espelhamento",'Custos insumos'!$B$11,IF(C78="Espelhamento 2x",2*'Custos insumos'!$B$11,IF(C78="Esp. + Pel.",'Custos insumos'!$B$11,IF(C78="Pel. + Spun",'Custos insumos'!$D$4,IF(C78="Dublagem Cretone PES",'Custos insumos'!$D$7,IF(C78="Dublagem Barreira",'Custos insumos'!$D$11,IF(C78="Dublagem - MO + Filme",'Custos insumos'!$D$4,IF(C78="Dublagem Cretone HM50",'Custos insumos'!$D$26,IF(C78="Dublagem Cretone HM70",'Custos insumos'!$F$10,)))))))))))))</f>
        <v>1.1232</v>
      </c>
      <c r="N78" s="30">
        <f>IF(B78="Texion Textil",0,IF(B78="Três Elos",0,IF(C78="Malha",0,IF(C78="Dublagem Cretone",'Custos insumos'!$D$23,IF(C78="Dublagem Spun",'Custos insumos'!$D$16,IF(C78="Espelhamento",0,IF(C78="Espelhamento 2x",0,IF(C78="Esp. + Pel.",0,IF(C78="Pel. + Spun",'Custos insumos'!$D$16,IF(C78="Dublagem Cretone PES",'Custos insumos'!$F$25,IF(C78="Dublagem Barreira",'Custos insumos'!$D$22,)))))))))))</f>
        <v>0.71771999999999991</v>
      </c>
      <c r="O78" s="18"/>
      <c r="P78" s="53">
        <f t="shared" si="1"/>
        <v>0.57556983606557377</v>
      </c>
      <c r="Q78" s="50">
        <f t="shared" si="2"/>
        <v>1525</v>
      </c>
      <c r="R78" s="50" cm="1">
        <f t="array" ref="R78">_xlfn.IFS(C78="Calandra",(350),C78="Peletização",(421),C78="Dublagem Spun",(250),C78="Dublagem Cretone PES",(180),C78="Felpagem",(270/E78),C78="Emborrachamento",(200),C78="Espelhamento",(250),C78="Malha",(1),C78="Dublagem Cretone",(180),C78="Malha",(1),C78="Dublagem Spun - MO",250,C78="Dublagem Cretone - MO",180,C78="Dublagem Cretone PES - MO",180,C78="Espelhamento - MO",250,C78="Emborrachamento",100,C78="Malha",0,C78="Dublagem Barreira",100,C78="Pel. + Cal.",350,C78="Fel. + Pel. + Cal.",270,C78="Pel. + Spun",250,C78="Espelhamento - L: 1,45m",200,C78="Espelhamento - L: 1,65m",200,C78="Estampagem",100,C78="Fel. + Cal.",270,C78="Dublagem Juta",180,C78="Dublagem Cretone - MO (Juta)",180,C78="Dublagem Tapete",150,C78="Esp. + Pel.",200,C78="Espelhamento 2x",100)</f>
        <v>250</v>
      </c>
      <c r="S78" s="50">
        <f t="shared" si="25"/>
        <v>647.25599999999997</v>
      </c>
      <c r="T78" s="18" cm="1">
        <f t="array" ref="T78">_xlfn.IFS(C78="Calandra",0.4,C78="Felpagem",0.3,C78="Dublagem Spun",0.8,C78="Dublagem Cretone",0.8,C78="Dublagem Cretone PES",0.8,C78="Espelhamento",0.8,C78="Peletização",0.5,C78="Dublagem Spun - MO",0.8,C78="Dublagem Cretone - MO",0.8,C78="Dublagem Cretone PES - MO",0.8,C78="Espelhamento - MO",0.8,C78="Emborrachamento",1,C78="Malha",0,C78="Dublagem Barreira",1,C78="Pel. + Cal.",0.4,C78="Fel. + Pel. + Cal.",0.5,C78="Pel. + Spun",0.8,C78="Espelhamento - L: 1,45m",0.8,C78="Espelhamento - L: 1,65m",0.8,C78="Estampagem",1,C78="Fel. + Cal.",0.4,C78="Dublagem Juta",0.8,C78="Dublagem Cretone - MO (Juta)",0.8,C78="Dublagem Tapete",0.8,C78="Esp. + Pel.",0.8,C78="Espelhamento 2x",0.8)</f>
        <v>0.8</v>
      </c>
      <c r="U78" s="18">
        <v>1</v>
      </c>
      <c r="V78" s="18">
        <v>1</v>
      </c>
      <c r="W78" s="18"/>
      <c r="X78" s="18">
        <v>39.67</v>
      </c>
      <c r="Y78" s="18">
        <v>38.51</v>
      </c>
      <c r="Z78" s="18">
        <v>116.78</v>
      </c>
      <c r="AA78" s="18"/>
    </row>
    <row r="79" spans="1:27" ht="14.25" customHeight="1" x14ac:dyDescent="0.35">
      <c r="A79" s="18"/>
      <c r="B79" s="22" t="s">
        <v>143</v>
      </c>
      <c r="C79" s="23" t="s">
        <v>144</v>
      </c>
      <c r="D79" s="23"/>
      <c r="E79" s="24">
        <v>1</v>
      </c>
      <c r="F79" s="25">
        <v>0.66</v>
      </c>
      <c r="G79" s="25">
        <f t="shared" si="24"/>
        <v>0.66</v>
      </c>
      <c r="H79" s="26" t="s">
        <v>243</v>
      </c>
      <c r="I79" s="27">
        <f t="shared" si="21"/>
        <v>0.66</v>
      </c>
      <c r="J79" s="28">
        <v>45663</v>
      </c>
      <c r="K79" s="29"/>
      <c r="L79" s="30">
        <f t="shared" si="22"/>
        <v>0.66</v>
      </c>
      <c r="M79" s="30">
        <f>IF(B79="Texion Textil",0,IF(C79="Malha",'Custos insumos'!$B$24,IF(C79="Dublagem Cretone",'Custos insumos'!$D$7,IF(C79="Dublagem Spun",'Custos insumos'!$D$4,IF(C79="Espelhamento",'Custos insumos'!$B$11,IF(C79="Espelhamento 2x",2*'Custos insumos'!$B$11,IF(C79="Esp. + Pel.",'Custos insumos'!$B$11,IF(C79="Pel. + Spun",'Custos insumos'!$D$4,IF(C79="Dublagem Cretone PES",'Custos insumos'!$D$7,IF(C79="Dublagem Barreira",'Custos insumos'!$D$11,IF(C79="Dublagem - MO + Filme",'Custos insumos'!$D$4,IF(C79="Dublagem Cretone HM50",'Custos insumos'!$D$26,IF(C79="Dublagem Cretone HM70",'Custos insumos'!$F$10,)))))))))))))</f>
        <v>0</v>
      </c>
      <c r="N79" s="30">
        <f>IF(B79="Texion Textil",0,IF(B79="Três Elos",0,IF(C79="Malha",0,IF(C79="Dublagem Cretone",'Custos insumos'!$D$23,IF(C79="Dublagem Spun",'Custos insumos'!$D$16,IF(C79="Espelhamento",0,IF(C79="Espelhamento 2x",0,IF(C79="Esp. + Pel.",0,IF(C79="Pel. + Spun",'Custos insumos'!$D$16,IF(C79="Dublagem Cretone PES",'Custos insumos'!$F$25,IF(C79="Dublagem Barreira",'Custos insumos'!$D$22,)))))))))))</f>
        <v>0</v>
      </c>
      <c r="O79" s="18"/>
      <c r="P79" s="53">
        <f t="shared" si="1"/>
        <v>0.36973655797883831</v>
      </c>
      <c r="Q79" s="50">
        <f t="shared" si="2"/>
        <v>277.86</v>
      </c>
      <c r="R79" s="50" cm="1">
        <f t="array" ref="R79">_xlfn.IFS(C79="Calandra",(350),C79="Peletização",(421),C79="Dublagem Spun",(250),C79="Dublagem Cretone PES",(180),C79="Felpagem",(270/E79),C79="Emborrachamento",(200),C79="Espelhamento",(250),C79="Malha",(1),C79="Dublagem Cretone",(180),C79="Malha",(1),C79="Dublagem Spun - MO",250,C79="Dublagem Cretone - MO",180,C79="Dublagem Cretone PES - MO",180,C79="Espelhamento - MO",250,C79="Emborrachamento",100,C79="Malha",0,C79="Dublagem Barreira",100,C79="Pel. + Cal.",350,C79="Fel. + Pel. + Cal.",270,C79="Pel. + Spun",250,C79="Espelhamento - L: 1,45m",200,C79="Espelhamento - L: 1,65m",200,C79="Estampagem",100,C79="Fel. + Cal.",270,C79="Dublagem Juta",180,C79="Dublagem Cretone - MO (Juta)",180,C79="Dublagem Tapete",150,C79="Esp. + Pel.",200,C79="Espelhamento 2x",100)</f>
        <v>421</v>
      </c>
      <c r="S79" s="50">
        <f t="shared" si="25"/>
        <v>175.125</v>
      </c>
      <c r="T79" s="18" cm="1">
        <f t="array" ref="T79">_xlfn.IFS(C79="Calandra",0.4,C79="Felpagem",0.3,C79="Dublagem Spun",0.8,C79="Dublagem Cretone",0.8,C79="Dublagem Cretone PES",0.8,C79="Espelhamento",0.8,C79="Peletização",0.5,C79="Dublagem Spun - MO",0.8,C79="Dublagem Cretone - MO",0.8,C79="Dublagem Cretone PES - MO",0.8,C79="Espelhamento - MO",0.8,C79="Emborrachamento",1,C79="Malha",0,C79="Dublagem Barreira",1,C79="Pel. + Cal.",0.4,C79="Fel. + Pel. + Cal.",0.5,C79="Pel. + Spun",0.8,C79="Espelhamento - L: 1,45m",0.8,C79="Espelhamento - L: 1,65m",0.8,C79="Estampagem",1,C79="Fel. + Cal.",0.4,C79="Dublagem Juta",0.8,C79="Dublagem Cretone - MO (Juta)",0.8,C79="Dublagem Tapete",0.8,C79="Esp. + Pel.",0.8,C79="Espelhamento 2x",0.8)</f>
        <v>0.5</v>
      </c>
      <c r="U79" s="18">
        <v>1</v>
      </c>
      <c r="V79" s="18">
        <v>1</v>
      </c>
      <c r="W79" s="18"/>
      <c r="X79" s="18">
        <v>39.67</v>
      </c>
      <c r="Y79" s="18">
        <v>38.51</v>
      </c>
      <c r="Z79" s="18">
        <v>116.78</v>
      </c>
      <c r="AA79" s="18"/>
    </row>
    <row r="80" spans="1:27" ht="14.25" customHeight="1" x14ac:dyDescent="0.35">
      <c r="A80" s="18"/>
      <c r="B80" s="22" t="s">
        <v>472</v>
      </c>
      <c r="C80" s="23" t="s">
        <v>292</v>
      </c>
      <c r="D80" s="23"/>
      <c r="E80" s="24">
        <v>1</v>
      </c>
      <c r="F80" s="25">
        <v>1.2</v>
      </c>
      <c r="G80" s="25">
        <f t="shared" si="24"/>
        <v>1.2</v>
      </c>
      <c r="H80" s="26" t="s">
        <v>243</v>
      </c>
      <c r="I80" s="27">
        <f t="shared" si="21"/>
        <v>1.2</v>
      </c>
      <c r="J80" s="28">
        <v>45663</v>
      </c>
      <c r="K80" s="29"/>
      <c r="L80" s="30">
        <f t="shared" si="22"/>
        <v>1.2</v>
      </c>
      <c r="M80" s="30">
        <f>IF(B80="Texion Textil",0,IF(C80="Malha",'Custos insumos'!$B$24,IF(C80="Dublagem Cretone",'Custos insumos'!$D$7,IF(C80="Dublagem Spun",'Custos insumos'!$D$4,IF(C80="Espelhamento",'Custos insumos'!$B$11,IF(C80="Espelhamento 2x",2*'Custos insumos'!$B$11,IF(C80="Esp. + Pel.",'Custos insumos'!$B$11,IF(C80="Pel. + Spun",'Custos insumos'!$D$4,IF(C80="Dublagem Cretone PES",'Custos insumos'!$D$7,IF(C80="Dublagem Barreira",'Custos insumos'!$D$11,IF(C80="Dublagem - MO + Filme",'Custos insumos'!$D$4,IF(C80="Dublagem Cretone HM50",'Custos insumos'!$D$26,IF(C80="Dublagem Cretone HM70",'Custos insumos'!$F$10,)))))))))))))</f>
        <v>0</v>
      </c>
      <c r="N80" s="30">
        <f>IF(B80="Texion Textil",0,IF(B80="Três Elos",0,IF(C80="Malha",0,IF(C80="Dublagem Cretone",'Custos insumos'!$D$23,IF(C80="Dublagem Spun",'Custos insumos'!$D$16,IF(C80="Espelhamento",0,IF(C80="Espelhamento 2x",0,IF(C80="Esp. + Pel.",0,IF(C80="Pel. + Spun",'Custos insumos'!$D$16,IF(C80="Dublagem Cretone PES",'Custos insumos'!$F$25,IF(C80="Dublagem Barreira",'Custos insumos'!$D$22,)))))))))))</f>
        <v>0</v>
      </c>
      <c r="O80" s="18"/>
      <c r="P80" s="53">
        <f t="shared" si="1"/>
        <v>0.59248095238095233</v>
      </c>
      <c r="Q80" s="50">
        <f t="shared" si="2"/>
        <v>420</v>
      </c>
      <c r="R80" s="50" cm="1">
        <f t="array" ref="R80">_xlfn.IFS(C80="Calandra",(350),C80="Peletização",(421),C80="Dublagem Spun",(250),C80="Dublagem Cretone PES",(180),C80="Felpagem",(270/E80),C80="Emborrachamento",(200),C80="Espelhamento",(250),C80="Malha",(1),C80="Dublagem Cretone",(180),C80="Malha",(1),C80="Dublagem Spun - MO",250,C80="Dublagem Cretone - MO",180,C80="Dublagem Cretone PES - MO",180,C80="Espelhamento - MO",250,C80="Emborrachamento",100,C80="Malha",0,C80="Dublagem Barreira",100,C80="Pel. + Cal.",350,C80="Fel. + Pel. + Cal.",270,C80="Pel. + Spun",250,C80="Espelhamento - L: 1,45m",200,C80="Espelhamento - L: 1,65m",200,C80="Estampagem",100,C80="Fel. + Cal.",270,C80="Dublagem Juta",180,C80="Dublagem Cretone - MO (Juta)",180,C80="Dublagem Tapete",150,C80="Esp. + Pel.",200,C80="Espelhamento 2x",100)</f>
        <v>350</v>
      </c>
      <c r="S80" s="50">
        <f t="shared" si="25"/>
        <v>171.15800000000002</v>
      </c>
      <c r="T80" s="18" cm="1">
        <f t="array" ref="T80">_xlfn.IFS(C80="Calandra",0.4,C80="Felpagem",0.3,C80="Dublagem Spun",0.8,C80="Dublagem Cretone",0.8,C80="Dublagem Cretone PES",0.8,C80="Espelhamento",0.8,C80="Peletização",0.5,C80="Dublagem Spun - MO",0.8,C80="Dublagem Cretone - MO",0.8,C80="Dublagem Cretone PES - MO",0.8,C80="Espelhamento - MO",0.8,C80="Emborrachamento",1,C80="Malha",0,C80="Dublagem Barreira",1,C80="Pel. + Cal.",0.4,C80="Fel. + Pel. + Cal.",0.5,C80="Pel. + Spun",0.8,C80="Espelhamento - L: 1,45m",0.8,C80="Espelhamento - L: 1,65m",0.8,C80="Estampagem",1,C80="Fel. + Cal.",0.4,C80="Dublagem Juta",0.8,C80="Dublagem Cretone - MO (Juta)",0.8,C80="Dublagem Tapete",0.8,C80="Esp. + Pel.",0.8,C80="Espelhamento 2x",0.8)</f>
        <v>0.4</v>
      </c>
      <c r="U80" s="18">
        <v>1</v>
      </c>
      <c r="V80" s="18">
        <v>1</v>
      </c>
      <c r="W80" s="18"/>
      <c r="X80" s="18">
        <v>39.67</v>
      </c>
      <c r="Y80" s="18">
        <v>38.51</v>
      </c>
      <c r="Z80" s="18">
        <v>116.78</v>
      </c>
      <c r="AA80" s="18"/>
    </row>
    <row r="81" spans="1:27" ht="14.25" customHeight="1" x14ac:dyDescent="0.35">
      <c r="A81" s="18"/>
      <c r="B81" s="22" t="s">
        <v>146</v>
      </c>
      <c r="C81" s="23" t="s">
        <v>144</v>
      </c>
      <c r="D81" s="23"/>
      <c r="E81" s="24">
        <v>1</v>
      </c>
      <c r="F81" s="25">
        <v>1.34</v>
      </c>
      <c r="G81" s="25">
        <f t="shared" si="24"/>
        <v>1.34</v>
      </c>
      <c r="H81" s="26" t="s">
        <v>243</v>
      </c>
      <c r="I81" s="27">
        <f t="shared" si="21"/>
        <v>1.34</v>
      </c>
      <c r="J81" s="28">
        <v>45663</v>
      </c>
      <c r="K81" s="29"/>
      <c r="L81" s="30">
        <f t="shared" si="22"/>
        <v>1.34</v>
      </c>
      <c r="M81" s="30">
        <f>IF(B81="Texion Textil",0,IF(C81="Malha",'Custos insumos'!$B$24,IF(C81="Dublagem Cretone",'Custos insumos'!$D$7,IF(C81="Dublagem Spun",'Custos insumos'!$D$4,IF(C81="Espelhamento",'Custos insumos'!$B$11,IF(C81="Espelhamento 2x",2*'Custos insumos'!$B$11,IF(C81="Esp. + Pel.",'Custos insumos'!$B$11,IF(C81="Pel. + Spun",'Custos insumos'!$D$4,IF(C81="Dublagem Cretone PES",'Custos insumos'!$D$7,IF(C81="Dublagem Barreira",'Custos insumos'!$D$11,IF(C81="Dublagem - MO + Filme",'Custos insumos'!$D$4,IF(C81="Dublagem Cretone HM50",'Custos insumos'!$D$26,IF(C81="Dublagem Cretone HM70",'Custos insumos'!$F$10,)))))))))))))</f>
        <v>0</v>
      </c>
      <c r="N81" s="30">
        <f>IF(B81="Texion Textil",0,IF(B81="Três Elos",0,IF(C81="Malha",0,IF(C81="Dublagem Cretone",'Custos insumos'!$D$23,IF(C81="Dublagem Spun",'Custos insumos'!$D$16,IF(C81="Espelhamento",0,IF(C81="Espelhamento 2x",0,IF(C81="Esp. + Pel.",0,IF(C81="Pel. + Spun",'Custos insumos'!$D$16,IF(C81="Dublagem Cretone PES",'Custos insumos'!$F$25,IF(C81="Dublagem Barreira",'Custos insumos'!$D$22,)))))))))))</f>
        <v>0</v>
      </c>
      <c r="O81" s="18"/>
      <c r="P81" s="53">
        <f t="shared" si="1"/>
        <v>0.6895717375119651</v>
      </c>
      <c r="Q81" s="50">
        <f t="shared" si="2"/>
        <v>564.14</v>
      </c>
      <c r="R81" s="50" cm="1">
        <f t="array" ref="R81">_xlfn.IFS(C81="Calandra",(350),C81="Peletização",(421),C81="Dublagem Spun",(250),C81="Dublagem Cretone PES",(180),C81="Felpagem",(270/E81),C81="Emborrachamento",(200),C81="Espelhamento",(250),C81="Malha",(1),C81="Dublagem Cretone",(180),C81="Malha",(1),C81="Dublagem Spun - MO",250,C81="Dublagem Cretone - MO",180,C81="Dublagem Cretone PES - MO",180,C81="Espelhamento - MO",250,C81="Emborrachamento",100,C81="Malha",0,C81="Dublagem Barreira",100,C81="Pel. + Cal.",350,C81="Fel. + Pel. + Cal.",270,C81="Pel. + Spun",250,C81="Espelhamento - L: 1,45m",200,C81="Espelhamento - L: 1,65m",200,C81="Estampagem",100,C81="Fel. + Cal.",270,C81="Dublagem Juta",180,C81="Dublagem Cretone - MO (Juta)",180,C81="Dublagem Tapete",150,C81="Esp. + Pel.",200,C81="Espelhamento 2x",100)</f>
        <v>421</v>
      </c>
      <c r="S81" s="50">
        <f t="shared" si="25"/>
        <v>175.125</v>
      </c>
      <c r="T81" s="18" cm="1">
        <f t="array" ref="T81">_xlfn.IFS(C81="Calandra",0.4,C81="Felpagem",0.3,C81="Dublagem Spun",0.8,C81="Dublagem Cretone",0.8,C81="Dublagem Cretone PES",0.8,C81="Espelhamento",0.8,C81="Peletização",0.5,C81="Dublagem Spun - MO",0.8,C81="Dublagem Cretone - MO",0.8,C81="Dublagem Cretone PES - MO",0.8,C81="Espelhamento - MO",0.8,C81="Emborrachamento",1,C81="Malha",0,C81="Dublagem Barreira",1,C81="Pel. + Cal.",0.4,C81="Fel. + Pel. + Cal.",0.5,C81="Pel. + Spun",0.8,C81="Espelhamento - L: 1,45m",0.8,C81="Espelhamento - L: 1,65m",0.8,C81="Estampagem",1,C81="Fel. + Cal.",0.4,C81="Dublagem Juta",0.8,C81="Dublagem Cretone - MO (Juta)",0.8,C81="Dublagem Tapete",0.8,C81="Esp. + Pel.",0.8,C81="Espelhamento 2x",0.8)</f>
        <v>0.5</v>
      </c>
      <c r="U81" s="18">
        <v>1</v>
      </c>
      <c r="V81" s="18">
        <v>1</v>
      </c>
      <c r="W81" s="18"/>
      <c r="X81" s="18">
        <v>39.67</v>
      </c>
      <c r="Y81" s="18">
        <v>38.51</v>
      </c>
      <c r="Z81" s="18">
        <v>116.78</v>
      </c>
      <c r="AA81" s="18"/>
    </row>
    <row r="82" spans="1:27" ht="14.25" customHeight="1" x14ac:dyDescent="0.35">
      <c r="A82" s="18"/>
      <c r="B82" s="22" t="s">
        <v>293</v>
      </c>
      <c r="C82" s="23" t="s">
        <v>144</v>
      </c>
      <c r="D82" s="23"/>
      <c r="E82" s="24">
        <v>1</v>
      </c>
      <c r="F82" s="25">
        <v>0.6</v>
      </c>
      <c r="G82" s="25">
        <f t="shared" si="24"/>
        <v>0.6</v>
      </c>
      <c r="H82" s="26" t="s">
        <v>243</v>
      </c>
      <c r="I82" s="27">
        <f t="shared" si="21"/>
        <v>0.6</v>
      </c>
      <c r="J82" s="28">
        <v>45663</v>
      </c>
      <c r="K82" s="29"/>
      <c r="L82" s="30">
        <f t="shared" si="22"/>
        <v>0.6</v>
      </c>
      <c r="M82" s="30">
        <f>IF(B82="Texion Textil",0,IF(C82="Malha",'Custos insumos'!$B$24,IF(C82="Dublagem Cretone",'Custos insumos'!$D$7,IF(C82="Dublagem Spun",'Custos insumos'!$D$4,IF(C82="Espelhamento",'Custos insumos'!$B$11,IF(C82="Espelhamento 2x",2*'Custos insumos'!$B$11,IF(C82="Esp. + Pel.",'Custos insumos'!$B$11,IF(C82="Pel. + Spun",'Custos insumos'!$D$4,IF(C82="Dublagem Cretone PES",'Custos insumos'!$D$7,IF(C82="Dublagem Barreira",'Custos insumos'!$D$11,IF(C82="Dublagem - MO + Filme",'Custos insumos'!$D$4,IF(C82="Dublagem Cretone HM50",'Custos insumos'!$D$26,IF(C82="Dublagem Cretone HM70",'Custos insumos'!$F$10,)))))))))))))</f>
        <v>0</v>
      </c>
      <c r="N82" s="30">
        <f>IF(B82="Texion Textil",0,IF(B82="Três Elos",0,IF(C82="Malha",0,IF(C82="Dublagem Cretone",'Custos insumos'!$D$23,IF(C82="Dublagem Spun",'Custos insumos'!$D$16,IF(C82="Espelhamento",0,IF(C82="Espelhamento 2x",0,IF(C82="Esp. + Pel.",0,IF(C82="Pel. + Spun",'Custos insumos'!$D$16,IF(C82="Dublagem Cretone PES",'Custos insumos'!$F$25,IF(C82="Dublagem Barreira",'Custos insumos'!$D$22,)))))))))))</f>
        <v>0</v>
      </c>
      <c r="O82" s="18"/>
      <c r="P82" s="53">
        <f t="shared" si="1"/>
        <v>0.30671021377672208</v>
      </c>
      <c r="Q82" s="50">
        <f t="shared" si="2"/>
        <v>252.6</v>
      </c>
      <c r="R82" s="50" cm="1">
        <f t="array" ref="R82">_xlfn.IFS(C82="Calandra",(350),C82="Peletização",(421),C82="Dublagem Spun",(250),C82="Dublagem Cretone PES",(180),C82="Felpagem",(270/E82),C82="Emborrachamento",(200),C82="Espelhamento",(250),C82="Malha",(1),C82="Dublagem Cretone",(180),C82="Malha",(1),C82="Dublagem Spun - MO",250,C82="Dublagem Cretone - MO",180,C82="Dublagem Cretone PES - MO",180,C82="Espelhamento - MO",250,C82="Emborrachamento",100,C82="Malha",0,C82="Dublagem Barreira",100,C82="Pel. + Cal.",350,C82="Fel. + Pel. + Cal.",270,C82="Pel. + Spun",250,C82="Espelhamento - L: 1,45m",200,C82="Espelhamento - L: 1,65m",200,C82="Estampagem",100,C82="Fel. + Cal.",270,C82="Dublagem Juta",180,C82="Dublagem Cretone - MO (Juta)",180,C82="Dublagem Tapete",150,C82="Esp. + Pel.",200,C82="Espelhamento 2x",100)</f>
        <v>421</v>
      </c>
      <c r="S82" s="50">
        <f t="shared" si="25"/>
        <v>175.125</v>
      </c>
      <c r="T82" s="18" cm="1">
        <f t="array" ref="T82">_xlfn.IFS(C82="Calandra",0.4,C82="Felpagem",0.3,C82="Dublagem Spun",0.8,C82="Dublagem Cretone",0.8,C82="Dublagem Cretone PES",0.8,C82="Espelhamento",0.8,C82="Peletização",0.5,C82="Dublagem Spun - MO",0.8,C82="Dublagem Cretone - MO",0.8,C82="Dublagem Cretone PES - MO",0.8,C82="Espelhamento - MO",0.8,C82="Emborrachamento",1,C82="Malha",0,C82="Dublagem Barreira",1,C82="Pel. + Cal.",0.4,C82="Fel. + Pel. + Cal.",0.5,C82="Pel. + Spun",0.8,C82="Espelhamento - L: 1,45m",0.8,C82="Espelhamento - L: 1,65m",0.8,C82="Estampagem",1,C82="Fel. + Cal.",0.4,C82="Dublagem Juta",0.8,C82="Dublagem Cretone - MO (Juta)",0.8,C82="Dublagem Tapete",0.8,C82="Esp. + Pel.",0.8,C82="Espelhamento 2x",0.8)</f>
        <v>0.5</v>
      </c>
      <c r="U82" s="18">
        <v>1</v>
      </c>
      <c r="V82" s="18">
        <v>1</v>
      </c>
      <c r="W82" s="18"/>
      <c r="X82" s="18">
        <v>39.67</v>
      </c>
      <c r="Y82" s="18">
        <v>38.51</v>
      </c>
      <c r="Z82" s="18">
        <v>116.78</v>
      </c>
      <c r="AA82" s="18"/>
    </row>
    <row r="83" spans="1:27" ht="14.25" customHeight="1" x14ac:dyDescent="0.35">
      <c r="A83" s="18"/>
      <c r="B83" s="22" t="s">
        <v>293</v>
      </c>
      <c r="C83" s="23" t="s">
        <v>254</v>
      </c>
      <c r="D83" s="23"/>
      <c r="E83" s="24">
        <v>1</v>
      </c>
      <c r="F83" s="25">
        <v>0.6</v>
      </c>
      <c r="G83" s="25">
        <f t="shared" si="24"/>
        <v>0.6</v>
      </c>
      <c r="H83" s="26" t="s">
        <v>243</v>
      </c>
      <c r="I83" s="27">
        <f t="shared" si="21"/>
        <v>0.6</v>
      </c>
      <c r="J83" s="28">
        <v>45663</v>
      </c>
      <c r="K83" s="29"/>
      <c r="L83" s="30">
        <f t="shared" si="22"/>
        <v>0.6</v>
      </c>
      <c r="M83" s="30">
        <f>IF(B83="Texion Textil",0,IF(C83="Malha",'Custos insumos'!$B$24,IF(C83="Dublagem Cretone",'Custos insumos'!$D$7,IF(C83="Dublagem Spun",'Custos insumos'!$D$4,IF(C83="Espelhamento",'Custos insumos'!$B$11,IF(C83="Espelhamento 2x",2*'Custos insumos'!$B$11,IF(C83="Esp. + Pel.",'Custos insumos'!$B$11,IF(C83="Pel. + Spun",'Custos insumos'!$D$4,IF(C83="Dublagem Cretone PES",'Custos insumos'!$D$7,IF(C83="Dublagem Barreira",'Custos insumos'!$D$11,IF(C83="Dublagem - MO + Filme",'Custos insumos'!$D$4,IF(C83="Dublagem Cretone HM50",'Custos insumos'!$D$26,IF(C83="Dublagem Cretone HM70",'Custos insumos'!$F$10,)))))))))))))</f>
        <v>0</v>
      </c>
      <c r="N83" s="30">
        <f>IF(B83="Texion Textil",0,IF(B83="Três Elos",0,IF(C83="Malha",0,IF(C83="Dublagem Cretone",'Custos insumos'!$D$23,IF(C83="Dublagem Spun",'Custos insumos'!$D$16,IF(C83="Espelhamento",0,IF(C83="Espelhamento 2x",0,IF(C83="Esp. + Pel.",0,IF(C83="Pel. + Spun",'Custos insumos'!$D$16,IF(C83="Dublagem Cretone PES",'Custos insumos'!$F$25,IF(C83="Dublagem Barreira",'Custos insumos'!$D$22,)))))))))))</f>
        <v>0</v>
      </c>
      <c r="O83" s="18"/>
      <c r="P83" s="53">
        <f t="shared" si="1"/>
        <v>-3.2043209876543223E-2</v>
      </c>
      <c r="Q83" s="50">
        <f t="shared" si="2"/>
        <v>162</v>
      </c>
      <c r="R83" s="50" cm="1">
        <f t="array" ref="R83">_xlfn.IFS(C83="Calandra",(350),C83="Peletização",(421),C83="Dublagem Spun",(250),C83="Dublagem Cretone PES",(180),C83="Felpagem",(270/E83),C83="Emborrachamento",(200),C83="Espelhamento",(250),C83="Malha",(1),C83="Dublagem Cretone",(180),C83="Malha",(1),C83="Dublagem Spun - MO",250,C83="Dublagem Cretone - MO",180,C83="Dublagem Cretone PES - MO",180,C83="Espelhamento - MO",250,C83="Emborrachamento",100,C83="Malha",0,C83="Dublagem Barreira",100,C83="Pel. + Cal.",350,C83="Fel. + Pel. + Cal.",270,C83="Pel. + Spun",250,C83="Espelhamento - L: 1,45m",200,C83="Espelhamento - L: 1,65m",200,C83="Estampagem",100,C83="Fel. + Cal.",270,C83="Dublagem Juta",180,C83="Dublagem Cretone - MO (Juta)",180,C83="Dublagem Tapete",150,C83="Esp. + Pel.",200,C83="Espelhamento 2x",100)</f>
        <v>270</v>
      </c>
      <c r="S83" s="50">
        <f t="shared" si="25"/>
        <v>167.191</v>
      </c>
      <c r="T83" s="18" cm="1">
        <f t="array" ref="T83">_xlfn.IFS(C83="Calandra",0.4,C83="Felpagem",0.3,C83="Dublagem Spun",0.8,C83="Dublagem Cretone",0.8,C83="Dublagem Cretone PES",0.8,C83="Espelhamento",0.8,C83="Peletização",0.5,C83="Dublagem Spun - MO",0.8,C83="Dublagem Cretone - MO",0.8,C83="Dublagem Cretone PES - MO",0.8,C83="Espelhamento - MO",0.8,C83="Emborrachamento",1,C83="Malha",0,C83="Dublagem Barreira",1,C83="Pel. + Cal.",0.4,C83="Fel. + Pel. + Cal.",0.5,C83="Pel. + Spun",0.8,C83="Espelhamento - L: 1,45m",0.8,C83="Espelhamento - L: 1,65m",0.8,C83="Estampagem",1,C83="Fel. + Cal.",0.4,C83="Dublagem Juta",0.8,C83="Dublagem Cretone - MO (Juta)",0.8,C83="Dublagem Tapete",0.8,C83="Esp. + Pel.",0.8,C83="Espelhamento 2x",0.8)</f>
        <v>0.3</v>
      </c>
      <c r="U83" s="18">
        <v>1</v>
      </c>
      <c r="V83" s="18">
        <v>1</v>
      </c>
      <c r="W83" s="18"/>
      <c r="X83" s="18">
        <v>39.67</v>
      </c>
      <c r="Y83" s="18">
        <v>38.51</v>
      </c>
      <c r="Z83" s="18">
        <v>116.78</v>
      </c>
      <c r="AA83" s="18"/>
    </row>
    <row r="84" spans="1:27" ht="14.25" customHeight="1" x14ac:dyDescent="0.35">
      <c r="A84" s="18"/>
      <c r="B84" s="22" t="s">
        <v>294</v>
      </c>
      <c r="C84" s="23" t="s">
        <v>254</v>
      </c>
      <c r="D84" s="23"/>
      <c r="E84" s="24">
        <v>1</v>
      </c>
      <c r="F84" s="25">
        <v>1.1000000000000001</v>
      </c>
      <c r="G84" s="25">
        <f t="shared" si="24"/>
        <v>1.1000000000000001</v>
      </c>
      <c r="H84" s="26" t="s">
        <v>243</v>
      </c>
      <c r="I84" s="27">
        <f t="shared" si="21"/>
        <v>1.1000000000000001</v>
      </c>
      <c r="J84" s="28">
        <v>45663</v>
      </c>
      <c r="K84" s="29"/>
      <c r="L84" s="30">
        <f t="shared" si="22"/>
        <v>1.1000000000000001</v>
      </c>
      <c r="M84" s="30">
        <f>IF(B84="Texion Textil",0,IF(C84="Malha",'Custos insumos'!$B$24,IF(C84="Dublagem Cretone",'Custos insumos'!$D$7,IF(C84="Dublagem Spun",'Custos insumos'!$D$4,IF(C84="Espelhamento",'Custos insumos'!$B$11,IF(C84="Espelhamento 2x",2*'Custos insumos'!$B$11,IF(C84="Esp. + Pel.",'Custos insumos'!$B$11,IF(C84="Pel. + Spun",'Custos insumos'!$D$4,IF(C84="Dublagem Cretone PES",'Custos insumos'!$D$7,IF(C84="Dublagem Barreira",'Custos insumos'!$D$11,IF(C84="Dublagem - MO + Filme",'Custos insumos'!$D$4,IF(C84="Dublagem Cretone HM50",'Custos insumos'!$D$26,IF(C84="Dublagem Cretone HM70",'Custos insumos'!$F$10,)))))))))))))</f>
        <v>0</v>
      </c>
      <c r="N84" s="30">
        <f>IF(B84="Texion Textil",0,IF(B84="Três Elos",0,IF(C84="Malha",0,IF(C84="Dublagem Cretone",'Custos insumos'!$D$23,IF(C84="Dublagem Spun",'Custos insumos'!$D$16,IF(C84="Espelhamento",0,IF(C84="Espelhamento 2x",0,IF(C84="Esp. + Pel.",0,IF(C84="Pel. + Spun",'Custos insumos'!$D$16,IF(C84="Dublagem Cretone PES",'Custos insumos'!$F$25,IF(C84="Dublagem Barreira",'Custos insumos'!$D$22,)))))))))))</f>
        <v>0</v>
      </c>
      <c r="O84" s="18"/>
      <c r="P84" s="53">
        <f t="shared" si="1"/>
        <v>0.43706734006734005</v>
      </c>
      <c r="Q84" s="50">
        <f t="shared" si="2"/>
        <v>297</v>
      </c>
      <c r="R84" s="50" cm="1">
        <f t="array" ref="R84">_xlfn.IFS(C84="Calandra",(350),C84="Peletização",(421),C84="Dublagem Spun",(250),C84="Dublagem Cretone PES",(180),C84="Felpagem",(270/E84),C84="Emborrachamento",(200),C84="Espelhamento",(250),C84="Malha",(1),C84="Dublagem Cretone",(180),C84="Malha",(1),C84="Dublagem Spun - MO",250,C84="Dublagem Cretone - MO",180,C84="Dublagem Cretone PES - MO",180,C84="Espelhamento - MO",250,C84="Emborrachamento",100,C84="Malha",0,C84="Dublagem Barreira",100,C84="Pel. + Cal.",350,C84="Fel. + Pel. + Cal.",270,C84="Pel. + Spun",250,C84="Espelhamento - L: 1,45m",200,C84="Espelhamento - L: 1,65m",200,C84="Estampagem",100,C84="Fel. + Cal.",270,C84="Dublagem Juta",180,C84="Dublagem Cretone - MO (Juta)",180,C84="Dublagem Tapete",150,C84="Esp. + Pel.",200,C84="Espelhamento 2x",100)</f>
        <v>270</v>
      </c>
      <c r="S84" s="50">
        <f t="shared" si="25"/>
        <v>167.191</v>
      </c>
      <c r="T84" s="18" cm="1">
        <f t="array" ref="T84">_xlfn.IFS(C84="Calandra",0.4,C84="Felpagem",0.3,C84="Dublagem Spun",0.8,C84="Dublagem Cretone",0.8,C84="Dublagem Cretone PES",0.8,C84="Espelhamento",0.8,C84="Peletização",0.5,C84="Dublagem Spun - MO",0.8,C84="Dublagem Cretone - MO",0.8,C84="Dublagem Cretone PES - MO",0.8,C84="Espelhamento - MO",0.8,C84="Emborrachamento",1,C84="Malha",0,C84="Dublagem Barreira",1,C84="Pel. + Cal.",0.4,C84="Fel. + Pel. + Cal.",0.5,C84="Pel. + Spun",0.8,C84="Espelhamento - L: 1,45m",0.8,C84="Espelhamento - L: 1,65m",0.8,C84="Estampagem",1,C84="Fel. + Cal.",0.4,C84="Dublagem Juta",0.8,C84="Dublagem Cretone - MO (Juta)",0.8,C84="Dublagem Tapete",0.8,C84="Esp. + Pel.",0.8,C84="Espelhamento 2x",0.8)</f>
        <v>0.3</v>
      </c>
      <c r="U84" s="18">
        <v>1</v>
      </c>
      <c r="V84" s="18">
        <v>1</v>
      </c>
      <c r="W84" s="18"/>
      <c r="X84" s="18">
        <v>39.67</v>
      </c>
      <c r="Y84" s="18">
        <v>38.51</v>
      </c>
      <c r="Z84" s="18">
        <v>116.78</v>
      </c>
      <c r="AA84" s="18"/>
    </row>
    <row r="85" spans="1:27" ht="14.25" customHeight="1" x14ac:dyDescent="0.35">
      <c r="A85" s="18"/>
      <c r="B85" s="22" t="s">
        <v>151</v>
      </c>
      <c r="C85" s="23" t="s">
        <v>106</v>
      </c>
      <c r="D85" s="23"/>
      <c r="E85" s="24">
        <v>1</v>
      </c>
      <c r="F85" s="25">
        <v>2.35</v>
      </c>
      <c r="G85" s="25">
        <f t="shared" si="24"/>
        <v>2.35</v>
      </c>
      <c r="H85" s="26" t="s">
        <v>243</v>
      </c>
      <c r="I85" s="27">
        <f t="shared" si="21"/>
        <v>2.35</v>
      </c>
      <c r="J85" s="28">
        <v>45663</v>
      </c>
      <c r="K85" s="29" t="s">
        <v>295</v>
      </c>
      <c r="L85" s="30">
        <f t="shared" si="22"/>
        <v>1.2914997101449275</v>
      </c>
      <c r="M85" s="30">
        <f>IF(B85="Texion Textil",0,IF(C85="Malha",'Custos insumos'!$B$24,IF(C85="Dublagem Cretone",'Custos insumos'!$D$7,IF(C85="Dublagem Spun",'Custos insumos'!$D$4,IF(C85="Espelhamento",'Custos insumos'!$B$11,IF(C85="Espelhamento 2x",2*'Custos insumos'!$B$11,IF(C85="Esp. + Pel.",'Custos insumos'!$B$11,IF(C85="Pel. + Spun",'Custos insumos'!$D$4,IF(C85="Dublagem Cretone PES",'Custos insumos'!$D$7,IF(C85="Dublagem Barreira",'Custos insumos'!$D$11,IF(C85="Dublagem - MO + Filme",'Custos insumos'!$D$4,IF(C85="Dublagem Cretone HM50",'Custos insumos'!$D$26,IF(C85="Dublagem Cretone HM70",'Custos insumos'!$F$10,)))))))))))))</f>
        <v>1.0585002898550726</v>
      </c>
      <c r="N85" s="30">
        <f>IF(B85="Texion Textil",0,IF(B85="Três Elos",0,IF(C85="Malha",0,IF(C85="Dublagem Cretone",'Custos insumos'!$D$23,IF(C85="Dublagem Spun",'Custos insumos'!$D$16,IF(C85="Espelhamento",0,IF(C85="Espelhamento 2x",0,IF(C85="Esp. + Pel.",0,IF(C85="Pel. + Spun",'Custos insumos'!$D$16,IF(C85="Dublagem Cretone PES",'Custos insumos'!$F$25,IF(C85="Dublagem Barreira",'Custos insumos'!$D$22,)))))))))))</f>
        <v>0</v>
      </c>
      <c r="O85" s="18"/>
      <c r="P85" s="53">
        <f t="shared" si="1"/>
        <v>0.23123221708294778</v>
      </c>
      <c r="Q85" s="50">
        <f t="shared" si="2"/>
        <v>587.5</v>
      </c>
      <c r="R85" s="50" cm="1">
        <f t="array" ref="R85">_xlfn.IFS(C85="Calandra",(350),C85="Peletização",(421),C85="Dublagem Spun",(250),C85="Dublagem Cretone PES",(180),C85="Felpagem",(270/E85),C85="Emborrachamento",(200),C85="Espelhamento",(250),C85="Malha",(1),C85="Dublagem Cretone",(180),C85="Malha",(1),C85="Dublagem Spun - MO",250,C85="Dublagem Cretone - MO",180,C85="Dublagem Cretone PES - MO",180,C85="Espelhamento - MO",250,C85="Emborrachamento",100,C85="Malha",0,C85="Dublagem Barreira",100,C85="Pel. + Cal.",350,C85="Fel. + Pel. + Cal.",270,C85="Pel. + Spun",250,C85="Espelhamento - L: 1,45m",200,C85="Espelhamento - L: 1,65m",200,C85="Estampagem",100,C85="Fel. + Cal.",270,C85="Dublagem Juta",180,C85="Dublagem Cretone - MO (Juta)",180,C85="Dublagem Tapete",150,C85="Esp. + Pel.",200,C85="Espelhamento 2x",100)</f>
        <v>250</v>
      </c>
      <c r="S85" s="50">
        <f t="shared" si="25"/>
        <v>451.65107246376817</v>
      </c>
      <c r="T85" s="18" cm="1">
        <f t="array" ref="T85">_xlfn.IFS(C85="Calandra",0.4,C85="Felpagem",0.3,C85="Dublagem Spun",0.8,C85="Dublagem Cretone",0.8,C85="Dublagem Cretone PES",0.8,C85="Espelhamento",0.8,C85="Peletização",0.5,C85="Dublagem Spun - MO",0.8,C85="Dublagem Cretone - MO",0.8,C85="Dublagem Cretone PES - MO",0.8,C85="Espelhamento - MO",0.8,C85="Emborrachamento",1,C85="Malha",0,C85="Dublagem Barreira",1,C85="Pel. + Cal.",0.4,C85="Fel. + Pel. + Cal.",0.5,C85="Pel. + Spun",0.8,C85="Espelhamento - L: 1,45m",0.8,C85="Espelhamento - L: 1,65m",0.8,C85="Estampagem",1,C85="Fel. + Cal.",0.4,C85="Dublagem Juta",0.8,C85="Dublagem Cretone - MO (Juta)",0.8,C85="Dublagem Tapete",0.8,C85="Esp. + Pel.",0.8,C85="Espelhamento 2x",0.8)</f>
        <v>0.8</v>
      </c>
      <c r="U85" s="18">
        <v>1</v>
      </c>
      <c r="V85" s="18">
        <v>1</v>
      </c>
      <c r="W85" s="18"/>
      <c r="X85" s="18">
        <v>39.67</v>
      </c>
      <c r="Y85" s="18">
        <v>38.51</v>
      </c>
      <c r="Z85" s="18">
        <v>116.78</v>
      </c>
      <c r="AA85" s="18"/>
    </row>
    <row r="86" spans="1:27" ht="14.25" customHeight="1" x14ac:dyDescent="0.35">
      <c r="A86" s="18"/>
      <c r="B86" s="22" t="s">
        <v>151</v>
      </c>
      <c r="C86" s="23" t="s">
        <v>426</v>
      </c>
      <c r="D86" s="23"/>
      <c r="E86" s="24">
        <v>1</v>
      </c>
      <c r="F86" s="25">
        <v>5.0999999999999996</v>
      </c>
      <c r="G86" s="25">
        <v>4.63</v>
      </c>
      <c r="H86" s="26" t="s">
        <v>243</v>
      </c>
      <c r="I86" s="27">
        <f t="shared" si="21"/>
        <v>4.63</v>
      </c>
      <c r="J86" s="28">
        <v>45663</v>
      </c>
      <c r="K86" s="29" t="s">
        <v>296</v>
      </c>
      <c r="L86" s="30">
        <f t="shared" si="22"/>
        <v>2.3992</v>
      </c>
      <c r="M86" s="30">
        <f>'Custos insumos'!$L$3</f>
        <v>0.73080000000000001</v>
      </c>
      <c r="N86" s="30">
        <f>'Custos insumos'!$L$25</f>
        <v>1.5</v>
      </c>
      <c r="O86" s="18"/>
      <c r="P86" s="53" t="e">
        <f t="shared" ref="P86:P87" si="26">(Q86-S86)/Q86</f>
        <v>#N/A</v>
      </c>
      <c r="Q86" s="50" t="e">
        <f t="shared" ref="Q86:Q87" si="27">G86*R86</f>
        <v>#N/A</v>
      </c>
      <c r="R86" s="50" t="e" cm="1">
        <f t="array" ref="R86">_xlfn.IFS(C86="Calandra",(350),C86="Peletização",(421),C86="Dublagem Spun",(250),C86="Dublagem Cretone PES",(180),C86="Felpagem",(270/E86),C86="Emborrachamento",(200),C86="Espelhamento",(250),C86="Malha",(1),C86="Dublagem Cretone",(180),C86="Malha",(1),C86="Dublagem Spun - MO",250,C86="Dublagem Cretone - MO",180,C86="Dublagem Cretone PES - MO",180,C86="Espelhamento - MO",250,C86="Emborrachamento",100,C86="Malha",0,C86="Dublagem Barreira",100,C86="Pel. + Cal.",350,C86="Fel. + Pel. + Cal.",270,C86="Pel. + Spun",250,C86="Espelhamento - L: 1,45m",200,C86="Espelhamento - L: 1,65m",200,C86="Estampagem",100,C86="Fel. + Cal.",270,C86="Dublagem Juta",180,C86="Dublagem Cretone - MO (Juta)",180,C86="Dublagem Tapete",150,C86="Esp. + Pel.",200,C86="Espelhamento 2x",100)</f>
        <v>#N/A</v>
      </c>
      <c r="S86" s="50" t="e">
        <f t="shared" ref="S86" si="28">(T86*X86)+(U86*Y86)+(V86*Z86)+((M86+N86)*(R86))</f>
        <v>#N/A</v>
      </c>
      <c r="T86" s="18" t="e" cm="1">
        <f t="array" ref="T86">_xlfn.IFS(C86="Calandra",0.4,C86="Felpagem",0.3,C86="Dublagem Spun",0.8,C86="Dublagem Cretone",0.8,C86="Dublagem Cretone PES",0.8,C86="Espelhamento",0.8,C86="Peletização",0.5,C86="Dublagem Spun - MO",0.8,C86="Dublagem Cretone - MO",0.8,C86="Dublagem Cretone PES - MO",0.8,C86="Espelhamento - MO",0.8,C86="Emborrachamento",1,C86="Malha",0,C86="Dublagem Barreira",1,C86="Pel. + Cal.",0.4,C86="Fel. + Pel. + Cal.",0.5,C86="Pel. + Spun",0.8,C86="Espelhamento - L: 1,45m",0.8,C86="Espelhamento - L: 1,65m",0.8,C86="Estampagem",1,C86="Fel. + Cal.",0.4,C86="Dublagem Juta",0.8,C86="Dublagem Cretone - MO (Juta)",0.8,C86="Dublagem Tapete",0.8,C86="Esp. + Pel.",0.8,C86="Espelhamento 2x",0.8)</f>
        <v>#N/A</v>
      </c>
      <c r="U86" s="18">
        <v>1</v>
      </c>
      <c r="V86" s="18">
        <v>1</v>
      </c>
      <c r="W86" s="18"/>
      <c r="X86" s="18">
        <v>39.67</v>
      </c>
      <c r="Y86" s="18">
        <v>38.51</v>
      </c>
      <c r="Z86" s="18">
        <v>116.78</v>
      </c>
      <c r="AA86" s="18"/>
    </row>
    <row r="87" spans="1:27" ht="14.25" customHeight="1" x14ac:dyDescent="0.35">
      <c r="A87" s="18"/>
      <c r="B87" s="22" t="s">
        <v>151</v>
      </c>
      <c r="C87" s="23" t="s">
        <v>427</v>
      </c>
      <c r="D87" s="23"/>
      <c r="E87" s="24">
        <v>1</v>
      </c>
      <c r="F87" s="25">
        <v>5.0999999999999996</v>
      </c>
      <c r="G87" s="25">
        <v>5.0999999999999996</v>
      </c>
      <c r="H87" s="26" t="s">
        <v>243</v>
      </c>
      <c r="I87" s="27">
        <f t="shared" si="21"/>
        <v>5.0999999999999996</v>
      </c>
      <c r="J87" s="28">
        <v>45663</v>
      </c>
      <c r="K87" s="29" t="s">
        <v>296</v>
      </c>
      <c r="L87" s="30">
        <f t="shared" si="22"/>
        <v>5.0999999999999996</v>
      </c>
      <c r="M87" s="30">
        <f>IF(B87="Texion Textil",0,IF(C87="Malha",'Custos insumos'!$B$24,IF(C87="Dublagem Cretone",'Custos insumos'!$D$7,IF(C87="Dublagem Spun",'Custos insumos'!$D$4,IF(C87="Espelhamento",'Custos insumos'!$B$11,IF(C87="Espelhamento 2x",2*'Custos insumos'!$B$11,IF(C87="Esp. + Pel.",'Custos insumos'!$B$11,IF(C87="Pel. + Spun",'Custos insumos'!$D$4,IF(C87="Dublagem Cretone PES",'Custos insumos'!$L$6,IF(C87="Dublagem Barreira",'Custos insumos'!$D$11,IF(C87="Dublagem - MO + Filme",'Custos insumos'!$D$4,IF(C87="Dublagem Cretone HM50",'Custos insumos'!$D$26,IF(C87="Dublagem Cretone HM70",'Custos insumos'!$F$10,)))))))))))))</f>
        <v>0</v>
      </c>
      <c r="N87" s="30">
        <f>IF(B87="Texion Textil",0,IF(B87="Três Elos",0,IF(C87="Malha",0,IF(C87="Dublagem Cretone",'Custos insumos'!$D$23,IF(C87="Dublagem Spun",'Custos insumos'!$D$16,IF(C87="Espelhamento",0,IF(C87="Espelhamento 2x",0,IF(C87="Esp. + Pel.",0,IF(C87="Pel. + Spun",'Custos insumos'!$D$16,IF(C87="Dublagem Cretone PES",'Custos insumos'!$L$25,IF(C87="Dublagem Barreira",'Custos insumos'!$D$22,)))))))))))</f>
        <v>0</v>
      </c>
      <c r="O87" s="18"/>
      <c r="P87" s="53" t="e">
        <f t="shared" si="26"/>
        <v>#N/A</v>
      </c>
      <c r="Q87" s="50" t="e">
        <f t="shared" si="27"/>
        <v>#N/A</v>
      </c>
      <c r="R87" s="50" t="e" cm="1">
        <f t="array" ref="R87">_xlfn.IFS(C87="Calandra",(350),C87="Peletização",(421),C87="Dublagem Spun",(250),C87="Dublagem Cretone PES",(180),C87="Felpagem",(270/E87),C87="Emborrachamento",(200),C87="Espelhamento",(250),C87="Malha",(1),C87="Dublagem Cretone",(180),C87="Malha",(1),C87="Dublagem Spun - MO",250,C87="Dublagem Cretone - MO",180,C87="Dublagem Cretone PES - MO",180,C87="Espelhamento - MO",250,C87="Emborrachamento",100,C87="Malha",0,C87="Dublagem Barreira",100,C87="Pel. + Cal.",350,C87="Fel. + Pel. + Cal.",270,C87="Pel. + Spun",250,C87="Espelhamento - L: 1,45m",200,C87="Espelhamento - L: 1,65m",200,C87="Estampagem",100,C87="Fel. + Cal.",270,C87="Dublagem Juta",180,C87="Dublagem Cretone - MO (Juta)",180,C87="Dublagem Tapete",150,C87="Esp. + Pel.",200,C87="Espelhamento 2x",100)</f>
        <v>#N/A</v>
      </c>
      <c r="S87" s="50" t="e">
        <f>(T87*X87)+(U87*Y87)+(V87*Z87)+((M87+N87)*(R87))</f>
        <v>#N/A</v>
      </c>
      <c r="T87" s="18" t="e" cm="1">
        <f t="array" ref="T87">_xlfn.IFS(C87="Calandra",0.4,C87="Felpagem",0.3,C87="Dublagem Spun",0.8,C87="Dublagem Cretone",0.8,C87="Dublagem Cretone PES",0.8,C87="Espelhamento",0.8,C87="Peletização",0.5,C87="Dublagem Spun - MO",0.8,C87="Dublagem Cretone - MO",0.8,C87="Dublagem Cretone PES - MO",0.8,C87="Espelhamento - MO",0.8,C87="Emborrachamento",1,C87="Malha",0,C87="Dublagem Barreira",1,C87="Pel. + Cal.",0.4,C87="Fel. + Pel. + Cal.",0.5,C87="Pel. + Spun",0.8,C87="Espelhamento - L: 1,45m",0.8,C87="Espelhamento - L: 1,65m",0.8,C87="Estampagem",1,C87="Fel. + Cal.",0.4,C87="Dublagem Juta",0.8,C87="Dublagem Cretone - MO (Juta)",0.8,C87="Dublagem Tapete",0.8,C87="Esp. + Pel.",0.8,C87="Espelhamento 2x",0.8)</f>
        <v>#N/A</v>
      </c>
      <c r="U87" s="18">
        <v>1</v>
      </c>
      <c r="V87" s="18">
        <v>1</v>
      </c>
      <c r="W87" s="18"/>
      <c r="X87" s="18">
        <v>39.67</v>
      </c>
      <c r="Y87" s="18">
        <v>38.51</v>
      </c>
      <c r="Z87" s="18">
        <v>116.78</v>
      </c>
      <c r="AA87" s="18"/>
    </row>
    <row r="88" spans="1:27" ht="14.25" customHeight="1" x14ac:dyDescent="0.35">
      <c r="A88" s="18"/>
      <c r="B88" s="22" t="s">
        <v>151</v>
      </c>
      <c r="C88" s="23" t="s">
        <v>247</v>
      </c>
      <c r="D88" s="23"/>
      <c r="E88" s="24">
        <v>1</v>
      </c>
      <c r="F88" s="25">
        <v>5.0999999999999996</v>
      </c>
      <c r="G88" s="25">
        <v>4.96</v>
      </c>
      <c r="H88" s="26" t="s">
        <v>243</v>
      </c>
      <c r="I88" s="27">
        <f t="shared" si="21"/>
        <v>4.96</v>
      </c>
      <c r="J88" s="28">
        <v>45663</v>
      </c>
      <c r="K88" s="29" t="s">
        <v>296</v>
      </c>
      <c r="L88" s="30">
        <f t="shared" si="22"/>
        <v>1.9984000000000002</v>
      </c>
      <c r="M88" s="30">
        <f>IF(B88="Texion Textil",0,IF(C88="Malha",'Custos insumos'!$B$24,IF(C88="Dublagem Cretone",'Custos insumos'!$D$7,IF(C88="Dublagem Spun",'Custos insumos'!$D$4,IF(C88="Espelhamento",'Custos insumos'!$B$11,IF(C88="Espelhamento 2x",2*'Custos insumos'!$B$11,IF(C88="Esp. + Pel.",'Custos insumos'!$B$11,IF(C88="Pel. + Spun",'Custos insumos'!$D$4,IF(C88="Dublagem Cretone PES",'Custos insumos'!$L$6,IF(C88="Dublagem Barreira",'Custos insumos'!$D$11,IF(C88="Dublagem - MO + Filme",'Custos insumos'!$D$4,IF(C88="Dublagem Cretone HM50",'Custos insumos'!$D$26,IF(C88="Dublagem Cretone HM70",'Custos insumos'!$F$10,)))))))))))))</f>
        <v>1.4616</v>
      </c>
      <c r="N88" s="30">
        <f>IF(B88="Texion Textil",0,IF(B88="Três Elos",0,IF(C88="Malha",0,IF(C88="Dublagem Cretone",'Custos insumos'!$D$23,IF(C88="Dublagem Spun",'Custos insumos'!$D$16,IF(C88="Espelhamento",0,IF(C88="Espelhamento 2x",0,IF(C88="Esp. + Pel.",0,IF(C88="Pel. + Spun",'Custos insumos'!$D$16,IF(C88="Dublagem Cretone PES",'Custos insumos'!$L$25,IF(C88="Dublagem Barreira",'Custos insumos'!$D$22,)))))))))))</f>
        <v>1.5</v>
      </c>
      <c r="O88" s="18"/>
      <c r="P88" s="53">
        <f t="shared" si="1"/>
        <v>0.1934206989247311</v>
      </c>
      <c r="Q88" s="50">
        <f t="shared" si="2"/>
        <v>892.8</v>
      </c>
      <c r="R88" s="50" cm="1">
        <f t="array" ref="R88">_xlfn.IFS(C88="Calandra",(350),C88="Peletização",(421),C88="Dublagem Spun",(250),C88="Dublagem Cretone PES",(180),C88="Felpagem",(270/E88),C88="Emborrachamento",(200),C88="Espelhamento",(250),C88="Malha",(1),C88="Dublagem Cretone",(180),C88="Malha",(1),C88="Dublagem Spun - MO",250,C88="Dublagem Cretone - MO",180,C88="Dublagem Cretone PES - MO",180,C88="Espelhamento - MO",250,C88="Emborrachamento",100,C88="Malha",0,C88="Dublagem Barreira",100,C88="Pel. + Cal.",350,C88="Fel. + Pel. + Cal.",270,C88="Pel. + Spun",250,C88="Espelhamento - L: 1,45m",200,C88="Espelhamento - L: 1,65m",200,C88="Estampagem",100,C88="Fel. + Cal.",270,C88="Dublagem Juta",180,C88="Dublagem Cretone - MO (Juta)",180,C88="Dublagem Tapete",150,C88="Esp. + Pel.",200,C88="Espelhamento 2x",100)</f>
        <v>180</v>
      </c>
      <c r="S88" s="50">
        <f>(T88*X88)+(U88*Y88)+(V88*Z88)+((M88+N88)*(R88))</f>
        <v>720.11400000000003</v>
      </c>
      <c r="T88" s="18" cm="1">
        <f t="array" ref="T88">_xlfn.IFS(C88="Calandra",0.4,C88="Felpagem",0.3,C88="Dublagem Spun",0.8,C88="Dublagem Cretone",0.8,C88="Dublagem Cretone PES",0.8,C88="Espelhamento",0.8,C88="Peletização",0.5,C88="Dublagem Spun - MO",0.8,C88="Dublagem Cretone - MO",0.8,C88="Dublagem Cretone PES - MO",0.8,C88="Espelhamento - MO",0.8,C88="Emborrachamento",1,C88="Malha",0,C88="Dublagem Barreira",1,C88="Pel. + Cal.",0.4,C88="Fel. + Pel. + Cal.",0.5,C88="Pel. + Spun",0.8,C88="Espelhamento - L: 1,45m",0.8,C88="Espelhamento - L: 1,65m",0.8,C88="Estampagem",1,C88="Fel. + Cal.",0.4,C88="Dublagem Juta",0.8,C88="Dublagem Cretone - MO (Juta)",0.8,C88="Dublagem Tapete",0.8,C88="Esp. + Pel.",0.8,C88="Espelhamento 2x",0.8)</f>
        <v>0.8</v>
      </c>
      <c r="U88" s="18">
        <v>1</v>
      </c>
      <c r="V88" s="18">
        <v>1</v>
      </c>
      <c r="W88" s="18"/>
      <c r="X88" s="18">
        <v>39.67</v>
      </c>
      <c r="Y88" s="18">
        <v>38.51</v>
      </c>
      <c r="Z88" s="18">
        <v>116.78</v>
      </c>
      <c r="AA88" s="18"/>
    </row>
    <row r="89" spans="1:27" ht="14.25" customHeight="1" x14ac:dyDescent="0.35">
      <c r="A89" s="18"/>
      <c r="B89" s="22" t="s">
        <v>151</v>
      </c>
      <c r="C89" s="23" t="s">
        <v>424</v>
      </c>
      <c r="D89" s="23"/>
      <c r="E89" s="24">
        <v>1</v>
      </c>
      <c r="F89" s="25">
        <v>4.5</v>
      </c>
      <c r="G89" s="25">
        <v>3.84</v>
      </c>
      <c r="H89" s="26" t="s">
        <v>243</v>
      </c>
      <c r="I89" s="27">
        <f t="shared" si="21"/>
        <v>3.84</v>
      </c>
      <c r="J89" s="28">
        <v>45663</v>
      </c>
      <c r="K89" s="29" t="s">
        <v>295</v>
      </c>
      <c r="L89" s="30">
        <f t="shared" si="22"/>
        <v>2.4012000000000002</v>
      </c>
      <c r="M89" s="30">
        <f>'Custos insumos'!L3</f>
        <v>0.73080000000000001</v>
      </c>
      <c r="N89" s="30">
        <f>'Custos insumos'!L18</f>
        <v>0.70799999999999996</v>
      </c>
      <c r="O89" s="18"/>
      <c r="P89" s="53" t="e">
        <f t="shared" si="1"/>
        <v>#N/A</v>
      </c>
      <c r="Q89" s="50" t="e">
        <f t="shared" si="2"/>
        <v>#N/A</v>
      </c>
      <c r="R89" s="50" t="e" cm="1">
        <f t="array" ref="R89">_xlfn.IFS(C89="Calandra",(350),C89="Peletização",(421),C89="Dublagem Spun",(250),C89="Dublagem Cretone PES",(180),C89="Felpagem",(270/E89),C89="Emborrachamento",(200),C89="Espelhamento",(250),C89="Malha",(1),C89="Dublagem Cretone",(180),C89="Malha",(1),C89="Dublagem Spun - MO",250,C89="Dublagem Cretone - MO",180,C89="Dublagem Cretone PES - MO",180,C89="Espelhamento - MO",250,C89="Emborrachamento",100,C89="Malha",0,C89="Dublagem Barreira",100,C89="Pel. + Cal.",350,C89="Fel. + Pel. + Cal.",270,C89="Pel. + Spun",250,C89="Espelhamento - L: 1,45m",200,C89="Espelhamento - L: 1,65m",200,C89="Estampagem",100,C89="Fel. + Cal.",270,C89="Dublagem Juta",180,C89="Dublagem Cretone - MO (Juta)",180,C89="Dublagem Tapete",150,C89="Esp. + Pel.",200,C89="Espelhamento 2x",100)</f>
        <v>#N/A</v>
      </c>
      <c r="S89" s="50" t="e">
        <f t="shared" si="25"/>
        <v>#N/A</v>
      </c>
      <c r="T89" s="18" t="e" cm="1">
        <f t="array" ref="T89">_xlfn.IFS(C89="Calandra",0.4,C89="Felpagem",0.3,C89="Dublagem Spun",0.8,C89="Dublagem Cretone",0.8,C89="Dublagem Cretone PES",0.8,C89="Espelhamento",0.8,C89="Peletização",0.5,C89="Dublagem Spun - MO",0.8,C89="Dublagem Cretone - MO",0.8,C89="Dublagem Cretone PES - MO",0.8,C89="Espelhamento - MO",0.8,C89="Emborrachamento",1,C89="Malha",0,C89="Dublagem Barreira",1,C89="Pel. + Cal.",0.4,C89="Fel. + Pel. + Cal.",0.5,C89="Pel. + Spun",0.8,C89="Espelhamento - L: 1,45m",0.8,C89="Espelhamento - L: 1,65m",0.8,C89="Estampagem",1,C89="Fel. + Cal.",0.4,C89="Dublagem Juta",0.8,C89="Dublagem Cretone - MO (Juta)",0.8,C89="Dublagem Tapete",0.8,C89="Esp. + Pel.",0.8,C89="Espelhamento 2x",0.8)</f>
        <v>#N/A</v>
      </c>
      <c r="U89" s="18">
        <v>1</v>
      </c>
      <c r="V89" s="18">
        <v>1</v>
      </c>
      <c r="W89" s="18"/>
      <c r="X89" s="18">
        <v>39.67</v>
      </c>
      <c r="Y89" s="18">
        <v>38.51</v>
      </c>
      <c r="Z89" s="18">
        <v>116.78</v>
      </c>
      <c r="AA89" s="18"/>
    </row>
    <row r="90" spans="1:27" ht="14.25" customHeight="1" x14ac:dyDescent="0.35">
      <c r="A90" s="18"/>
      <c r="B90" s="22" t="s">
        <v>151</v>
      </c>
      <c r="C90" s="23" t="s">
        <v>448</v>
      </c>
      <c r="D90" s="23"/>
      <c r="E90" s="24">
        <v>1</v>
      </c>
      <c r="F90" s="25">
        <v>4.5</v>
      </c>
      <c r="G90" s="25">
        <v>4.0999999999999996</v>
      </c>
      <c r="H90" s="26" t="s">
        <v>243</v>
      </c>
      <c r="I90" s="27">
        <f t="shared" si="21"/>
        <v>4.0999999999999996</v>
      </c>
      <c r="J90" s="28">
        <v>45663</v>
      </c>
      <c r="K90" s="29" t="s">
        <v>295</v>
      </c>
      <c r="L90" s="30">
        <f t="shared" si="22"/>
        <v>2.6612</v>
      </c>
      <c r="M90" s="30">
        <f>'Custos insumos'!L3</f>
        <v>0.73080000000000001</v>
      </c>
      <c r="N90" s="30">
        <f>'Custos insumos'!L18</f>
        <v>0.70799999999999996</v>
      </c>
      <c r="O90" s="18"/>
      <c r="P90" s="53" t="e">
        <f t="shared" ref="P90" si="29">(Q90-S90)/Q90</f>
        <v>#N/A</v>
      </c>
      <c r="Q90" s="50" t="e">
        <f t="shared" ref="Q90" si="30">G90*R90</f>
        <v>#N/A</v>
      </c>
      <c r="R90" s="50" t="e" cm="1">
        <f t="array" ref="R90">_xlfn.IFS(C90="Calandra",(350),C90="Peletização",(421),C90="Dublagem Spun",(250),C90="Dublagem Cretone PES",(180),C90="Felpagem",(270/E90),C90="Emborrachamento",(200),C90="Espelhamento",(250),C90="Malha",(1),C90="Dublagem Cretone",(180),C90="Malha",(1),C90="Dublagem Spun - MO",250,C90="Dublagem Cretone - MO",180,C90="Dublagem Cretone PES - MO",180,C90="Espelhamento - MO",250,C90="Emborrachamento",100,C90="Malha",0,C90="Dublagem Barreira",100,C90="Pel. + Cal.",350,C90="Fel. + Pel. + Cal.",270,C90="Pel. + Spun",250,C90="Espelhamento - L: 1,45m",200,C90="Espelhamento - L: 1,65m",200,C90="Estampagem",100,C90="Fel. + Cal.",270,C90="Dublagem Juta",180,C90="Dublagem Cretone - MO (Juta)",180,C90="Dublagem Tapete",150,C90="Esp. + Pel.",200,C90="Espelhamento 2x",100)</f>
        <v>#N/A</v>
      </c>
      <c r="S90" s="50" t="e">
        <f t="shared" ref="S90" si="31">(T90*X90)+(U90*Y90)+(V90*Z90)+((M90+N90)*(R90))</f>
        <v>#N/A</v>
      </c>
      <c r="T90" s="18" t="e" cm="1">
        <f t="array" ref="T90">_xlfn.IFS(C90="Calandra",0.4,C90="Felpagem",0.3,C90="Dublagem Spun",0.8,C90="Dublagem Cretone",0.8,C90="Dublagem Cretone PES",0.8,C90="Espelhamento",0.8,C90="Peletização",0.5,C90="Dublagem Spun - MO",0.8,C90="Dublagem Cretone - MO",0.8,C90="Dublagem Cretone PES - MO",0.8,C90="Espelhamento - MO",0.8,C90="Emborrachamento",1,C90="Malha",0,C90="Dublagem Barreira",1,C90="Pel. + Cal.",0.4,C90="Fel. + Pel. + Cal.",0.5,C90="Pel. + Spun",0.8,C90="Espelhamento - L: 1,45m",0.8,C90="Espelhamento - L: 1,65m",0.8,C90="Estampagem",1,C90="Fel. + Cal.",0.4,C90="Dublagem Juta",0.8,C90="Dublagem Cretone - MO (Juta)",0.8,C90="Dublagem Tapete",0.8,C90="Esp. + Pel.",0.8,C90="Espelhamento 2x",0.8)</f>
        <v>#N/A</v>
      </c>
      <c r="U90" s="18">
        <v>1</v>
      </c>
      <c r="V90" s="18">
        <v>1</v>
      </c>
      <c r="W90" s="18"/>
      <c r="X90" s="18">
        <v>39.67</v>
      </c>
      <c r="Y90" s="18">
        <v>38.51</v>
      </c>
      <c r="Z90" s="18">
        <v>116.78</v>
      </c>
      <c r="AA90" s="18"/>
    </row>
    <row r="91" spans="1:27" ht="14.25" customHeight="1" x14ac:dyDescent="0.35">
      <c r="A91" s="18"/>
      <c r="B91" s="22" t="s">
        <v>151</v>
      </c>
      <c r="C91" s="23" t="s">
        <v>432</v>
      </c>
      <c r="D91" s="23"/>
      <c r="E91" s="24">
        <v>1</v>
      </c>
      <c r="F91" s="25">
        <v>4.5</v>
      </c>
      <c r="G91" s="25">
        <f>F91</f>
        <v>4.5</v>
      </c>
      <c r="H91" s="26" t="s">
        <v>243</v>
      </c>
      <c r="I91" s="27">
        <f t="shared" si="21"/>
        <v>4.5</v>
      </c>
      <c r="J91" s="28">
        <v>45663</v>
      </c>
      <c r="K91" s="29" t="s">
        <v>295</v>
      </c>
      <c r="L91" s="30">
        <f t="shared" si="22"/>
        <v>4.5</v>
      </c>
      <c r="M91" s="30">
        <f>IF(B91="Texion Textil",0,IF(C91="Malha",'Custos insumos'!$B$24,IF(C91="Dublagem Cretone",'Custos insumos'!$D$7,IF(C91="Dublagem Spun",'Custos insumos'!$D$4,IF(C91="Espelhamento",'Custos insumos'!$B$11,IF(C91="Espelhamento 2x",2*'Custos insumos'!$B$11,IF(C91="Esp. + Pel.",'Custos insumos'!$B$11,IF(C91="Pel. + Spun",'Custos insumos'!$D$4,IF(C91="Dublagem Cretone PES",'Custos insumos'!$D$7,IF(C91="Dublagem Barreira",'Custos insumos'!$D$11,IF(C91="Dublagem - MO + Filme",'Custos insumos'!$D$4,IF(C91="Dublagem Cretone HM50",'Custos insumos'!$D$26,IF(C91="Dublagem Cretone HM70",'Custos insumos'!$F$10,)))))))))))))</f>
        <v>0</v>
      </c>
      <c r="N91" s="30">
        <f>IF(B91="Texion Textil",0,IF(B91="Três Elos",0,IF(C91="Malha",0,IF(C91="Dublagem Cretone",'Custos insumos'!$D$23,IF(C91="Dublagem Spun",'Custos insumos'!$D$16,IF(C91="Espelhamento",0,IF(C91="Espelhamento 2x",0,IF(C91="Esp. + Pel.",0,IF(C91="Pel. + Spun",'Custos insumos'!$D$16,IF(C91="Dublagem Cretone PES",'Custos insumos'!$F$25,IF(C91="Dublagem Barreira",'Custos insumos'!$D$22,)))))))))))</f>
        <v>0</v>
      </c>
      <c r="O91" s="18"/>
      <c r="P91" s="53" t="e">
        <f t="shared" si="1"/>
        <v>#N/A</v>
      </c>
      <c r="Q91" s="50" t="e">
        <f t="shared" si="2"/>
        <v>#N/A</v>
      </c>
      <c r="R91" s="50" t="e" cm="1">
        <f t="array" ref="R91">_xlfn.IFS(C91="Calandra",(350),C91="Peletização",(421),C91="Dublagem Spun",(250),C91="Dublagem Cretone PES",(180),C91="Felpagem",(270/E91),C91="Emborrachamento",(200),C91="Espelhamento",(250),C91="Malha",(1),C91="Dublagem Cretone",(180),C91="Malha",(1),C91="Dublagem Spun - MO",250,C91="Dublagem Cretone - MO",180,C91="Dublagem Cretone PES - MO",180,C91="Espelhamento - MO",250,C91="Emborrachamento",100,C91="Malha",0,C91="Dublagem Barreira",100,C91="Pel. + Cal.",350,C91="Fel. + Pel. + Cal.",270,C91="Pel. + Spun",250,C91="Espelhamento - L: 1,45m",200,C91="Espelhamento - L: 1,65m",200,C91="Estampagem",100,C91="Fel. + Cal.",270,C91="Dublagem Juta",180,C91="Dublagem Cretone - MO (Juta)",180,C91="Dublagem Tapete",150,C91="Esp. + Pel.",200,C91="Espelhamento 2x",100)</f>
        <v>#N/A</v>
      </c>
      <c r="S91" s="50" t="e">
        <f t="shared" si="25"/>
        <v>#N/A</v>
      </c>
      <c r="T91" s="18" t="e" cm="1">
        <f t="array" ref="T91">_xlfn.IFS(C91="Calandra",0.4,C91="Felpagem",0.3,C91="Dublagem Spun",0.8,C91="Dublagem Cretone",0.8,C91="Dublagem Cretone PES",0.8,C91="Espelhamento",0.8,C91="Peletização",0.5,C91="Dublagem Spun - MO",0.8,C91="Dublagem Cretone - MO",0.8,C91="Dublagem Cretone PES - MO",0.8,C91="Espelhamento - MO",0.8,C91="Emborrachamento",1,C91="Malha",0,C91="Dublagem Barreira",1,C91="Pel. + Cal.",0.4,C91="Fel. + Pel. + Cal.",0.5,C91="Pel. + Spun",0.8,C91="Espelhamento - L: 1,45m",0.8,C91="Espelhamento - L: 1,65m",0.8,C91="Estampagem",1,C91="Fel. + Cal.",0.4,C91="Dublagem Juta",0.8,C91="Dublagem Cretone - MO (Juta)",0.8,C91="Dublagem Tapete",0.8,C91="Esp. + Pel.",0.8,C91="Espelhamento 2x",0.8)</f>
        <v>#N/A</v>
      </c>
      <c r="U91" s="18">
        <v>1</v>
      </c>
      <c r="V91" s="18">
        <v>1</v>
      </c>
      <c r="W91" s="18"/>
      <c r="X91" s="18">
        <v>39.67</v>
      </c>
      <c r="Y91" s="18">
        <v>38.51</v>
      </c>
      <c r="Z91" s="18">
        <v>116.78</v>
      </c>
      <c r="AA91" s="18"/>
    </row>
    <row r="92" spans="1:27" ht="14.25" customHeight="1" x14ac:dyDescent="0.35">
      <c r="A92" s="18"/>
      <c r="B92" s="22" t="s">
        <v>151</v>
      </c>
      <c r="C92" s="23" t="s">
        <v>142</v>
      </c>
      <c r="D92" s="23"/>
      <c r="E92" s="24">
        <v>1</v>
      </c>
      <c r="F92" s="25">
        <v>0.65</v>
      </c>
      <c r="G92" s="25">
        <f>F92</f>
        <v>0.65</v>
      </c>
      <c r="H92" s="26" t="s">
        <v>243</v>
      </c>
      <c r="I92" s="27">
        <f t="shared" si="21"/>
        <v>0.65</v>
      </c>
      <c r="J92" s="28">
        <v>45663</v>
      </c>
      <c r="K92" s="29"/>
      <c r="L92" s="30">
        <f t="shared" si="22"/>
        <v>0.65</v>
      </c>
      <c r="M92" s="30">
        <f>IF(B92="Texion Textil",0,IF(C92="Malha",'Custos insumos'!$B$24,IF(C92="Dublagem Cretone",'Custos insumos'!$D$7,IF(C92="Dublagem Spun",'Custos insumos'!$D$4,IF(C92="Espelhamento",'Custos insumos'!$B$11,IF(C92="Espelhamento 2x",2*'Custos insumos'!$B$11,IF(C92="Esp. + Pel.",'Custos insumos'!$B$11,IF(C92="Pel. + Spun",'Custos insumos'!$D$4,IF(C92="Dublagem Cretone PES",'Custos insumos'!$D$7,IF(C92="Dublagem Barreira",'Custos insumos'!$D$11,IF(C92="Dublagem - MO + Filme",'Custos insumos'!$D$4,IF(C92="Dublagem Cretone HM50",'Custos insumos'!$D$26,IF(C92="Dublagem Cretone HM70",'Custos insumos'!$F$10,)))))))))))))</f>
        <v>0</v>
      </c>
      <c r="N92" s="30">
        <f>IF(B92="Texion Textil",0,IF(B92="Três Elos",0,IF(C92="Malha",0,IF(C92="Dublagem Cretone",'Custos insumos'!$D$23,IF(C92="Dublagem Spun",'Custos insumos'!$D$16,IF(C92="Espelhamento",0,IF(C92="Espelhamento 2x",0,IF(C92="Esp. + Pel.",0,IF(C92="Pel. + Spun",'Custos insumos'!$D$16,IF(C92="Dublagem Cretone PES",'Custos insumos'!$F$25,IF(C92="Dublagem Barreira",'Custos insumos'!$D$22,)))))))))))</f>
        <v>0</v>
      </c>
      <c r="O92" s="18"/>
      <c r="P92" s="53">
        <f t="shared" si="1"/>
        <v>0.2476571428571428</v>
      </c>
      <c r="Q92" s="50">
        <f t="shared" si="2"/>
        <v>227.5</v>
      </c>
      <c r="R92" s="50" cm="1">
        <f t="array" ref="R92">_xlfn.IFS(C92="Calandra",(350),C92="Peletização",(421),C92="Dublagem Spun",(250),C92="Dublagem Cretone PES",(180),C92="Felpagem",(270/E92),C92="Emborrachamento",(200),C92="Espelhamento",(250),C92="Malha",(1),C92="Dublagem Cretone",(180),C92="Malha",(1),C92="Dublagem Spun - MO",250,C92="Dublagem Cretone - MO",180,C92="Dublagem Cretone PES - MO",180,C92="Espelhamento - MO",250,C92="Emborrachamento",100,C92="Malha",0,C92="Dublagem Barreira",100,C92="Pel. + Cal.",350,C92="Fel. + Pel. + Cal.",270,C92="Pel. + Spun",250,C92="Espelhamento - L: 1,45m",200,C92="Espelhamento - L: 1,65m",200,C92="Estampagem",100,C92="Fel. + Cal.",270,C92="Dublagem Juta",180,C92="Dublagem Cretone - MO (Juta)",180,C92="Dublagem Tapete",150,C92="Esp. + Pel.",200,C92="Espelhamento 2x",100)</f>
        <v>350</v>
      </c>
      <c r="S92" s="50">
        <f t="shared" si="25"/>
        <v>171.15800000000002</v>
      </c>
      <c r="T92" s="18" cm="1">
        <f t="array" ref="T92">_xlfn.IFS(C92="Calandra",0.4,C92="Felpagem",0.3,C92="Dublagem Spun",0.8,C92="Dublagem Cretone",0.8,C92="Dublagem Cretone PES",0.8,C92="Espelhamento",0.8,C92="Peletização",0.5,C92="Dublagem Spun - MO",0.8,C92="Dublagem Cretone - MO",0.8,C92="Dublagem Cretone PES - MO",0.8,C92="Espelhamento - MO",0.8,C92="Emborrachamento",1,C92="Malha",0,C92="Dublagem Barreira",1,C92="Pel. + Cal.",0.4,C92="Fel. + Pel. + Cal.",0.5,C92="Pel. + Spun",0.8,C92="Espelhamento - L: 1,45m",0.8,C92="Espelhamento - L: 1,65m",0.8,C92="Estampagem",1,C92="Fel. + Cal.",0.4,C92="Dublagem Juta",0.8,C92="Dublagem Cretone - MO (Juta)",0.8,C92="Dublagem Tapete",0.8,C92="Esp. + Pel.",0.8,C92="Espelhamento 2x",0.8)</f>
        <v>0.4</v>
      </c>
      <c r="U92" s="18">
        <v>1</v>
      </c>
      <c r="V92" s="18">
        <v>1</v>
      </c>
      <c r="W92" s="18"/>
      <c r="X92" s="18">
        <v>39.67</v>
      </c>
      <c r="Y92" s="18">
        <v>38.51</v>
      </c>
      <c r="Z92" s="18">
        <v>116.78</v>
      </c>
      <c r="AA92" s="18"/>
    </row>
    <row r="93" spans="1:27" ht="14.25" customHeight="1" x14ac:dyDescent="0.35">
      <c r="A93" s="18"/>
      <c r="B93" s="22" t="s">
        <v>363</v>
      </c>
      <c r="C93" s="23" t="s">
        <v>142</v>
      </c>
      <c r="D93" s="23"/>
      <c r="E93" s="24"/>
      <c r="F93" s="25"/>
      <c r="G93" s="25">
        <v>0.9</v>
      </c>
      <c r="H93" s="26" t="s">
        <v>243</v>
      </c>
      <c r="I93" s="27">
        <v>0.65</v>
      </c>
      <c r="J93" s="28"/>
      <c r="K93" s="29"/>
      <c r="L93" s="30"/>
      <c r="M93" s="30"/>
      <c r="N93" s="30"/>
      <c r="O93" s="18"/>
      <c r="P93" s="53">
        <f t="shared" ref="P93" si="32">(Q93-S93)/Q93</f>
        <v>1</v>
      </c>
      <c r="Q93" s="50">
        <f t="shared" ref="Q93" si="33">G93*R93</f>
        <v>315</v>
      </c>
      <c r="R93" s="50" cm="1">
        <f t="array" ref="R93">_xlfn.IFS(C93="Calandra",(350),C93="Peletização",(421),C93="Dublagem Spun",(250),C93="Dublagem Cretone PES",(180),C93="Felpagem",(270/E93),C93="Emborrachamento",(200),C93="Espelhamento",(250),C93="Malha",(1),C93="Dublagem Cretone",(180),C93="Malha",(1),C93="Dublagem Spun - MO",250,C93="Dublagem Cretone - MO",180,C93="Dublagem Cretone PES - MO",180,C93="Espelhamento - MO",250,C93="Emborrachamento",100,C93="Malha",0,C93="Dublagem Barreira",100,C93="Pel. + Cal.",350,C93="Fel. + Pel. + Cal.",270,C93="Pel. + Spun",250,C93="Espelhamento - L: 1,45m",200,C93="Espelhamento - L: 1,65m",200,C93="Estampagem",100,C93="Fel. + Cal.",270,C93="Dublagem Juta",180,C93="Dublagem Cretone - MO (Juta)",180,C93="Dublagem Tapete",150,C93="Esp. + Pel.",200,C93="Espelhamento 2x",100)</f>
        <v>350</v>
      </c>
      <c r="S93" s="50">
        <f t="shared" si="25"/>
        <v>0</v>
      </c>
      <c r="T93" s="18" cm="1">
        <f t="array" ref="T93">_xlfn.IFS(C93="Calandra",0.4,C93="Felpagem",0.3,C93="Dublagem Spun",0.8,C93="Dublagem Cretone",0.8,C93="Dublagem Cretone PES",0.8,C93="Espelhamento",0.8,C93="Peletização",0.5,C93="Dublagem Spun - MO",0.8,C93="Dublagem Cretone - MO",0.8,C93="Dublagem Cretone PES - MO",0.8,C93="Espelhamento - MO",0.8,C93="Emborrachamento",1,C93="Malha",0,C93="Dublagem Barreira",1,C93="Pel. + Cal.",0.4,C93="Fel. + Pel. + Cal.",0.5,C93="Pel. + Spun",0.8,C93="Espelhamento - L: 1,45m",0.8,C93="Espelhamento - L: 1,65m",0.8,C93="Estampagem",1,C93="Fel. + Cal.",0.4,C93="Dublagem Juta",0.8,C93="Dublagem Cretone - MO (Juta)",0.8,C93="Dublagem Tapete",0.8,C93="Esp. + Pel.",0.8,C93="Espelhamento 2x",0.8)</f>
        <v>0.4</v>
      </c>
      <c r="U93" s="18"/>
      <c r="V93" s="18"/>
      <c r="W93" s="18"/>
      <c r="X93" s="18"/>
      <c r="Y93" s="18"/>
      <c r="Z93" s="18"/>
      <c r="AA93" s="18"/>
    </row>
    <row r="94" spans="1:27" ht="14.25" customHeight="1" x14ac:dyDescent="0.35">
      <c r="A94" s="18"/>
      <c r="B94" s="22" t="s">
        <v>363</v>
      </c>
      <c r="C94" s="23" t="s">
        <v>144</v>
      </c>
      <c r="D94" s="23"/>
      <c r="E94" s="24"/>
      <c r="F94" s="25"/>
      <c r="G94" s="25">
        <v>0.65</v>
      </c>
      <c r="H94" s="26" t="s">
        <v>243</v>
      </c>
      <c r="I94" s="27">
        <v>0.65</v>
      </c>
      <c r="J94" s="28"/>
      <c r="K94" s="29"/>
      <c r="L94" s="30"/>
      <c r="M94" s="30"/>
      <c r="N94" s="30"/>
      <c r="O94" s="18"/>
      <c r="P94" s="53">
        <f t="shared" ref="P94:P174" si="34">(Q94-S94)/Q94</f>
        <v>1</v>
      </c>
      <c r="Q94" s="50">
        <f t="shared" ref="Q94:Q174" si="35">G94*R94</f>
        <v>273.65000000000003</v>
      </c>
      <c r="R94" s="50" cm="1">
        <f t="array" ref="R94">_xlfn.IFS(C94="Calandra",(350),C94="Peletização",(421),C94="Dublagem Spun",(250),C94="Dublagem Cretone PES",(180),C94="Felpagem",(270/E94),C94="Emborrachamento",(200),C94="Espelhamento",(250),C94="Malha",(1),C94="Dublagem Cretone",(180),C94="Malha",(1),C94="Dublagem Spun - MO",250,C94="Dublagem Cretone - MO",180,C94="Dublagem Cretone PES - MO",180,C94="Espelhamento - MO",250,C94="Emborrachamento",100,C94="Malha",0,C94="Dublagem Barreira",100,C94="Pel. + Cal.",350,C94="Fel. + Pel. + Cal.",270,C94="Pel. + Spun",250,C94="Espelhamento - L: 1,45m",200,C94="Espelhamento - L: 1,65m",200,C94="Estampagem",100,C94="Fel. + Cal.",270,C94="Dublagem Juta",180,C94="Dublagem Cretone - MO (Juta)",180,C94="Dublagem Tapete",150,C94="Esp. + Pel.",200,C94="Espelhamento 2x",100)</f>
        <v>421</v>
      </c>
      <c r="S94" s="50">
        <f t="shared" ref="S94:S174" si="36">(T94*X94)+(U94*Y94)+(V94*Z94)+((M94+N94)*(R94))</f>
        <v>0</v>
      </c>
      <c r="T94" s="18" cm="1">
        <f t="array" ref="T94">_xlfn.IFS(C94="Calandra",0.4,C94="Felpagem",0.3,C94="Dublagem Spun",0.8,C94="Dublagem Cretone",0.8,C94="Dublagem Cretone PES",0.8,C94="Espelhamento",0.8,C94="Peletização",0.5,C94="Dublagem Spun - MO",0.8,C94="Dublagem Cretone - MO",0.8,C94="Dublagem Cretone PES - MO",0.8,C94="Espelhamento - MO",0.8,C94="Emborrachamento",1,C94="Malha",0,C94="Dublagem Barreira",1,C94="Pel. + Cal.",0.4,C94="Fel. + Pel. + Cal.",0.5,C94="Pel. + Spun",0.8,C94="Espelhamento - L: 1,45m",0.8,C94="Espelhamento - L: 1,65m",0.8,C94="Estampagem",1,C94="Fel. + Cal.",0.4,C94="Dublagem Juta",0.8,C94="Dublagem Cretone - MO (Juta)",0.8,C94="Dublagem Tapete",0.8,C94="Esp. + Pel.",0.8,C94="Espelhamento 2x",0.8)</f>
        <v>0.5</v>
      </c>
      <c r="U94" s="18"/>
      <c r="V94" s="18"/>
      <c r="W94" s="18"/>
      <c r="X94" s="18"/>
      <c r="Y94" s="18"/>
      <c r="Z94" s="18"/>
      <c r="AA94" s="18"/>
    </row>
    <row r="95" spans="1:27" ht="14.25" customHeight="1" x14ac:dyDescent="0.35">
      <c r="A95" s="18"/>
      <c r="B95" s="22" t="s">
        <v>154</v>
      </c>
      <c r="C95" s="23" t="s">
        <v>254</v>
      </c>
      <c r="D95" s="23"/>
      <c r="E95" s="24">
        <v>3</v>
      </c>
      <c r="F95" s="25">
        <v>1.1399999999999999</v>
      </c>
      <c r="G95" s="25">
        <f>F95</f>
        <v>1.1399999999999999</v>
      </c>
      <c r="H95" s="26" t="s">
        <v>243</v>
      </c>
      <c r="I95" s="27">
        <f t="shared" ref="I95:I114" si="37">G95/E95</f>
        <v>0.37999999999999995</v>
      </c>
      <c r="J95" s="28">
        <v>45663</v>
      </c>
      <c r="K95" s="29"/>
      <c r="L95" s="30">
        <f t="shared" ref="L95:L102" si="38">G95-M95-N95</f>
        <v>1.1399999999999999</v>
      </c>
      <c r="M95" s="30">
        <f>IF(B95="Texion Textil",0,IF(C95="Malha",'Custos insumos'!$B$24,IF(C95="Dublagem Cretone",'Custos insumos'!$D$7,IF(C95="Dublagem Spun",'Custos insumos'!$D$4,IF(C95="Espelhamento",'Custos insumos'!$B$11,IF(C95="Espelhamento 2x",2*'Custos insumos'!$B$11,IF(C95="Esp. + Pel.",'Custos insumos'!$B$11,IF(C95="Pel. + Spun",'Custos insumos'!$D$4,IF(C95="Dublagem Cretone PES",'Custos insumos'!$D$7,IF(C95="Dublagem Barreira",'Custos insumos'!$D$11,IF(C95="Dublagem - MO + Filme",'Custos insumos'!$D$4,IF(C95="Dublagem Cretone HM50",'Custos insumos'!$D$26,IF(C95="Dublagem Cretone HM70",'Custos insumos'!$F$10,)))))))))))))</f>
        <v>0</v>
      </c>
      <c r="N95" s="30">
        <f>IF(B95="Texion Textil",0,IF(B95="Três Elos",0,IF(C95="Malha",0,IF(C95="Dublagem Cretone",'Custos insumos'!$D$23,IF(C95="Dublagem Spun",'Custos insumos'!$D$16,IF(C95="Espelhamento",0,IF(C95="Espelhamento 2x",0,IF(C95="Esp. + Pel.",0,IF(C95="Pel. + Spun",'Custos insumos'!$D$16,IF(C95="Dublagem Cretone PES",'Custos insumos'!$F$25,IF(C95="Dublagem Barreira",'Custos insumos'!$D$22,)))))))))))</f>
        <v>0</v>
      </c>
      <c r="O95" s="18"/>
      <c r="P95" s="53">
        <f t="shared" si="34"/>
        <v>-0.62954191033138418</v>
      </c>
      <c r="Q95" s="50">
        <f t="shared" si="35"/>
        <v>102.6</v>
      </c>
      <c r="R95" s="50" cm="1">
        <f t="array" ref="R95">_xlfn.IFS(C95="Calandra",(350),C95="Peletização",(421),C95="Dublagem Spun",(250),C95="Dublagem Cretone PES",(180),C95="Felpagem",(270/E95),C95="Emborrachamento",(200),C95="Espelhamento",(250),C95="Malha",(1),C95="Dublagem Cretone",(180),C95="Malha",(1),C95="Dublagem Spun - MO",250,C95="Dublagem Cretone - MO",180,C95="Dublagem Cretone PES - MO",180,C95="Espelhamento - MO",250,C95="Emborrachamento",100,C95="Malha",0,C95="Dublagem Barreira",100,C95="Pel. + Cal.",350,C95="Fel. + Pel. + Cal.",270,C95="Pel. + Spun",250,C95="Espelhamento - L: 1,45m",200,C95="Espelhamento - L: 1,65m",200,C95="Estampagem",100,C95="Fel. + Cal.",270,C95="Dublagem Juta",180,C95="Dublagem Cretone - MO (Juta)",180,C95="Dublagem Tapete",150,C95="Esp. + Pel.",200,C95="Espelhamento 2x",100)</f>
        <v>90</v>
      </c>
      <c r="S95" s="50">
        <f t="shared" si="36"/>
        <v>167.191</v>
      </c>
      <c r="T95" s="18" cm="1">
        <f t="array" ref="T95">_xlfn.IFS(C95="Calandra",0.4,C95="Felpagem",0.3,C95="Dublagem Spun",0.8,C95="Dublagem Cretone",0.8,C95="Dublagem Cretone PES",0.8,C95="Espelhamento",0.8,C95="Peletização",0.5,C95="Dublagem Spun - MO",0.8,C95="Dublagem Cretone - MO",0.8,C95="Dublagem Cretone PES - MO",0.8,C95="Espelhamento - MO",0.8,C95="Emborrachamento",1,C95="Malha",0,C95="Dublagem Barreira",1,C95="Pel. + Cal.",0.4,C95="Fel. + Pel. + Cal.",0.5,C95="Pel. + Spun",0.8,C95="Espelhamento - L: 1,45m",0.8,C95="Espelhamento - L: 1,65m",0.8,C95="Estampagem",1,C95="Fel. + Cal.",0.4,C95="Dublagem Juta",0.8,C95="Dublagem Cretone - MO (Juta)",0.8,C95="Dublagem Tapete",0.8,C95="Esp. + Pel.",0.8,C95="Espelhamento 2x",0.8)</f>
        <v>0.3</v>
      </c>
      <c r="U95" s="18">
        <v>1</v>
      </c>
      <c r="V95" s="18">
        <v>1</v>
      </c>
      <c r="W95" s="18"/>
      <c r="X95" s="18">
        <v>39.67</v>
      </c>
      <c r="Y95" s="18">
        <v>38.51</v>
      </c>
      <c r="Z95" s="18">
        <v>116.78</v>
      </c>
      <c r="AA95" s="18"/>
    </row>
    <row r="96" spans="1:27" ht="14.25" customHeight="1" x14ac:dyDescent="0.35">
      <c r="A96" s="18"/>
      <c r="B96" s="22" t="s">
        <v>364</v>
      </c>
      <c r="C96" s="23" t="s">
        <v>247</v>
      </c>
      <c r="D96" s="23"/>
      <c r="E96" s="24"/>
      <c r="F96" s="25"/>
      <c r="G96" s="25">
        <v>5.9</v>
      </c>
      <c r="H96" s="26" t="s">
        <v>243</v>
      </c>
      <c r="I96" s="27" t="e">
        <f t="shared" si="37"/>
        <v>#DIV/0!</v>
      </c>
      <c r="J96" s="28"/>
      <c r="K96" s="29"/>
      <c r="L96" s="30">
        <f t="shared" si="38"/>
        <v>1.6100000000000008</v>
      </c>
      <c r="M96" s="30">
        <f>IF(B96="Texion Textil",0,IF(C96="Malha",'Custos insumos'!$B$24,IF(C96="Dublagem Cretone",'Custos insumos'!$D$7,IF(C96="Dublagem Spun",'Custos insumos'!$D$4,IF(C96="Espelhamento",'Custos insumos'!$B$11,IF(C96="Espelhamento 2x",2*'Custos insumos'!$B$11,IF(C96="Esp. + Pel.",'Custos insumos'!$B$11,IF(C96="Pel. + Spun",'Custos insumos'!$D$4,IF(C96="Dublagem Cretone PES",'Custos insumos'!$D$7,IF(C96="Dublagem Barreira",'Custos insumos'!$D$11,IF(C96="Dublagem - MO + Filme",'Custos insumos'!$D$4,IF(C96="Dublagem Cretone HM50",'Custos insumos'!$D$26,IF(C96="Dublagem Cretone HM70",'Custos insumos'!$F$10,)))))))))))))</f>
        <v>1.962</v>
      </c>
      <c r="N96" s="30">
        <f>IF(B96="Texion Textil",0,IF(B96="Três Elos",0,IF(C96="Malha",0,IF(C96="Dublagem Cretone",'Custos insumos'!$D$23,IF(C96="Dublagem Spun",'Custos insumos'!$D$16,IF(C96="Espelhamento",0,IF(C96="Espelhamento 2x",0,IF(C96="Esp. + Pel.",0,IF(C96="Pel. + Spun",'Custos insumos'!$D$16,IF(C96="Dublagem Cretone PES",'Custos insumos'!$F$25,IF(C96="Dublagem Barreira",'Custos insumos'!$D$22,)))))))))))</f>
        <v>2.3279999999999998</v>
      </c>
      <c r="O96" s="18"/>
      <c r="P96" s="53">
        <f t="shared" si="34"/>
        <v>9.6774011299434928E-2</v>
      </c>
      <c r="Q96" s="50">
        <f t="shared" si="35"/>
        <v>1062</v>
      </c>
      <c r="R96" s="50" cm="1">
        <f t="array" ref="R96">_xlfn.IFS(C96="Calandra",(350),C96="Peletização",(421),C96="Dublagem Spun",(250),C96="Dublagem Cretone PES",(180),C96="Felpagem",(270/E96),C96="Emborrachamento",(200),C96="Espelhamento",(250),C96="Malha",(1),C96="Dublagem Cretone",(180),C96="Malha",(1),C96="Dublagem Spun - MO",250,C96="Dublagem Cretone - MO",180,C96="Dublagem Cretone PES - MO",180,C96="Espelhamento - MO",250,C96="Emborrachamento",100,C96="Malha",0,C96="Dublagem Barreira",100,C96="Pel. + Cal.",350,C96="Fel. + Pel. + Cal.",270,C96="Pel. + Spun",250,C96="Espelhamento - L: 1,45m",200,C96="Espelhamento - L: 1,65m",200,C96="Estampagem",100,C96="Fel. + Cal.",270,C96="Dublagem Juta",180,C96="Dublagem Cretone - MO (Juta)",180,C96="Dublagem Tapete",150,C96="Esp. + Pel.",200,C96="Espelhamento 2x",100)</f>
        <v>180</v>
      </c>
      <c r="S96" s="50">
        <f t="shared" si="36"/>
        <v>959.22600000000011</v>
      </c>
      <c r="T96" s="18" cm="1">
        <f t="array" ref="T96">_xlfn.IFS(C96="Calandra",0.4,C96="Felpagem",0.3,C96="Dublagem Spun",0.8,C96="Dublagem Cretone",0.8,C96="Dublagem Cretone PES",0.8,C96="Espelhamento",0.8,C96="Peletização",0.5,C96="Dublagem Spun - MO",0.8,C96="Dublagem Cretone - MO",0.8,C96="Dublagem Cretone PES - MO",0.8,C96="Espelhamento - MO",0.8,C96="Emborrachamento",1,C96="Malha",0,C96="Dublagem Barreira",1,C96="Pel. + Cal.",0.4,C96="Fel. + Pel. + Cal.",0.5,C96="Pel. + Spun",0.8,C96="Espelhamento - L: 1,45m",0.8,C96="Espelhamento - L: 1,65m",0.8,C96="Estampagem",1,C96="Fel. + Cal.",0.4,C96="Dublagem Juta",0.8,C96="Dublagem Cretone - MO (Juta)",0.8,C96="Dublagem Tapete",0.8,C96="Esp. + Pel.",0.8,C96="Espelhamento 2x",0.8)</f>
        <v>0.8</v>
      </c>
      <c r="U96" s="18">
        <v>1</v>
      </c>
      <c r="V96" s="18">
        <v>1</v>
      </c>
      <c r="W96" s="18"/>
      <c r="X96" s="18">
        <v>39.67</v>
      </c>
      <c r="Y96" s="18">
        <v>38.51</v>
      </c>
      <c r="Z96" s="18">
        <v>116.78</v>
      </c>
      <c r="AA96" s="18"/>
    </row>
    <row r="97" spans="1:27" ht="14.25" customHeight="1" x14ac:dyDescent="0.35">
      <c r="A97" s="18"/>
      <c r="B97" s="22" t="s">
        <v>297</v>
      </c>
      <c r="C97" s="23" t="s">
        <v>251</v>
      </c>
      <c r="D97" s="23"/>
      <c r="E97" s="24">
        <v>1</v>
      </c>
      <c r="F97" s="25">
        <v>5.45</v>
      </c>
      <c r="G97" s="25">
        <f>F97</f>
        <v>5.45</v>
      </c>
      <c r="H97" s="26" t="s">
        <v>243</v>
      </c>
      <c r="I97" s="31">
        <f t="shared" si="37"/>
        <v>5.45</v>
      </c>
      <c r="J97" s="28">
        <v>45663</v>
      </c>
      <c r="K97" s="29"/>
      <c r="L97" s="30">
        <f t="shared" si="38"/>
        <v>1.1600000000000006</v>
      </c>
      <c r="M97" s="30">
        <f>IF(B97="Texion Textil",0,IF(C97="Malha",'Custos insumos'!$B$24,IF(C97="Dublagem Cretone",'Custos insumos'!$D$7,IF(C97="Dublagem Spun",'Custos insumos'!$D$4,IF(C97="Espelhamento",'Custos insumos'!$B$11,IF(C97="Espelhamento 2x",2*'Custos insumos'!$B$11,IF(C97="Esp. + Pel.",'Custos insumos'!$B$11,IF(C97="Pel. + Spun",'Custos insumos'!$D$4,IF(C97="Dublagem Cretone PES",'Custos insumos'!$D$7,IF(C97="Dublagem Barreira",'Custos insumos'!$D$11,IF(C97="Dublagem - MO + Filme",'Custos insumos'!$D$4,IF(C97="Dublagem Cretone HM50",'Custos insumos'!$D$26,IF(C97="Dublagem Cretone HM70",'Custos insumos'!$F$10,)))))))))))))</f>
        <v>1.962</v>
      </c>
      <c r="N97" s="30">
        <f>IF(B97="Texion Textil",0,IF(B97="Três Elos",0,IF(C97="Malha",0,IF(C97="Dublagem Cretone",'Custos insumos'!$D$23,IF(C97="Dublagem Spun",'Custos insumos'!$D$19,IF(C97="Espelhamento",0,IF(C97="Espelhamento 2x",0,IF(C97="Esp. + Pel.",0,IF(C97="Pel. + Spun",'Custos insumos'!$D$19,IF(C97="Dublagem Cretone PES",'Custos insumos'!$F$25,IF(C97="Dublagem Barreira",'Custos insumos'!$D$22,)))))))))))</f>
        <v>2.3279999999999998</v>
      </c>
      <c r="O97" s="18"/>
      <c r="P97" s="53">
        <f t="shared" si="34"/>
        <v>2.2195718654434135E-2</v>
      </c>
      <c r="Q97" s="50">
        <f t="shared" si="35"/>
        <v>981</v>
      </c>
      <c r="R97" s="50" cm="1">
        <f t="array" ref="R97">_xlfn.IFS(C97="Calandra",(350),C97="Peletização",(421),C97="Dublagem Spun",(250),C97="Dublagem Cretone PES",(180),C97="Felpagem",(270/E97),C97="Emborrachamento",(200),C97="Espelhamento",(250),C97="Malha",(1),C97="Dublagem Cretone",(180),C97="Malha",(1),C97="Dublagem Spun - MO",250,C97="Dublagem Cretone - MO",180,C97="Dublagem Cretone PES - MO",180,C97="Espelhamento - MO",250,C97="Emborrachamento",100,C97="Malha",0,C97="Dublagem Barreira",100,C97="Pel. + Cal.",350,C97="Fel. + Pel. + Cal.",270,C97="Pel. + Spun",250,C97="Espelhamento - L: 1,45m",200,C97="Espelhamento - L: 1,65m",200,C97="Estampagem",100,C97="Fel. + Cal.",270,C97="Dublagem Juta",180,C97="Dublagem Cretone - MO (Juta)",180,C97="Dublagem Tapete",150,C97="Esp. + Pel.",200,C97="Espelhamento 2x",100)</f>
        <v>180</v>
      </c>
      <c r="S97" s="50">
        <f t="shared" si="36"/>
        <v>959.22600000000011</v>
      </c>
      <c r="T97" s="18" cm="1">
        <f t="array" ref="T97">_xlfn.IFS(C97="Calandra",0.4,C97="Felpagem",0.3,C97="Dublagem Spun",0.8,C97="Dublagem Cretone",0.8,C97="Dublagem Cretone PES",0.8,C97="Espelhamento",0.8,C97="Peletização",0.5,C97="Dublagem Spun - MO",0.8,C97="Dublagem Cretone - MO",0.8,C97="Dublagem Cretone PES - MO",0.8,C97="Espelhamento - MO",0.8,C97="Emborrachamento",1,C97="Malha",0,C97="Dublagem Barreira",1,C97="Pel. + Cal.",0.4,C97="Fel. + Pel. + Cal.",0.5,C97="Pel. + Spun",0.8,C97="Espelhamento - L: 1,45m",0.8,C97="Espelhamento - L: 1,65m",0.8,C97="Estampagem",1,C97="Fel. + Cal.",0.4,C97="Dublagem Juta",0.8,C97="Dublagem Cretone - MO (Juta)",0.8,C97="Dublagem Tapete",0.8,C97="Esp. + Pel.",0.8,C97="Espelhamento 2x",0.8)</f>
        <v>0.8</v>
      </c>
      <c r="U97" s="18">
        <v>1</v>
      </c>
      <c r="V97" s="18">
        <v>1</v>
      </c>
      <c r="W97" s="18"/>
      <c r="X97" s="18">
        <v>39.67</v>
      </c>
      <c r="Y97" s="18">
        <v>38.51</v>
      </c>
      <c r="Z97" s="18">
        <v>116.78</v>
      </c>
      <c r="AA97" s="18"/>
    </row>
    <row r="98" spans="1:27" ht="14.25" customHeight="1" x14ac:dyDescent="0.35">
      <c r="A98" s="18"/>
      <c r="B98" s="22" t="s">
        <v>298</v>
      </c>
      <c r="C98" s="23" t="s">
        <v>254</v>
      </c>
      <c r="D98" s="23"/>
      <c r="E98" s="24">
        <v>1</v>
      </c>
      <c r="F98" s="25">
        <v>0.75</v>
      </c>
      <c r="G98" s="25">
        <f>F98</f>
        <v>0.75</v>
      </c>
      <c r="H98" s="26" t="s">
        <v>243</v>
      </c>
      <c r="I98" s="31">
        <f t="shared" si="37"/>
        <v>0.75</v>
      </c>
      <c r="J98" s="28">
        <v>45663</v>
      </c>
      <c r="K98" s="29"/>
      <c r="L98" s="30">
        <f t="shared" si="38"/>
        <v>0.75</v>
      </c>
      <c r="M98" s="30">
        <f>IF(B98="Texion Textil",0,IF(C98="Malha",'Custos insumos'!$B$24,IF(C98="Dublagem Cretone",'Custos insumos'!$D$7,IF(C98="Dublagem Spun",'Custos insumos'!$D$4,IF(C98="Espelhamento",'Custos insumos'!$B$11,IF(C98="Espelhamento 2x",2*'Custos insumos'!$B$11,IF(C98="Esp. + Pel.",'Custos insumos'!$B$11,IF(C98="Pel. + Spun",'Custos insumos'!$D$4,IF(C98="Dublagem Cretone PES",'Custos insumos'!$D$7,IF(C98="Dublagem Barreira",'Custos insumos'!$D$11,IF(C98="Dublagem - MO + Filme",'Custos insumos'!$D$4,IF(C98="Dublagem Cretone HM50",'Custos insumos'!$D$26,IF(C98="Dublagem Cretone HM70",'Custos insumos'!$F$10,)))))))))))))</f>
        <v>0</v>
      </c>
      <c r="N98" s="30">
        <f>IF(B98="Texion Textil",0,IF(B98="Três Elos",0,IF(C98="Malha",0,IF(C98="Dublagem Cretone",'Custos insumos'!$D$23,IF(C98="Dublagem Spun",'Custos insumos'!$D$16,IF(C98="Espelhamento",0,IF(C98="Espelhamento 2x",0,IF(C98="Esp. + Pel.",0,IF(C98="Pel. + Spun",'Custos insumos'!$D$16,IF(C98="Dublagem Cretone PES",'Custos insumos'!$F$25,IF(C98="Dublagem Barreira",'Custos insumos'!$D$22,)))))))))))</f>
        <v>0</v>
      </c>
      <c r="O98" s="18"/>
      <c r="P98" s="53">
        <f t="shared" si="34"/>
        <v>0.17436543209876543</v>
      </c>
      <c r="Q98" s="50">
        <f t="shared" si="35"/>
        <v>202.5</v>
      </c>
      <c r="R98" s="50" cm="1">
        <f t="array" ref="R98">_xlfn.IFS(C98="Calandra",(350),C98="Peletização",(421),C98="Dublagem Spun",(250),C98="Dublagem Cretone PES",(180),C98="Felpagem",(270/E98),C98="Emborrachamento",(200),C98="Espelhamento",(250),C98="Malha",(1),C98="Dublagem Cretone",(180),C98="Malha",(1),C98="Dublagem Spun - MO",250,C98="Dublagem Cretone - MO",180,C98="Dublagem Cretone PES - MO",180,C98="Espelhamento - MO",250,C98="Emborrachamento",100,C98="Malha",0,C98="Dublagem Barreira",100,C98="Pel. + Cal.",350,C98="Fel. + Pel. + Cal.",270,C98="Pel. + Spun",250,C98="Espelhamento - L: 1,45m",200,C98="Espelhamento - L: 1,65m",200,C98="Estampagem",100,C98="Fel. + Cal.",270,C98="Dublagem Juta",180,C98="Dublagem Cretone - MO (Juta)",180,C98="Dublagem Tapete",150,C98="Esp. + Pel.",200,C98="Espelhamento 2x",100)</f>
        <v>270</v>
      </c>
      <c r="S98" s="50">
        <f t="shared" si="36"/>
        <v>167.191</v>
      </c>
      <c r="T98" s="18" cm="1">
        <f t="array" ref="T98">_xlfn.IFS(C98="Calandra",0.4,C98="Felpagem",0.3,C98="Dublagem Spun",0.8,C98="Dublagem Cretone",0.8,C98="Dublagem Cretone PES",0.8,C98="Espelhamento",0.8,C98="Peletização",0.5,C98="Dublagem Spun - MO",0.8,C98="Dublagem Cretone - MO",0.8,C98="Dublagem Cretone PES - MO",0.8,C98="Espelhamento - MO",0.8,C98="Emborrachamento",1,C98="Malha",0,C98="Dublagem Barreira",1,C98="Pel. + Cal.",0.4,C98="Fel. + Pel. + Cal.",0.5,C98="Pel. + Spun",0.8,C98="Espelhamento - L: 1,45m",0.8,C98="Espelhamento - L: 1,65m",0.8,C98="Estampagem",1,C98="Fel. + Cal.",0.4,C98="Dublagem Juta",0.8,C98="Dublagem Cretone - MO (Juta)",0.8,C98="Dublagem Tapete",0.8,C98="Esp. + Pel.",0.8,C98="Espelhamento 2x",0.8)</f>
        <v>0.3</v>
      </c>
      <c r="U98" s="18">
        <v>1</v>
      </c>
      <c r="V98" s="18">
        <v>1</v>
      </c>
      <c r="W98" s="18"/>
      <c r="X98" s="18">
        <v>39.67</v>
      </c>
      <c r="Y98" s="18">
        <v>38.51</v>
      </c>
      <c r="Z98" s="18">
        <v>116.78</v>
      </c>
      <c r="AA98" s="18"/>
    </row>
    <row r="99" spans="1:27" ht="14.25" customHeight="1" x14ac:dyDescent="0.35">
      <c r="A99" s="18"/>
      <c r="B99" s="62" t="s">
        <v>299</v>
      </c>
      <c r="C99" s="63" t="s">
        <v>144</v>
      </c>
      <c r="D99" s="23"/>
      <c r="E99" s="24">
        <v>1</v>
      </c>
      <c r="F99" s="25">
        <v>0.6</v>
      </c>
      <c r="G99" s="25">
        <v>0.65</v>
      </c>
      <c r="H99" s="26" t="s">
        <v>243</v>
      </c>
      <c r="I99" s="27">
        <f t="shared" si="37"/>
        <v>0.65</v>
      </c>
      <c r="J99" s="28">
        <v>45663</v>
      </c>
      <c r="K99" s="29" t="s">
        <v>259</v>
      </c>
      <c r="L99" s="30">
        <f t="shared" si="38"/>
        <v>0.65</v>
      </c>
      <c r="M99" s="30">
        <f>IF(B99="Texion Textil",0,IF(C99="Malha",'Custos insumos'!$B$24,IF(C99="Dublagem Cretone",'Custos insumos'!$D$7,IF(C99="Dublagem Spun",'Custos insumos'!$D$4,IF(C99="Espelhamento",'Custos insumos'!$B$11,IF(C99="Espelhamento 2x",2*'Custos insumos'!$B$11,IF(C99="Esp. + Pel.",'Custos insumos'!$B$11,IF(C99="Pel. + Spun",'Custos insumos'!$D$4,IF(C99="Dublagem Cretone PES",'Custos insumos'!$D$7,IF(C99="Dublagem Barreira",'Custos insumos'!$D$11,IF(C99="Dublagem - MO + Filme",'Custos insumos'!$D$4,IF(C99="Dublagem Cretone HM50",'Custos insumos'!$D$26,IF(C99="Dublagem Cretone HM70",'Custos insumos'!$F$10,)))))))))))))</f>
        <v>0</v>
      </c>
      <c r="N99" s="30">
        <f>IF(B99="Texion Textil",0,IF(B99="Três Elos",0,IF(C99="Malha",0,IF(C99="Dublagem Cretone",'Custos insumos'!$D$23,IF(C99="Dublagem Spun",'Custos insumos'!$D$16,IF(C99="Espelhamento",0,IF(C99="Espelhamento 2x",0,IF(C99="Esp. + Pel.",0,IF(C99="Pel. + Spun",'Custos insumos'!$D$16,IF(C99="Dublagem Cretone PES",'Custos insumos'!$F$25,IF(C99="Dublagem Barreira",'Custos insumos'!$D$22,)))))))))))</f>
        <v>0</v>
      </c>
      <c r="O99" s="18"/>
      <c r="P99" s="53">
        <f t="shared" si="34"/>
        <v>0.36004019733235892</v>
      </c>
      <c r="Q99" s="50">
        <f t="shared" si="35"/>
        <v>273.65000000000003</v>
      </c>
      <c r="R99" s="50" cm="1">
        <f t="array" ref="R99">_xlfn.IFS(C99="Calandra",(350),C99="Peletização",(421),C99="Dublagem Spun",(250),C99="Dublagem Cretone PES",(180),C99="Felpagem",(270/E99),C99="Emborrachamento",(200),C99="Espelhamento",(250),C99="Malha",(1),C99="Dublagem Cretone",(180),C99="Malha",(1),C99="Dublagem Spun - MO",250,C99="Dublagem Cretone - MO",180,C99="Dublagem Cretone PES - MO",180,C99="Espelhamento - MO",250,C99="Emborrachamento",100,C99="Malha",0,C99="Dublagem Barreira",100,C99="Pel. + Cal.",350,C99="Fel. + Pel. + Cal.",270,C99="Pel. + Spun",250,C99="Espelhamento - L: 1,45m",200,C99="Espelhamento - L: 1,65m",200,C99="Estampagem",100,C99="Fel. + Cal.",270,C99="Dublagem Juta",180,C99="Dublagem Cretone - MO (Juta)",180,C99="Dublagem Tapete",150,C99="Esp. + Pel.",200,C99="Espelhamento 2x",100)</f>
        <v>421</v>
      </c>
      <c r="S99" s="50">
        <f t="shared" si="36"/>
        <v>175.125</v>
      </c>
      <c r="T99" s="18" cm="1">
        <f t="array" ref="T99">_xlfn.IFS(C99="Calandra",0.4,C99="Felpagem",0.3,C99="Dublagem Spun",0.8,C99="Dublagem Cretone",0.8,C99="Dublagem Cretone PES",0.8,C99="Espelhamento",0.8,C99="Peletização",0.5,C99="Dublagem Spun - MO",0.8,C99="Dublagem Cretone - MO",0.8,C99="Dublagem Cretone PES - MO",0.8,C99="Espelhamento - MO",0.8,C99="Emborrachamento",1,C99="Malha",0,C99="Dublagem Barreira",1,C99="Pel. + Cal.",0.4,C99="Fel. + Pel. + Cal.",0.5,C99="Pel. + Spun",0.8,C99="Espelhamento - L: 1,45m",0.8,C99="Espelhamento - L: 1,65m",0.8,C99="Estampagem",1,C99="Fel. + Cal.",0.4,C99="Dublagem Juta",0.8,C99="Dublagem Cretone - MO (Juta)",0.8,C99="Dublagem Tapete",0.8,C99="Esp. + Pel.",0.8,C99="Espelhamento 2x",0.8)</f>
        <v>0.5</v>
      </c>
      <c r="U99" s="18">
        <v>1</v>
      </c>
      <c r="V99" s="18">
        <v>1</v>
      </c>
      <c r="W99" s="18"/>
      <c r="X99" s="18">
        <v>39.67</v>
      </c>
      <c r="Y99" s="18">
        <v>38.51</v>
      </c>
      <c r="Z99" s="18">
        <v>116.78</v>
      </c>
      <c r="AA99" s="18"/>
    </row>
    <row r="100" spans="1:27" ht="14.25" customHeight="1" x14ac:dyDescent="0.35">
      <c r="A100" s="18"/>
      <c r="B100" s="22" t="s">
        <v>157</v>
      </c>
      <c r="C100" s="23" t="s">
        <v>106</v>
      </c>
      <c r="D100" s="23"/>
      <c r="E100" s="24">
        <v>1</v>
      </c>
      <c r="F100" s="25">
        <v>2.35</v>
      </c>
      <c r="G100" s="25">
        <f>F100</f>
        <v>2.35</v>
      </c>
      <c r="H100" s="26" t="s">
        <v>243</v>
      </c>
      <c r="I100" s="27">
        <f t="shared" si="37"/>
        <v>2.35</v>
      </c>
      <c r="J100" s="28">
        <v>45663</v>
      </c>
      <c r="K100" s="29" t="s">
        <v>259</v>
      </c>
      <c r="L100" s="30">
        <f t="shared" si="38"/>
        <v>1.2914997101449275</v>
      </c>
      <c r="M100" s="30">
        <f>IF(B100="Texion Textil",0,IF(C100="Malha",'Custos insumos'!$B$24,IF(C100="Dublagem Cretone",'Custos insumos'!$D$7,IF(C100="Dublagem Spun",'Custos insumos'!$D$4,IF(C100="Espelhamento",'Custos insumos'!$B$11,IF(C100="Espelhamento 2x",2*'Custos insumos'!$B$11,IF(C100="Esp. + Pel.",'Custos insumos'!$B$11,IF(C100="Pel. + Spun",'Custos insumos'!$D$4,IF(C100="Dublagem Cretone PES",'Custos insumos'!$D$7,IF(C100="Dublagem Barreira",'Custos insumos'!$D$11,IF(C100="Dublagem - MO + Filme",'Custos insumos'!$D$4,IF(C100="Dublagem Cretone HM50",'Custos insumos'!$D$26,IF(C100="Dublagem Cretone HM70",'Custos insumos'!$F$10,)))))))))))))</f>
        <v>1.0585002898550726</v>
      </c>
      <c r="N100" s="30">
        <f>IF(B100="Texion Textil",0,IF(B100="Três Elos",0,IF(C100="Malha",0,IF(C100="Dublagem Cretone",'Custos insumos'!$D$23,IF(C100="Dublagem Spun",'Custos insumos'!$D$16,IF(C100="Espelhamento",0,IF(C100="Espelhamento 2x",0,IF(C100="Esp. + Pel.",0,IF(C100="Pel. + Spun",'Custos insumos'!$D$16,IF(C100="Dublagem Cretone PES",'Custos insumos'!$F$25,IF(C100="Dublagem Barreira",'Custos insumos'!$D$22,)))))))))))</f>
        <v>0</v>
      </c>
      <c r="O100" s="18"/>
      <c r="P100" s="53">
        <f t="shared" si="34"/>
        <v>0.23123221708294778</v>
      </c>
      <c r="Q100" s="50">
        <f t="shared" si="35"/>
        <v>587.5</v>
      </c>
      <c r="R100" s="50" cm="1">
        <f t="array" ref="R100">_xlfn.IFS(C100="Calandra",(350),C100="Peletização",(421),C100="Dublagem Spun",(250),C100="Dublagem Cretone PES",(180),C100="Felpagem",(270/E100),C100="Emborrachamento",(200),C100="Espelhamento",(250),C100="Malha",(1),C100="Dublagem Cretone",(180),C100="Malha",(1),C100="Dublagem Spun - MO",250,C100="Dublagem Cretone - MO",180,C100="Dublagem Cretone PES - MO",180,C100="Espelhamento - MO",250,C100="Emborrachamento",100,C100="Malha",0,C100="Dublagem Barreira",100,C100="Pel. + Cal.",350,C100="Fel. + Pel. + Cal.",270,C100="Pel. + Spun",250,C100="Espelhamento - L: 1,45m",200,C100="Espelhamento - L: 1,65m",200,C100="Estampagem",100,C100="Fel. + Cal.",270,C100="Dublagem Juta",180,C100="Dublagem Cretone - MO (Juta)",180,C100="Dublagem Tapete",150,C100="Esp. + Pel.",200,C100="Espelhamento 2x",100)</f>
        <v>250</v>
      </c>
      <c r="S100" s="50">
        <f t="shared" si="36"/>
        <v>451.65107246376817</v>
      </c>
      <c r="T100" s="18" cm="1">
        <f t="array" ref="T100">_xlfn.IFS(C100="Calandra",0.4,C100="Felpagem",0.3,C100="Dublagem Spun",0.8,C100="Dublagem Cretone",0.8,C100="Dublagem Cretone PES",0.8,C100="Espelhamento",0.8,C100="Peletização",0.5,C100="Dublagem Spun - MO",0.8,C100="Dublagem Cretone - MO",0.8,C100="Dublagem Cretone PES - MO",0.8,C100="Espelhamento - MO",0.8,C100="Emborrachamento",1,C100="Malha",0,C100="Dublagem Barreira",1,C100="Pel. + Cal.",0.4,C100="Fel. + Pel. + Cal.",0.5,C100="Pel. + Spun",0.8,C100="Espelhamento - L: 1,45m",0.8,C100="Espelhamento - L: 1,65m",0.8,C100="Estampagem",1,C100="Fel. + Cal.",0.4,C100="Dublagem Juta",0.8,C100="Dublagem Cretone - MO (Juta)",0.8,C100="Dublagem Tapete",0.8,C100="Esp. + Pel.",0.8,C100="Espelhamento 2x",0.8)</f>
        <v>0.8</v>
      </c>
      <c r="U100" s="18">
        <v>1</v>
      </c>
      <c r="V100" s="18">
        <v>1</v>
      </c>
      <c r="W100" s="18"/>
      <c r="X100" s="18">
        <v>39.67</v>
      </c>
      <c r="Y100" s="18">
        <v>38.51</v>
      </c>
      <c r="Z100" s="18">
        <v>116.78</v>
      </c>
      <c r="AA100" s="18"/>
    </row>
    <row r="101" spans="1:27" ht="14.25" customHeight="1" x14ac:dyDescent="0.35">
      <c r="A101" s="18"/>
      <c r="B101" s="22" t="s">
        <v>157</v>
      </c>
      <c r="C101" s="23" t="s">
        <v>249</v>
      </c>
      <c r="D101" s="23"/>
      <c r="E101" s="24">
        <v>1</v>
      </c>
      <c r="F101" s="25">
        <v>4.47</v>
      </c>
      <c r="G101" s="25">
        <f>F101</f>
        <v>4.47</v>
      </c>
      <c r="H101" s="26" t="s">
        <v>243</v>
      </c>
      <c r="I101" s="27">
        <f t="shared" si="37"/>
        <v>4.47</v>
      </c>
      <c r="J101" s="28">
        <v>45663</v>
      </c>
      <c r="K101" s="29" t="s">
        <v>259</v>
      </c>
      <c r="L101" s="30">
        <f t="shared" si="38"/>
        <v>2.6290800000000001</v>
      </c>
      <c r="M101" s="30">
        <f>IF(B101="Texion Textil",0,IF(C101="Malha",'Custos insumos'!$B$24,IF(C101="Dublagem Cretone",'Custos insumos'!$D$7,IF(C101="Dublagem Spun",'Custos insumos'!$D$4,IF(C101="Espelhamento",'Custos insumos'!$B$11,IF(C101="Espelhamento 2x",2*'Custos insumos'!$B$11,IF(C101="Esp. + Pel.",'Custos insumos'!$B$11,IF(C101="Pel. + Spun",'Custos insumos'!$D$4,IF(C101="Dublagem Cretone PES",'Custos insumos'!$D$7,IF(C101="Dublagem Barreira",'Custos insumos'!$D$11,IF(C101="Dublagem - MO + Filme",'Custos insumos'!$D$4,IF(C101="Dublagem Cretone HM50",'Custos insumos'!$D$26,IF(C101="Dublagem Cretone HM70",'Custos insumos'!$F$10,)))))))))))))</f>
        <v>1.1232</v>
      </c>
      <c r="N101" s="30">
        <f>IF(B101="Texion Textil",0,IF(B101="Três Elos",0,IF(C101="Malha",0,IF(C101="Dublagem Cretone",'Custos insumos'!$D$23,IF(C101="Dublagem Spun",'Custos insumos'!$D$16,IF(C101="Espelhamento",0,IF(C101="Espelhamento 2x",0,IF(C101="Esp. + Pel.",0,IF(C101="Pel. + Spun",'Custos insumos'!$D$16,IF(C101="Dublagem Cretone PES",'Custos insumos'!$F$25,IF(C101="Dublagem Barreira",'Custos insumos'!$D$22,)))))))))))</f>
        <v>0.71771999999999991</v>
      </c>
      <c r="O101" s="18"/>
      <c r="P101" s="53">
        <f t="shared" si="34"/>
        <v>0.42080000000000001</v>
      </c>
      <c r="Q101" s="50">
        <f t="shared" si="35"/>
        <v>1117.5</v>
      </c>
      <c r="R101" s="50" cm="1">
        <f t="array" ref="R101">_xlfn.IFS(C101="Calandra",(350),C101="Peletização",(421),C101="Dublagem Spun",(250),C101="Dublagem Cretone PES",(180),C101="Felpagem",(270/E101),C101="Emborrachamento",(200),C101="Espelhamento",(250),C101="Malha",(1),C101="Dublagem Cretone",(180),C101="Malha",(1),C101="Dublagem Spun - MO",250,C101="Dublagem Cretone - MO",180,C101="Dublagem Cretone PES - MO",180,C101="Espelhamento - MO",250,C101="Emborrachamento",100,C101="Malha",0,C101="Dublagem Barreira",100,C101="Pel. + Cal.",350,C101="Fel. + Pel. + Cal.",270,C101="Pel. + Spun",250,C101="Espelhamento - L: 1,45m",200,C101="Espelhamento - L: 1,65m",200,C101="Estampagem",100,C101="Fel. + Cal.",270,C101="Dublagem Juta",180,C101="Dublagem Cretone - MO (Juta)",180,C101="Dublagem Tapete",150,C101="Esp. + Pel.",200,C101="Espelhamento 2x",100)</f>
        <v>250</v>
      </c>
      <c r="S101" s="50">
        <f t="shared" si="36"/>
        <v>647.25599999999997</v>
      </c>
      <c r="T101" s="18" cm="1">
        <f t="array" ref="T101">_xlfn.IFS(C101="Calandra",0.4,C101="Felpagem",0.3,C101="Dublagem Spun",0.8,C101="Dublagem Cretone",0.8,C101="Dublagem Cretone PES",0.8,C101="Espelhamento",0.8,C101="Peletização",0.5,C101="Dublagem Spun - MO",0.8,C101="Dublagem Cretone - MO",0.8,C101="Dublagem Cretone PES - MO",0.8,C101="Espelhamento - MO",0.8,C101="Emborrachamento",1,C101="Malha",0,C101="Dublagem Barreira",1,C101="Pel. + Cal.",0.4,C101="Fel. + Pel. + Cal.",0.5,C101="Pel. + Spun",0.8,C101="Espelhamento - L: 1,45m",0.8,C101="Espelhamento - L: 1,65m",0.8,C101="Estampagem",1,C101="Fel. + Cal.",0.4,C101="Dublagem Juta",0.8,C101="Dublagem Cretone - MO (Juta)",0.8,C101="Dublagem Tapete",0.8,C101="Esp. + Pel.",0.8,C101="Espelhamento 2x",0.8)</f>
        <v>0.8</v>
      </c>
      <c r="U101" s="18">
        <v>1</v>
      </c>
      <c r="V101" s="18">
        <v>1</v>
      </c>
      <c r="W101" s="18"/>
      <c r="X101" s="18">
        <v>39.67</v>
      </c>
      <c r="Y101" s="18">
        <v>38.51</v>
      </c>
      <c r="Z101" s="18">
        <v>116.78</v>
      </c>
      <c r="AA101" s="18"/>
    </row>
    <row r="102" spans="1:27" ht="14.25" customHeight="1" x14ac:dyDescent="0.35">
      <c r="A102" s="18"/>
      <c r="B102" s="22" t="s">
        <v>162</v>
      </c>
      <c r="C102" s="23" t="s">
        <v>144</v>
      </c>
      <c r="D102" s="23"/>
      <c r="E102" s="24">
        <v>1</v>
      </c>
      <c r="F102" s="25">
        <v>0.65</v>
      </c>
      <c r="G102" s="25">
        <f>F102</f>
        <v>0.65</v>
      </c>
      <c r="H102" s="26" t="s">
        <v>243</v>
      </c>
      <c r="I102" s="27">
        <f t="shared" si="37"/>
        <v>0.65</v>
      </c>
      <c r="J102" s="28">
        <v>45663</v>
      </c>
      <c r="K102" s="29"/>
      <c r="L102" s="30">
        <f t="shared" si="38"/>
        <v>0.65</v>
      </c>
      <c r="M102" s="30">
        <f>IF(B102="Texion Textil",0,IF(C102="Malha",'Custos insumos'!$B$24,IF(C102="Dublagem Cretone",'Custos insumos'!$D$7,IF(C102="Dublagem Spun",'Custos insumos'!$D$4,IF(C102="Espelhamento",'Custos insumos'!$B$11,IF(C102="Espelhamento 2x",2*'Custos insumos'!$B$11,IF(C102="Esp. + Pel.",'Custos insumos'!$B$11,IF(C102="Pel. + Spun",'Custos insumos'!$D$4,IF(C102="Dublagem Cretone PES",'Custos insumos'!$D$7,IF(C102="Dublagem Barreira",'Custos insumos'!$D$11,IF(C102="Dublagem - MO + Filme",'Custos insumos'!$D$4,IF(C102="Dublagem Cretone HM50",'Custos insumos'!$D$26,IF(C102="Dublagem Cretone HM70",'Custos insumos'!$F$10,)))))))))))))</f>
        <v>0</v>
      </c>
      <c r="N102" s="30">
        <f>IF(B102="Texion Textil",0,IF(B102="Três Elos",0,IF(C102="Malha",0,IF(C102="Dublagem Cretone",'Custos insumos'!$D$23,IF(C102="Dublagem Spun",'Custos insumos'!$D$16,IF(C102="Espelhamento",0,IF(C102="Espelhamento 2x",0,IF(C102="Esp. + Pel.",0,IF(C102="Pel. + Spun",'Custos insumos'!$D$16,IF(C102="Dublagem Cretone PES",'Custos insumos'!$F$25,IF(C102="Dublagem Barreira",'Custos insumos'!$D$22,)))))))))))</f>
        <v>0</v>
      </c>
      <c r="O102" s="18"/>
      <c r="P102" s="53">
        <f t="shared" si="34"/>
        <v>0.36004019733235892</v>
      </c>
      <c r="Q102" s="50">
        <f t="shared" si="35"/>
        <v>273.65000000000003</v>
      </c>
      <c r="R102" s="50" cm="1">
        <f t="array" ref="R102">_xlfn.IFS(C102="Calandra",(350),C102="Peletização",(421),C102="Dublagem Spun",(250),C102="Dublagem Cretone PES",(180),C102="Felpagem",(270/E102),C102="Emborrachamento",(200),C102="Espelhamento",(250),C102="Malha",(1),C102="Dublagem Cretone",(180),C102="Malha",(1),C102="Dublagem Spun - MO",250,C102="Dublagem Cretone - MO",180,C102="Dublagem Cretone PES - MO",180,C102="Espelhamento - MO",250,C102="Emborrachamento",100,C102="Malha",0,C102="Dublagem Barreira",100,C102="Pel. + Cal.",350,C102="Fel. + Pel. + Cal.",270,C102="Pel. + Spun",250,C102="Espelhamento - L: 1,45m",200,C102="Espelhamento - L: 1,65m",200,C102="Estampagem",100,C102="Fel. + Cal.",270,C102="Dublagem Juta",180,C102="Dublagem Cretone - MO (Juta)",180,C102="Dublagem Tapete",150,C102="Esp. + Pel.",200,C102="Espelhamento 2x",100)</f>
        <v>421</v>
      </c>
      <c r="S102" s="50">
        <f t="shared" si="36"/>
        <v>175.125</v>
      </c>
      <c r="T102" s="18" cm="1">
        <f t="array" ref="T102">_xlfn.IFS(C102="Calandra",0.4,C102="Felpagem",0.3,C102="Dublagem Spun",0.8,C102="Dublagem Cretone",0.8,C102="Dublagem Cretone PES",0.8,C102="Espelhamento",0.8,C102="Peletização",0.5,C102="Dublagem Spun - MO",0.8,C102="Dublagem Cretone - MO",0.8,C102="Dublagem Cretone PES - MO",0.8,C102="Espelhamento - MO",0.8,C102="Emborrachamento",1,C102="Malha",0,C102="Dublagem Barreira",1,C102="Pel. + Cal.",0.4,C102="Fel. + Pel. + Cal.",0.5,C102="Pel. + Spun",0.8,C102="Espelhamento - L: 1,45m",0.8,C102="Espelhamento - L: 1,65m",0.8,C102="Estampagem",1,C102="Fel. + Cal.",0.4,C102="Dublagem Juta",0.8,C102="Dublagem Cretone - MO (Juta)",0.8,C102="Dublagem Tapete",0.8,C102="Esp. + Pel.",0.8,C102="Espelhamento 2x",0.8)</f>
        <v>0.5</v>
      </c>
      <c r="U102" s="18">
        <v>1</v>
      </c>
      <c r="V102" s="18">
        <v>1</v>
      </c>
      <c r="W102" s="18"/>
      <c r="X102" s="18">
        <v>39.67</v>
      </c>
      <c r="Y102" s="18">
        <v>38.51</v>
      </c>
      <c r="Z102" s="18">
        <v>116.78</v>
      </c>
      <c r="AA102" s="18"/>
    </row>
    <row r="103" spans="1:27" ht="14.25" customHeight="1" x14ac:dyDescent="0.35">
      <c r="A103" s="18"/>
      <c r="B103" s="22" t="s">
        <v>162</v>
      </c>
      <c r="C103" s="23" t="s">
        <v>251</v>
      </c>
      <c r="D103" s="23"/>
      <c r="E103" s="24">
        <v>1</v>
      </c>
      <c r="F103" s="25">
        <v>5.9</v>
      </c>
      <c r="G103" s="25">
        <f>F103</f>
        <v>5.9</v>
      </c>
      <c r="H103" s="26" t="s">
        <v>243</v>
      </c>
      <c r="I103" s="27">
        <f t="shared" si="37"/>
        <v>5.9</v>
      </c>
      <c r="J103" s="28">
        <v>45663</v>
      </c>
      <c r="K103" s="29"/>
      <c r="L103" s="30"/>
      <c r="M103" s="30">
        <f>IF(B103="Texion Textil",0,IF(C103="Malha",'Custos insumos'!$B$24,IF(C103="Dublagem Cretone",'Custos insumos'!$D$7,IF(C103="Dublagem Spun",'Custos insumos'!$D$4,IF(C103="Espelhamento",'Custos insumos'!$B$11,IF(C103="Espelhamento 2x",2*'Custos insumos'!$B$11,IF(C103="Esp. + Pel.",'Custos insumos'!$B$11,IF(C103="Pel. + Spun",'Custos insumos'!$D$4,IF(C103="Dublagem Cretone PES",'Custos insumos'!$D$7,IF(C103="Dublagem Barreira",'Custos insumos'!$D$11,IF(C103="Dublagem - MO + Filme",'Custos insumos'!$D$4,IF(C103="Dublagem Cretone HM50",'Custos insumos'!$D$26,IF(C103="Dublagem Cretone HM70",'Custos insumos'!$F$10,)))))))))))))</f>
        <v>1.962</v>
      </c>
      <c r="N103" s="30"/>
      <c r="O103" s="18"/>
      <c r="P103" s="53">
        <f t="shared" si="34"/>
        <v>0.49135028248587576</v>
      </c>
      <c r="Q103" s="50">
        <f t="shared" si="35"/>
        <v>1062</v>
      </c>
      <c r="R103" s="50" cm="1">
        <f t="array" ref="R103">_xlfn.IFS(C103="Calandra",(350),C103="Peletização",(421),C103="Dublagem Spun",(250),C103="Dublagem Cretone PES",(180),C103="Felpagem",(270/E103),C103="Emborrachamento",(200),C103="Espelhamento",(250),C103="Malha",(1),C103="Dublagem Cretone",(180),C103="Malha",(1),C103="Dublagem Spun - MO",250,C103="Dublagem Cretone - MO",180,C103="Dublagem Cretone PES - MO",180,C103="Espelhamento - MO",250,C103="Emborrachamento",100,C103="Malha",0,C103="Dublagem Barreira",100,C103="Pel. + Cal.",350,C103="Fel. + Pel. + Cal.",270,C103="Pel. + Spun",250,C103="Espelhamento - L: 1,45m",200,C103="Espelhamento - L: 1,65m",200,C103="Estampagem",100,C103="Fel. + Cal.",270,C103="Dublagem Juta",180,C103="Dublagem Cretone - MO (Juta)",180,C103="Dublagem Tapete",150,C103="Esp. + Pel.",200,C103="Espelhamento 2x",100)</f>
        <v>180</v>
      </c>
      <c r="S103" s="50">
        <f t="shared" si="36"/>
        <v>540.18599999999992</v>
      </c>
      <c r="T103" s="18" cm="1">
        <f t="array" ref="T103">_xlfn.IFS(C103="Calandra",0.4,C103="Felpagem",0.3,C103="Dublagem Spun",0.8,C103="Dublagem Cretone",0.8,C103="Dublagem Cretone PES",0.8,C103="Espelhamento",0.8,C103="Peletização",0.5,C103="Dublagem Spun - MO",0.8,C103="Dublagem Cretone - MO",0.8,C103="Dublagem Cretone PES - MO",0.8,C103="Espelhamento - MO",0.8,C103="Emborrachamento",1,C103="Malha",0,C103="Dublagem Barreira",1,C103="Pel. + Cal.",0.4,C103="Fel. + Pel. + Cal.",0.5,C103="Pel. + Spun",0.8,C103="Espelhamento - L: 1,45m",0.8,C103="Espelhamento - L: 1,65m",0.8,C103="Estampagem",1,C103="Fel. + Cal.",0.4,C103="Dublagem Juta",0.8,C103="Dublagem Cretone - MO (Juta)",0.8,C103="Dublagem Tapete",0.8,C103="Esp. + Pel.",0.8,C103="Espelhamento 2x",0.8)</f>
        <v>0.8</v>
      </c>
      <c r="U103" s="18">
        <v>1</v>
      </c>
      <c r="V103" s="18">
        <v>1</v>
      </c>
      <c r="W103" s="18"/>
      <c r="X103" s="18">
        <v>39.67</v>
      </c>
      <c r="Y103" s="18">
        <v>38.51</v>
      </c>
      <c r="Z103" s="18">
        <v>116.78</v>
      </c>
      <c r="AA103" s="18"/>
    </row>
    <row r="104" spans="1:27" ht="14.25" customHeight="1" x14ac:dyDescent="0.35">
      <c r="A104" s="18"/>
      <c r="B104" s="22" t="s">
        <v>300</v>
      </c>
      <c r="C104" s="23" t="s">
        <v>251</v>
      </c>
      <c r="D104" s="23"/>
      <c r="E104" s="24">
        <v>1</v>
      </c>
      <c r="F104" s="25">
        <v>1</v>
      </c>
      <c r="G104" s="25">
        <v>1.05</v>
      </c>
      <c r="H104" s="26" t="s">
        <v>243</v>
      </c>
      <c r="I104" s="27">
        <f t="shared" si="37"/>
        <v>1.05</v>
      </c>
      <c r="J104" s="28">
        <v>45663</v>
      </c>
      <c r="K104" s="29" t="s">
        <v>239</v>
      </c>
      <c r="L104" s="30">
        <f t="shared" ref="L104:L114" si="39">G104-M104-N104</f>
        <v>1.05</v>
      </c>
      <c r="M104" s="30">
        <v>0</v>
      </c>
      <c r="N104" s="30">
        <v>0</v>
      </c>
      <c r="O104" s="18"/>
      <c r="P104" s="53">
        <f t="shared" si="34"/>
        <v>1.044444444444439E-2</v>
      </c>
      <c r="Q104" s="50">
        <f t="shared" si="35"/>
        <v>189</v>
      </c>
      <c r="R104" s="50" cm="1">
        <f t="array" ref="R104">_xlfn.IFS(C104="Calandra",(350),C104="Peletização",(421),C104="Dublagem Spun",(250),C104="Dublagem Cretone PES",(180),C104="Felpagem",(270/E104),C104="Emborrachamento",(200),C104="Espelhamento",(250),C104="Malha",(1),C104="Dublagem Cretone",(180),C104="Malha",(1),C104="Dublagem Spun - MO",250,C104="Dublagem Cretone - MO",180,C104="Dublagem Cretone PES - MO",180,C104="Espelhamento - MO",250,C104="Emborrachamento",100,C104="Malha",0,C104="Dublagem Barreira",100,C104="Pel. + Cal.",350,C104="Fel. + Pel. + Cal.",270,C104="Pel. + Spun",250,C104="Espelhamento - L: 1,45m",200,C104="Espelhamento - L: 1,65m",200,C104="Estampagem",100,C104="Fel. + Cal.",270,C104="Dublagem Juta",180,C104="Dublagem Cretone - MO (Juta)",180,C104="Dublagem Tapete",150,C104="Esp. + Pel.",200,C104="Espelhamento 2x",100)</f>
        <v>180</v>
      </c>
      <c r="S104" s="50">
        <f t="shared" si="36"/>
        <v>187.02600000000001</v>
      </c>
      <c r="T104" s="18" cm="1">
        <f t="array" ref="T104">_xlfn.IFS(C104="Calandra",0.4,C104="Felpagem",0.3,C104="Dublagem Spun",0.8,C104="Dublagem Cretone",0.8,C104="Dublagem Cretone PES",0.8,C104="Espelhamento",0.8,C104="Peletização",0.5,C104="Dublagem Spun - MO",0.8,C104="Dublagem Cretone - MO",0.8,C104="Dublagem Cretone PES - MO",0.8,C104="Espelhamento - MO",0.8,C104="Emborrachamento",1,C104="Malha",0,C104="Dublagem Barreira",1,C104="Pel. + Cal.",0.4,C104="Fel. + Pel. + Cal.",0.5,C104="Pel. + Spun",0.8,C104="Espelhamento - L: 1,45m",0.8,C104="Espelhamento - L: 1,65m",0.8,C104="Estampagem",1,C104="Fel. + Cal.",0.4,C104="Dublagem Juta",0.8,C104="Dublagem Cretone - MO (Juta)",0.8,C104="Dublagem Tapete",0.8,C104="Esp. + Pel.",0.8,C104="Espelhamento 2x",0.8)</f>
        <v>0.8</v>
      </c>
      <c r="U104" s="18">
        <v>1</v>
      </c>
      <c r="V104" s="18">
        <v>1</v>
      </c>
      <c r="W104" s="18"/>
      <c r="X104" s="18">
        <v>39.67</v>
      </c>
      <c r="Y104" s="18">
        <v>38.51</v>
      </c>
      <c r="Z104" s="18">
        <v>116.78</v>
      </c>
      <c r="AA104" s="18"/>
    </row>
    <row r="105" spans="1:27" ht="14.25" customHeight="1" x14ac:dyDescent="0.35">
      <c r="A105" s="18"/>
      <c r="B105" s="22" t="s">
        <v>300</v>
      </c>
      <c r="C105" s="23" t="s">
        <v>365</v>
      </c>
      <c r="D105" s="23"/>
      <c r="E105" s="24">
        <v>1</v>
      </c>
      <c r="F105" s="25">
        <v>1</v>
      </c>
      <c r="G105" s="25">
        <v>1.6</v>
      </c>
      <c r="H105" s="26" t="s">
        <v>243</v>
      </c>
      <c r="I105" s="27">
        <f t="shared" si="37"/>
        <v>1.6</v>
      </c>
      <c r="J105" s="28">
        <v>45663</v>
      </c>
      <c r="K105" s="29" t="s">
        <v>239</v>
      </c>
      <c r="L105" s="30">
        <f t="shared" si="39"/>
        <v>1.6</v>
      </c>
      <c r="M105" s="30">
        <f>IF(B105="Texion Textil",0,IF(C105="Malha",'Custos insumos'!$B$24,IF(C105="Dublagem Cretone",'Custos insumos'!$D$7,IF(C105="Dublagem Spun",'Custos insumos'!$D$4,IF(C105="Espelhamento",'Custos insumos'!$B$11,IF(C105="Espelhamento 2x",2*'Custos insumos'!$B$11,IF(C105="Esp. + Pel.",'Custos insumos'!$B$11,IF(C105="Pel. + Spun",'Custos insumos'!$D$4,IF(C105="Dublagem Cretone PES",'Custos insumos'!$D$7,IF(C105="Dublagem Barreira",'Custos insumos'!$D$11,IF(C105="Dublagem - MO + Filme",'Custos insumos'!$D$4,IF(C105="Dublagem Cretone HM50",'Custos insumos'!$D$26,IF(C105="Dublagem Cretone HM70",'Custos insumos'!$F$10,)))))))))))))</f>
        <v>0</v>
      </c>
      <c r="N105" s="30">
        <f>IF(B105="Texion Textil",0,IF(B105="Três Elos",0,IF(C105="Malha",0,IF(C105="Dublagem Cretone",'Custos insumos'!$D$23,IF(C105="Dublagem Spun",'Custos insumos'!$D$16,IF(C105="Espelhamento",0,IF(C105="Espelhamento 2x",0,IF(C105="Esp. + Pel.",0,IF(C105="Pel. + Spun",'Custos insumos'!$D$16,IF(C105="Dublagem Cretone PES",'Custos insumos'!$F$25,IF(C105="Dublagem Barreira",'Custos insumos'!$D$22,)))))))))))</f>
        <v>0</v>
      </c>
      <c r="O105" s="18"/>
      <c r="P105" s="53" t="e">
        <f t="shared" si="34"/>
        <v>#N/A</v>
      </c>
      <c r="Q105" s="50" t="e">
        <f t="shared" si="35"/>
        <v>#N/A</v>
      </c>
      <c r="R105" s="50" t="e" cm="1">
        <f t="array" ref="R105">_xlfn.IFS(C105="Calandra",(350),C105="Peletização",(421),C105="Dublagem Spun",(250),C105="Dublagem Cretone PES",(180),C105="Felpagem",(270/E105),C105="Emborrachamento",(200),C105="Espelhamento",(250),C105="Malha",(1),C105="Dublagem Cretone",(180),C105="Malha",(1),C105="Dublagem Spun - MO",250,C105="Dublagem Cretone - MO",180,C105="Dublagem Cretone PES - MO",180,C105="Espelhamento - MO",250,C105="Emborrachamento",100,C105="Malha",0,C105="Dublagem Barreira",100,C105="Pel. + Cal.",350,C105="Fel. + Pel. + Cal.",270,C105="Pel. + Spun",250,C105="Espelhamento - L: 1,45m",200,C105="Espelhamento - L: 1,65m",200,C105="Estampagem",100,C105="Fel. + Cal.",270,C105="Dublagem Juta",180,C105="Dublagem Cretone - MO (Juta)",180,C105="Dublagem Tapete",150,C105="Esp. + Pel.",200,C105="Espelhamento 2x",100)</f>
        <v>#N/A</v>
      </c>
      <c r="S105" s="50" t="e">
        <f t="shared" si="36"/>
        <v>#N/A</v>
      </c>
      <c r="T105" s="18" t="e" cm="1">
        <f t="array" ref="T105">_xlfn.IFS(C105="Calandra",0.4,C105="Felpagem",0.3,C105="Dublagem Spun",0.8,C105="Dublagem Cretone",0.8,C105="Dublagem Cretone PES",0.8,C105="Espelhamento",0.8,C105="Peletização",0.5,C105="Dublagem Spun - MO",0.8,C105="Dublagem Cretone - MO",0.8,C105="Dublagem Cretone PES - MO",0.8,C105="Espelhamento - MO",0.8,C105="Emborrachamento",1,C105="Malha",0,C105="Dublagem Barreira",1,C105="Pel. + Cal.",0.4,C105="Fel. + Pel. + Cal.",0.5,C105="Pel. + Spun",0.8,C105="Espelhamento - L: 1,45m",0.8,C105="Espelhamento - L: 1,65m",0.8,C105="Estampagem",1,C105="Fel. + Cal.",0.4,C105="Dublagem Juta",0.8,C105="Dublagem Cretone - MO (Juta)",0.8,C105="Dublagem Tapete",0.8,C105="Esp. + Pel.",0.8,C105="Espelhamento 2x",0.8)</f>
        <v>#N/A</v>
      </c>
      <c r="U105" s="18">
        <v>1</v>
      </c>
      <c r="V105" s="18">
        <v>1</v>
      </c>
      <c r="W105" s="18"/>
      <c r="X105" s="18">
        <v>39.67</v>
      </c>
      <c r="Y105" s="18">
        <v>38.51</v>
      </c>
      <c r="Z105" s="18">
        <v>116.78</v>
      </c>
      <c r="AA105" s="18"/>
    </row>
    <row r="106" spans="1:27" ht="14.25" customHeight="1" x14ac:dyDescent="0.35">
      <c r="A106" s="18"/>
      <c r="B106" s="22" t="s">
        <v>163</v>
      </c>
      <c r="C106" s="23" t="s">
        <v>254</v>
      </c>
      <c r="D106" s="23"/>
      <c r="E106" s="24">
        <v>1</v>
      </c>
      <c r="F106" s="25">
        <v>1.8</v>
      </c>
      <c r="G106" s="25">
        <v>0.6</v>
      </c>
      <c r="H106" s="26" t="s">
        <v>243</v>
      </c>
      <c r="I106" s="27">
        <f t="shared" si="37"/>
        <v>0.6</v>
      </c>
      <c r="J106" s="28">
        <v>45663</v>
      </c>
      <c r="K106" s="29"/>
      <c r="L106" s="30">
        <f t="shared" si="39"/>
        <v>0.6</v>
      </c>
      <c r="M106" s="30">
        <f>IF(B106="Texion Textil",0,IF(C106="Malha",'Custos insumos'!$B$24,IF(C106="Dublagem Cretone",'Custos insumos'!$D$7,IF(C106="Dublagem Spun",'Custos insumos'!$D$4,IF(C106="Espelhamento",'Custos insumos'!$B$11,IF(C106="Espelhamento 2x",2*'Custos insumos'!$B$11,IF(C106="Esp. + Pel.",'Custos insumos'!$B$11,IF(C106="Pel. + Spun",'Custos insumos'!$D$4,IF(C106="Dublagem Cretone PES",'Custos insumos'!$D$7,IF(C106="Dublagem Barreira",'Custos insumos'!$D$11,IF(C106="Dublagem - MO + Filme",'Custos insumos'!$D$4,IF(C106="Dublagem Cretone HM50",'Custos insumos'!$D$26,IF(C106="Dublagem Cretone HM70",'Custos insumos'!$F$10,)))))))))))))</f>
        <v>0</v>
      </c>
      <c r="N106" s="30">
        <f>IF(B106="Texion Textil",0,IF(B106="Três Elos",0,IF(C106="Malha",0,IF(C106="Dublagem Cretone",'Custos insumos'!$D$23,IF(C106="Dublagem Spun",'Custos insumos'!$D$16,IF(C106="Espelhamento",0,IF(C106="Espelhamento 2x",0,IF(C106="Esp. + Pel.",0,IF(C106="Pel. + Spun",'Custos insumos'!$D$16,IF(C106="Dublagem Cretone PES",'Custos insumos'!$F$25,IF(C106="Dublagem Barreira",'Custos insumos'!$D$22,)))))))))))</f>
        <v>0</v>
      </c>
      <c r="O106" s="18"/>
      <c r="P106" s="53">
        <f t="shared" si="34"/>
        <v>-3.2043209876543223E-2</v>
      </c>
      <c r="Q106" s="50">
        <f t="shared" si="35"/>
        <v>162</v>
      </c>
      <c r="R106" s="50" cm="1">
        <f t="array" ref="R106">_xlfn.IFS(C106="Calandra",(350),C106="Peletização",(421),C106="Dublagem Spun",(250),C106="Dublagem Cretone PES",(180),C106="Felpagem",(270/E106),C106="Emborrachamento",(200),C106="Espelhamento",(250),C106="Malha",(1),C106="Dublagem Cretone",(180),C106="Malha",(1),C106="Dublagem Spun - MO",250,C106="Dublagem Cretone - MO",180,C106="Dublagem Cretone PES - MO",180,C106="Espelhamento - MO",250,C106="Emborrachamento",100,C106="Malha",0,C106="Dublagem Barreira",100,C106="Pel. + Cal.",350,C106="Fel. + Pel. + Cal.",270,C106="Pel. + Spun",250,C106="Espelhamento - L: 1,45m",200,C106="Espelhamento - L: 1,65m",200,C106="Estampagem",100,C106="Fel. + Cal.",270,C106="Dublagem Juta",180,C106="Dublagem Cretone - MO (Juta)",180,C106="Dublagem Tapete",150,C106="Esp. + Pel.",200,C106="Espelhamento 2x",100)</f>
        <v>270</v>
      </c>
      <c r="S106" s="50">
        <f t="shared" si="36"/>
        <v>167.191</v>
      </c>
      <c r="T106" s="18" cm="1">
        <f t="array" ref="T106">_xlfn.IFS(C106="Calandra",0.4,C106="Felpagem",0.3,C106="Dublagem Spun",0.8,C106="Dublagem Cretone",0.8,C106="Dublagem Cretone PES",0.8,C106="Espelhamento",0.8,C106="Peletização",0.5,C106="Dublagem Spun - MO",0.8,C106="Dublagem Cretone - MO",0.8,C106="Dublagem Cretone PES - MO",0.8,C106="Espelhamento - MO",0.8,C106="Emborrachamento",1,C106="Malha",0,C106="Dublagem Barreira",1,C106="Pel. + Cal.",0.4,C106="Fel. + Pel. + Cal.",0.5,C106="Pel. + Spun",0.8,C106="Espelhamento - L: 1,45m",0.8,C106="Espelhamento - L: 1,65m",0.8,C106="Estampagem",1,C106="Fel. + Cal.",0.4,C106="Dublagem Juta",0.8,C106="Dublagem Cretone - MO (Juta)",0.8,C106="Dublagem Tapete",0.8,C106="Esp. + Pel.",0.8,C106="Espelhamento 2x",0.8)</f>
        <v>0.3</v>
      </c>
      <c r="U106" s="18">
        <v>1</v>
      </c>
      <c r="V106" s="18">
        <v>1</v>
      </c>
      <c r="W106" s="18"/>
      <c r="X106" s="18">
        <v>39.67</v>
      </c>
      <c r="Y106" s="18">
        <v>38.51</v>
      </c>
      <c r="Z106" s="18">
        <v>116.78</v>
      </c>
      <c r="AA106" s="18"/>
    </row>
    <row r="107" spans="1:27" ht="14.25" customHeight="1" x14ac:dyDescent="0.35">
      <c r="A107" s="18"/>
      <c r="B107" s="22" t="s">
        <v>163</v>
      </c>
      <c r="C107" s="23" t="s">
        <v>465</v>
      </c>
      <c r="D107" s="23"/>
      <c r="E107" s="24">
        <v>1</v>
      </c>
      <c r="F107" s="25">
        <v>1.8</v>
      </c>
      <c r="G107" s="25">
        <v>1.1000000000000001</v>
      </c>
      <c r="H107" s="26" t="s">
        <v>243</v>
      </c>
      <c r="I107" s="27">
        <f t="shared" si="37"/>
        <v>1.1000000000000001</v>
      </c>
      <c r="J107" s="28">
        <v>45663</v>
      </c>
      <c r="K107" s="29"/>
      <c r="L107" s="30">
        <f t="shared" si="39"/>
        <v>1.1000000000000001</v>
      </c>
      <c r="M107" s="30">
        <f>IF(B107="Texion Textil",0,IF(C107="Malha",'Custos insumos'!$B$24,IF(C107="Dublagem Cretone",'Custos insumos'!$D$7,IF(C107="Dublagem Spun",'Custos insumos'!$D$4,IF(C107="Espelhamento",'Custos insumos'!$B$11,IF(C107="Espelhamento 2x",2*'Custos insumos'!$B$11,IF(C107="Esp. + Pel.",'Custos insumos'!$B$11,IF(C107="Pel. + Spun",'Custos insumos'!$D$4,IF(C107="Dublagem Cretone PES",'Custos insumos'!$D$7,IF(C107="Dublagem Barreira",'Custos insumos'!$D$11,IF(C107="Dublagem - MO + Filme",'Custos insumos'!$D$4,IF(C107="Dublagem Cretone HM50",'Custos insumos'!$D$26,IF(C107="Dublagem Cretone HM70",'Custos insumos'!$F$10,)))))))))))))</f>
        <v>0</v>
      </c>
      <c r="N107" s="30">
        <f>IF(B107="Texion Textil",0,IF(B107="Três Elos",0,IF(C107="Malha",0,IF(C107="Dublagem Cretone",'Custos insumos'!$D$23,IF(C107="Dublagem Spun",'Custos insumos'!$D$16,IF(C107="Espelhamento",0,IF(C107="Espelhamento 2x",0,IF(C107="Esp. + Pel.",0,IF(C107="Pel. + Spun",'Custos insumos'!$D$16,IF(C107="Dublagem Cretone PES",'Custos insumos'!$F$25,IF(C107="Dublagem Barreira",'Custos insumos'!$D$22,)))))))))))</f>
        <v>0</v>
      </c>
      <c r="O107" s="18"/>
      <c r="P107" s="53" t="e">
        <f t="shared" ref="P107" si="40">(Q107-S107)/Q107</f>
        <v>#N/A</v>
      </c>
      <c r="Q107" s="50" t="e">
        <f t="shared" ref="Q107" si="41">G107*R107</f>
        <v>#N/A</v>
      </c>
      <c r="R107" s="50" t="e" cm="1">
        <f t="array" ref="R107">_xlfn.IFS(C107="Calandra",(350),C107="Peletização",(421),C107="Dublagem Spun",(250),C107="Dublagem Cretone PES",(180),C107="Felpagem",(270/E107),C107="Emborrachamento",(200),C107="Espelhamento",(250),C107="Malha",(1),C107="Dublagem Cretone",(180),C107="Malha",(1),C107="Dublagem Spun - MO",250,C107="Dublagem Cretone - MO",180,C107="Dublagem Cretone PES - MO",180,C107="Espelhamento - MO",250,C107="Emborrachamento",100,C107="Malha",0,C107="Dublagem Barreira",100,C107="Pel. + Cal.",350,C107="Fel. + Pel. + Cal.",270,C107="Pel. + Spun",250,C107="Espelhamento - L: 1,45m",200,C107="Espelhamento - L: 1,65m",200,C107="Estampagem",100,C107="Fel. + Cal.",270,C107="Dublagem Juta",180,C107="Dublagem Cretone - MO (Juta)",180,C107="Dublagem Tapete",150,C107="Esp. + Pel.",200,C107="Espelhamento 2x",100)</f>
        <v>#N/A</v>
      </c>
      <c r="S107" s="50" t="e">
        <f t="shared" ref="S107" si="42">(T107*X107)+(U107*Y107)+(V107*Z107)+((M107+N107)*(R107))</f>
        <v>#N/A</v>
      </c>
      <c r="T107" s="18" t="e" cm="1">
        <f t="array" ref="T107">_xlfn.IFS(C107="Calandra",0.4,C107="Felpagem",0.3,C107="Dublagem Spun",0.8,C107="Dublagem Cretone",0.8,C107="Dublagem Cretone PES",0.8,C107="Espelhamento",0.8,C107="Peletização",0.5,C107="Dublagem Spun - MO",0.8,C107="Dublagem Cretone - MO",0.8,C107="Dublagem Cretone PES - MO",0.8,C107="Espelhamento - MO",0.8,C107="Emborrachamento",1,C107="Malha",0,C107="Dublagem Barreira",1,C107="Pel. + Cal.",0.4,C107="Fel. + Pel. + Cal.",0.5,C107="Pel. + Spun",0.8,C107="Espelhamento - L: 1,45m",0.8,C107="Espelhamento - L: 1,65m",0.8,C107="Estampagem",1,C107="Fel. + Cal.",0.4,C107="Dublagem Juta",0.8,C107="Dublagem Cretone - MO (Juta)",0.8,C107="Dublagem Tapete",0.8,C107="Esp. + Pel.",0.8,C107="Espelhamento 2x",0.8)</f>
        <v>#N/A</v>
      </c>
      <c r="U107" s="18">
        <v>1</v>
      </c>
      <c r="V107" s="18">
        <v>1</v>
      </c>
      <c r="W107" s="18"/>
      <c r="X107" s="18">
        <v>39.67</v>
      </c>
      <c r="Y107" s="18">
        <v>38.51</v>
      </c>
      <c r="Z107" s="18">
        <v>116.78</v>
      </c>
      <c r="AA107" s="18"/>
    </row>
    <row r="108" spans="1:27" ht="14.25" customHeight="1" x14ac:dyDescent="0.35">
      <c r="A108" s="18"/>
      <c r="B108" s="22" t="s">
        <v>163</v>
      </c>
      <c r="C108" s="23" t="s">
        <v>282</v>
      </c>
      <c r="D108" s="23"/>
      <c r="E108" s="24">
        <v>1</v>
      </c>
      <c r="F108" s="25">
        <v>1.8</v>
      </c>
      <c r="G108" s="25">
        <f>F108</f>
        <v>1.8</v>
      </c>
      <c r="H108" s="26" t="s">
        <v>243</v>
      </c>
      <c r="I108" s="27">
        <f t="shared" si="37"/>
        <v>1.8</v>
      </c>
      <c r="J108" s="28">
        <v>45663</v>
      </c>
      <c r="K108" s="29"/>
      <c r="L108" s="30">
        <f t="shared" si="39"/>
        <v>1.8</v>
      </c>
      <c r="M108" s="30">
        <f>IF(B108="Texion Textil",0,IF(C108="Malha",'Custos insumos'!$B$24,IF(C108="Dublagem Cretone",'Custos insumos'!$D$7,IF(C108="Dublagem Spun",'Custos insumos'!$D$4,IF(C108="Espelhamento",'Custos insumos'!$B$11,IF(C108="Espelhamento 2x",2*'Custos insumos'!$B$11,IF(C108="Esp. + Pel.",'Custos insumos'!$B$11,IF(C108="Pel. + Spun",'Custos insumos'!$D$4,IF(C108="Dublagem Cretone PES",'Custos insumos'!$D$7,IF(C108="Dublagem Barreira",'Custos insumos'!$D$11,IF(C108="Dublagem - MO + Filme",'Custos insumos'!$D$4,IF(C108="Dublagem Cretone HM50",'Custos insumos'!$D$26,IF(C108="Dublagem Cretone HM70",'Custos insumos'!$F$10,)))))))))))))</f>
        <v>0</v>
      </c>
      <c r="N108" s="30">
        <f>IF(B108="Texion Textil",0,IF(B108="Três Elos",0,IF(C108="Malha",0,IF(C108="Dublagem Cretone",'Custos insumos'!$D$23,IF(C108="Dublagem Spun",'Custos insumos'!$D$16,IF(C108="Espelhamento",0,IF(C108="Espelhamento 2x",0,IF(C108="Esp. + Pel.",0,IF(C108="Pel. + Spun",'Custos insumos'!$D$16,IF(C108="Dublagem Cretone PES",'Custos insumos'!$F$25,IF(C108="Dublagem Barreira",'Custos insumos'!$D$22,)))))))))))</f>
        <v>0</v>
      </c>
      <c r="O108" s="18"/>
      <c r="P108" s="53" t="e">
        <f t="shared" si="34"/>
        <v>#N/A</v>
      </c>
      <c r="Q108" s="50" t="e">
        <f t="shared" si="35"/>
        <v>#N/A</v>
      </c>
      <c r="R108" s="50" t="e" cm="1">
        <f t="array" ref="R108">_xlfn.IFS(C108="Calandra",(350),C108="Peletização",(421),C108="Dublagem Spun",(250),C108="Dublagem Cretone PES",(180),C108="Felpagem",(270/E108),C108="Emborrachamento",(200),C108="Espelhamento",(250),C108="Malha",(1),C108="Dublagem Cretone",(180),C108="Malha",(1),C108="Dublagem Spun - MO",250,C108="Dublagem Cretone - MO",180,C108="Dublagem Cretone PES - MO",180,C108="Espelhamento - MO",250,C108="Emborrachamento",100,C108="Malha",0,C108="Dublagem Barreira",100,C108="Pel. + Cal.",350,C108="Fel. + Pel. + Cal.",270,C108="Pel. + Spun",250,C108="Espelhamento - L: 1,45m",200,C108="Espelhamento - L: 1,65m",200,C108="Estampagem",100,C108="Fel. + Cal.",270,C108="Dublagem Juta",180,C108="Dublagem Cretone - MO (Juta)",180,C108="Dublagem Tapete",150,C108="Esp. + Pel.",200,C108="Espelhamento 2x",100)</f>
        <v>#N/A</v>
      </c>
      <c r="S108" s="50" t="e">
        <f t="shared" si="36"/>
        <v>#N/A</v>
      </c>
      <c r="T108" s="18" t="e" cm="1">
        <f t="array" ref="T108">_xlfn.IFS(C108="Calandra",0.4,C108="Felpagem",0.3,C108="Dublagem Spun",0.8,C108="Dublagem Cretone",0.8,C108="Dublagem Cretone PES",0.8,C108="Espelhamento",0.8,C108="Peletização",0.5,C108="Dublagem Spun - MO",0.8,C108="Dublagem Cretone - MO",0.8,C108="Dublagem Cretone PES - MO",0.8,C108="Espelhamento - MO",0.8,C108="Emborrachamento",1,C108="Malha",0,C108="Dublagem Barreira",1,C108="Pel. + Cal.",0.4,C108="Fel. + Pel. + Cal.",0.5,C108="Pel. + Spun",0.8,C108="Espelhamento - L: 1,45m",0.8,C108="Espelhamento - L: 1,65m",0.8,C108="Estampagem",1,C108="Fel. + Cal.",0.4,C108="Dublagem Juta",0.8,C108="Dublagem Cretone - MO (Juta)",0.8,C108="Dublagem Tapete",0.8,C108="Esp. + Pel.",0.8,C108="Espelhamento 2x",0.8)</f>
        <v>#N/A</v>
      </c>
      <c r="U108" s="18">
        <v>1</v>
      </c>
      <c r="V108" s="18">
        <v>1</v>
      </c>
      <c r="W108" s="18"/>
      <c r="X108" s="18">
        <v>39.67</v>
      </c>
      <c r="Y108" s="18">
        <v>38.51</v>
      </c>
      <c r="Z108" s="18">
        <v>116.78</v>
      </c>
      <c r="AA108" s="18"/>
    </row>
    <row r="109" spans="1:27" ht="14.25" customHeight="1" x14ac:dyDescent="0.35">
      <c r="A109" s="18"/>
      <c r="B109" s="22" t="s">
        <v>301</v>
      </c>
      <c r="C109" s="23" t="s">
        <v>106</v>
      </c>
      <c r="D109" s="23"/>
      <c r="E109" s="24">
        <v>1</v>
      </c>
      <c r="F109" s="25">
        <v>2.4500000000000002</v>
      </c>
      <c r="G109" s="25">
        <f>F109</f>
        <v>2.4500000000000002</v>
      </c>
      <c r="H109" s="26" t="s">
        <v>243</v>
      </c>
      <c r="I109" s="27">
        <f t="shared" si="37"/>
        <v>2.4500000000000002</v>
      </c>
      <c r="J109" s="28">
        <v>45663</v>
      </c>
      <c r="K109" s="29" t="s">
        <v>167</v>
      </c>
      <c r="L109" s="30">
        <f t="shared" si="39"/>
        <v>1.3914997101449276</v>
      </c>
      <c r="M109" s="30">
        <f>IF(B109="Texion Textil",0,IF(C109="Malha",'Custos insumos'!$B$24,IF(C109="Dublagem Cretone",'Custos insumos'!$D$7,IF(C109="Dublagem Spun",'Custos insumos'!$D$4,IF(C109="Espelhamento",'Custos insumos'!$B$11,IF(C109="Espelhamento 2x",2*'Custos insumos'!$B$11,IF(C109="Esp. + Pel.",'Custos insumos'!$B$11,IF(C109="Pel. + Spun",'Custos insumos'!$D$4,IF(C109="Dublagem Cretone PES",'Custos insumos'!$D$7,IF(C109="Dublagem Barreira",'Custos insumos'!$D$11,IF(C109="Dublagem - MO + Filme",'Custos insumos'!$D$4,IF(C109="Dublagem Cretone HM50",'Custos insumos'!$D$26,IF(C109="Dublagem Cretone HM70",'Custos insumos'!$F$10,)))))))))))))</f>
        <v>1.0585002898550726</v>
      </c>
      <c r="N109" s="30">
        <f>IF(B109="Texion Textil",0,IF(B109="Três Elos",0,IF(C109="Malha",0,IF(C109="Dublagem Cretone",'Custos insumos'!$D$23,IF(C109="Dublagem Spun",'Custos insumos'!$D$16,IF(C109="Espelhamento",0,IF(C109="Espelhamento 2x",0,IF(C109="Esp. + Pel.",0,IF(C109="Pel. + Spun",'Custos insumos'!$D$16,IF(C109="Dublagem Cretone PES",'Custos insumos'!$F$25,IF(C109="Dublagem Barreira",'Custos insumos'!$D$22,)))))))))))</f>
        <v>0</v>
      </c>
      <c r="O109" s="18"/>
      <c r="P109" s="53">
        <f t="shared" si="34"/>
        <v>0.26261049393670505</v>
      </c>
      <c r="Q109" s="50">
        <f t="shared" si="35"/>
        <v>612.5</v>
      </c>
      <c r="R109" s="50" cm="1">
        <f t="array" ref="R109">_xlfn.IFS(C109="Calandra",(350),C109="Peletização",(421),C109="Dublagem Spun",(250),C109="Dublagem Cretone PES",(180),C109="Felpagem",(270/E109),C109="Emborrachamento",(200),C109="Espelhamento",(250),C109="Malha",(1),C109="Dublagem Cretone",(180),C109="Malha",(1),C109="Dublagem Spun - MO",250,C109="Dublagem Cretone - MO",180,C109="Dublagem Cretone PES - MO",180,C109="Espelhamento - MO",250,C109="Emborrachamento",100,C109="Malha",0,C109="Dublagem Barreira",100,C109="Pel. + Cal.",350,C109="Fel. + Pel. + Cal.",270,C109="Pel. + Spun",250,C109="Espelhamento - L: 1,45m",200,C109="Espelhamento - L: 1,65m",200,C109="Estampagem",100,C109="Fel. + Cal.",270,C109="Dublagem Juta",180,C109="Dublagem Cretone - MO (Juta)",180,C109="Dublagem Tapete",150,C109="Esp. + Pel.",200,C109="Espelhamento 2x",100)</f>
        <v>250</v>
      </c>
      <c r="S109" s="50">
        <f t="shared" si="36"/>
        <v>451.65107246376817</v>
      </c>
      <c r="T109" s="18" cm="1">
        <f t="array" ref="T109">_xlfn.IFS(C109="Calandra",0.4,C109="Felpagem",0.3,C109="Dublagem Spun",0.8,C109="Dublagem Cretone",0.8,C109="Dublagem Cretone PES",0.8,C109="Espelhamento",0.8,C109="Peletização",0.5,C109="Dublagem Spun - MO",0.8,C109="Dublagem Cretone - MO",0.8,C109="Dublagem Cretone PES - MO",0.8,C109="Espelhamento - MO",0.8,C109="Emborrachamento",1,C109="Malha",0,C109="Dublagem Barreira",1,C109="Pel. + Cal.",0.4,C109="Fel. + Pel. + Cal.",0.5,C109="Pel. + Spun",0.8,C109="Espelhamento - L: 1,45m",0.8,C109="Espelhamento - L: 1,65m",0.8,C109="Estampagem",1,C109="Fel. + Cal.",0.4,C109="Dublagem Juta",0.8,C109="Dublagem Cretone - MO (Juta)",0.8,C109="Dublagem Tapete",0.8,C109="Esp. + Pel.",0.8,C109="Espelhamento 2x",0.8)</f>
        <v>0.8</v>
      </c>
      <c r="U109" s="18">
        <v>1</v>
      </c>
      <c r="V109" s="18">
        <v>1</v>
      </c>
      <c r="W109" s="18"/>
      <c r="X109" s="18">
        <v>39.67</v>
      </c>
      <c r="Y109" s="18">
        <v>38.51</v>
      </c>
      <c r="Z109" s="18">
        <v>116.78</v>
      </c>
      <c r="AA109" s="18"/>
    </row>
    <row r="110" spans="1:27" ht="14.25" customHeight="1" x14ac:dyDescent="0.35">
      <c r="A110" s="18"/>
      <c r="B110" s="22" t="s">
        <v>301</v>
      </c>
      <c r="C110" s="23" t="s">
        <v>475</v>
      </c>
      <c r="D110" s="23"/>
      <c r="E110" s="24">
        <v>1</v>
      </c>
      <c r="F110" s="25">
        <v>2.5</v>
      </c>
      <c r="G110" s="25">
        <v>4.8</v>
      </c>
      <c r="H110" s="26" t="s">
        <v>243</v>
      </c>
      <c r="I110" s="27">
        <f t="shared" si="37"/>
        <v>4.8</v>
      </c>
      <c r="J110" s="28">
        <v>45663</v>
      </c>
      <c r="K110" s="29" t="s">
        <v>169</v>
      </c>
      <c r="L110" s="30">
        <f t="shared" si="39"/>
        <v>1.254</v>
      </c>
      <c r="M110" s="30">
        <f>'Custos insumos'!J28</f>
        <v>3.5459999999999998</v>
      </c>
      <c r="N110" s="30">
        <f>IF(B110="Texion Textil",0,IF(B110="Três Elos",0,IF(C110="Malha",0,IF(C110="Dublagem Cretone",'Custos insumos'!$D$23,IF(C110="Dublagem Spun",'Custos insumos'!$D$16,IF(C110="Espelhamento",0,IF(C110="Espelhamento 2x",0,IF(C110="Esp. + Pel.",0,IF(C110="Pel. + Spun",'Custos insumos'!$D$16,IF(C110="Dublagem Cretone PES",'Custos insumos'!$F$25,IF(C110="Dublagem Barreira",'Custos insumos'!$D$22,)))))))))))</f>
        <v>0</v>
      </c>
      <c r="O110" s="18"/>
      <c r="P110" s="53" t="e">
        <f t="shared" si="34"/>
        <v>#N/A</v>
      </c>
      <c r="Q110" s="50" t="e">
        <f t="shared" si="35"/>
        <v>#N/A</v>
      </c>
      <c r="R110" s="50" t="e" cm="1">
        <f t="array" ref="R110">_xlfn.IFS(C110="Calandra",(350),C110="Peletização",(421),C110="Dublagem Spun",(250),C110="Dublagem Cretone PES",(180),C110="Felpagem",(270/E110),C110="Emborrachamento",(200),C110="Espelhamento",(250),C110="Malha",(1),C110="Dublagem Cretone",(180),C110="Malha",(1),C110="Dublagem Spun - MO",250,C110="Dublagem Cretone - MO",180,C110="Dublagem Cretone PES - MO",180,C110="Espelhamento - MO",250,C110="Emborrachamento",100,C110="Malha",0,C110="Dublagem Barreira",100,C110="Pel. + Cal.",350,C110="Fel. + Pel. + Cal.",270,C110="Pel. + Spun",250,C110="Espelhamento - L: 1,45m",200,C110="Espelhamento - L: 1,65m",200,C110="Estampagem",100,C110="Fel. + Cal.",270,C110="Dublagem Juta",180,C110="Dublagem Cretone - MO (Juta)",180,C110="Dublagem Tapete",150,C110="Esp. + Pel.",200,C110="Espelhamento 2x",100)</f>
        <v>#N/A</v>
      </c>
      <c r="S110" s="50" t="e">
        <f t="shared" si="36"/>
        <v>#N/A</v>
      </c>
      <c r="T110" s="18" t="e" cm="1">
        <f t="array" ref="T110">_xlfn.IFS(C110="Calandra",0.4,C110="Felpagem",0.3,C110="Dublagem Spun",0.8,C110="Dublagem Cretone",0.8,C110="Dublagem Cretone PES",0.8,C110="Espelhamento",0.8,C110="Peletização",0.5,C110="Dublagem Spun - MO",0.8,C110="Dublagem Cretone - MO",0.8,C110="Dublagem Cretone PES - MO",0.8,C110="Espelhamento - MO",0.8,C110="Emborrachamento",1,C110="Malha",0,C110="Dublagem Barreira",1,C110="Pel. + Cal.",0.4,C110="Fel. + Pel. + Cal.",0.5,C110="Pel. + Spun",0.8,C110="Espelhamento - L: 1,45m",0.8,C110="Espelhamento - L: 1,65m",0.8,C110="Estampagem",1,C110="Fel. + Cal.",0.4,C110="Dublagem Juta",0.8,C110="Dublagem Cretone - MO (Juta)",0.8,C110="Dublagem Tapete",0.8,C110="Esp. + Pel.",0.8,C110="Espelhamento 2x",0.8)</f>
        <v>#N/A</v>
      </c>
      <c r="U110" s="18">
        <v>1</v>
      </c>
      <c r="V110" s="18">
        <v>1</v>
      </c>
      <c r="W110" s="18"/>
      <c r="X110" s="18">
        <v>39.67</v>
      </c>
      <c r="Y110" s="18">
        <v>38.51</v>
      </c>
      <c r="Z110" s="18">
        <v>116.78</v>
      </c>
      <c r="AA110" s="18"/>
    </row>
    <row r="111" spans="1:27" ht="14.25" customHeight="1" x14ac:dyDescent="0.35">
      <c r="A111" s="18"/>
      <c r="B111" s="22" t="s">
        <v>301</v>
      </c>
      <c r="C111" s="23" t="s">
        <v>451</v>
      </c>
      <c r="D111" s="23"/>
      <c r="E111" s="24">
        <v>1</v>
      </c>
      <c r="F111" s="25">
        <v>4.5999999999999996</v>
      </c>
      <c r="G111" s="25">
        <v>3.05</v>
      </c>
      <c r="H111" s="26" t="s">
        <v>243</v>
      </c>
      <c r="I111" s="27">
        <f t="shared" si="37"/>
        <v>3.05</v>
      </c>
      <c r="J111" s="28">
        <v>45663</v>
      </c>
      <c r="K111" s="29" t="s">
        <v>172</v>
      </c>
      <c r="L111" s="30">
        <f t="shared" si="39"/>
        <v>1.6099999999999999</v>
      </c>
      <c r="M111" s="30">
        <f>'Custos insumos'!N7</f>
        <v>1.44</v>
      </c>
      <c r="N111" s="30">
        <f>IF(B111="Texion Textil",0,IF(B111="Três Elos",0,IF(C111="Malha",0,IF(C111="Dublagem Cretone",'Custos insumos'!$D$23,IF(C111="Dublagem Spun",'Custos insumos'!$D$16,IF(C111="Espelhamento",0,IF(C111="Espelhamento 2x",0,IF(C111="Esp. + Pel.",0,IF(C111="Pel. + Spun",'Custos insumos'!$D$16,IF(C111="Dublagem Cretone PES",'Custos insumos'!$F$25,IF(C111="Dublagem Barreira",'Custos insumos'!$D$22,)))))))))))</f>
        <v>0</v>
      </c>
      <c r="O111" s="18"/>
      <c r="P111" s="53" t="e">
        <f t="shared" si="34"/>
        <v>#N/A</v>
      </c>
      <c r="Q111" s="50" t="e">
        <f t="shared" si="35"/>
        <v>#N/A</v>
      </c>
      <c r="R111" s="50" t="e" cm="1">
        <f t="array" ref="R111">_xlfn.IFS(C111="Calandra",(350),C111="Peletização",(421),C111="Dublagem Spun",(250),C111="Dublagem Cretone PES",(180),C111="Felpagem",(270/E111),C111="Emborrachamento",(200),C111="Espelhamento",(250),C111="Malha",(1),C111="Dublagem Cretone",(180),C111="Malha",(1),C111="Dublagem Spun - MO",250,C111="Dublagem Cretone - MO",180,C111="Dublagem Cretone PES - MO",180,C111="Espelhamento - MO",250,C111="Emborrachamento",100,C111="Malha",0,C111="Dublagem Barreira",100,C111="Pel. + Cal.",350,C111="Fel. + Pel. + Cal.",270,C111="Pel. + Spun",250,C111="Espelhamento - L: 1,45m",200,C111="Espelhamento - L: 1,65m",200,C111="Estampagem",100,C111="Fel. + Cal.",270,C111="Dublagem Juta",180,C111="Dublagem Cretone - MO (Juta)",180,C111="Dublagem Tapete",150,C111="Esp. + Pel.",200,C111="Espelhamento 2x",100)</f>
        <v>#N/A</v>
      </c>
      <c r="S111" s="50" t="e">
        <f t="shared" si="36"/>
        <v>#N/A</v>
      </c>
      <c r="T111" s="18" t="e" cm="1">
        <f t="array" ref="T111">_xlfn.IFS(C111="Calandra",0.4,C111="Felpagem",0.3,C111="Dublagem Spun",0.8,C111="Dublagem Cretone",0.8,C111="Dublagem Cretone PES",0.8,C111="Espelhamento",0.8,C111="Peletização",0.5,C111="Dublagem Spun - MO",0.8,C111="Dublagem Cretone - MO",0.8,C111="Dublagem Cretone PES - MO",0.8,C111="Espelhamento - MO",0.8,C111="Emborrachamento",1,C111="Malha",0,C111="Dublagem Barreira",1,C111="Pel. + Cal.",0.4,C111="Fel. + Pel. + Cal.",0.5,C111="Pel. + Spun",0.8,C111="Espelhamento - L: 1,45m",0.8,C111="Espelhamento - L: 1,65m",0.8,C111="Estampagem",1,C111="Fel. + Cal.",0.4,C111="Dublagem Juta",0.8,C111="Dublagem Cretone - MO (Juta)",0.8,C111="Dublagem Tapete",0.8,C111="Esp. + Pel.",0.8,C111="Espelhamento 2x",0.8)</f>
        <v>#N/A</v>
      </c>
      <c r="U111" s="18">
        <v>1</v>
      </c>
      <c r="V111" s="18">
        <v>1</v>
      </c>
      <c r="W111" s="18"/>
      <c r="X111" s="18">
        <v>39.67</v>
      </c>
      <c r="Y111" s="18">
        <v>38.51</v>
      </c>
      <c r="Z111" s="18">
        <v>116.78</v>
      </c>
      <c r="AA111" s="18"/>
    </row>
    <row r="112" spans="1:27" ht="14.25" customHeight="1" x14ac:dyDescent="0.35">
      <c r="A112" s="18"/>
      <c r="B112" s="22" t="s">
        <v>301</v>
      </c>
      <c r="C112" s="23" t="s">
        <v>431</v>
      </c>
      <c r="D112" s="23"/>
      <c r="E112" s="24">
        <v>1</v>
      </c>
      <c r="F112" s="25">
        <v>4.5999999999999996</v>
      </c>
      <c r="G112" s="25">
        <v>2.5499999999999998</v>
      </c>
      <c r="H112" s="26" t="s">
        <v>243</v>
      </c>
      <c r="I112" s="27">
        <f t="shared" ref="I112" si="43">G112/E112</f>
        <v>2.5499999999999998</v>
      </c>
      <c r="J112" s="28">
        <v>45663</v>
      </c>
      <c r="K112" s="29" t="s">
        <v>172</v>
      </c>
      <c r="L112" s="30">
        <f t="shared" ref="L112" si="44">G112-M112-N112</f>
        <v>1.8659999999999999</v>
      </c>
      <c r="M112" s="30">
        <f>'Custos insumos'!N4</f>
        <v>0.68399999999999994</v>
      </c>
      <c r="N112" s="30">
        <f>IF(B112="Texion Textil",0,IF(B112="Três Elos",0,IF(C112="Malha",0,IF(C112="Dublagem Cretone",'Custos insumos'!$D$23,IF(C112="Dublagem Spun",'Custos insumos'!$D$16,IF(C112="Espelhamento",0,IF(C112="Espelhamento 2x",0,IF(C112="Esp. + Pel.",0,IF(C112="Pel. + Spun",'Custos insumos'!$D$16,IF(C112="Dublagem Cretone PES",'Custos insumos'!$F$25,IF(C112="Dublagem Barreira",'Custos insumos'!$D$22,)))))))))))</f>
        <v>0</v>
      </c>
      <c r="O112" s="18"/>
      <c r="P112" s="53" t="e">
        <f t="shared" ref="P112" si="45">(Q112-S112)/Q112</f>
        <v>#N/A</v>
      </c>
      <c r="Q112" s="50" t="e">
        <f t="shared" ref="Q112" si="46">G112*R112</f>
        <v>#N/A</v>
      </c>
      <c r="R112" s="50" t="e" cm="1">
        <f t="array" ref="R112">_xlfn.IFS(C112="Calandra",(350),C112="Peletização",(421),C112="Dublagem Spun",(250),C112="Dublagem Cretone PES",(180),C112="Felpagem",(270/E112),C112="Emborrachamento",(200),C112="Espelhamento",(250),C112="Malha",(1),C112="Dublagem Cretone",(180),C112="Malha",(1),C112="Dublagem Spun - MO",250,C112="Dublagem Cretone - MO",180,C112="Dublagem Cretone PES - MO",180,C112="Espelhamento - MO",250,C112="Emborrachamento",100,C112="Malha",0,C112="Dublagem Barreira",100,C112="Pel. + Cal.",350,C112="Fel. + Pel. + Cal.",270,C112="Pel. + Spun",250,C112="Espelhamento - L: 1,45m",200,C112="Espelhamento - L: 1,65m",200,C112="Estampagem",100,C112="Fel. + Cal.",270,C112="Dublagem Juta",180,C112="Dublagem Cretone - MO (Juta)",180,C112="Dublagem Tapete",150,C112="Esp. + Pel.",200,C112="Espelhamento 2x",100)</f>
        <v>#N/A</v>
      </c>
      <c r="S112" s="50" t="e">
        <f t="shared" ref="S112" si="47">(T112*X112)+(U112*Y112)+(V112*Z112)+((M112+N112)*(R112))</f>
        <v>#N/A</v>
      </c>
      <c r="T112" s="18" t="e" cm="1">
        <f t="array" ref="T112">_xlfn.IFS(C112="Calandra",0.4,C112="Felpagem",0.3,C112="Dublagem Spun",0.8,C112="Dublagem Cretone",0.8,C112="Dublagem Cretone PES",0.8,C112="Espelhamento",0.8,C112="Peletização",0.5,C112="Dublagem Spun - MO",0.8,C112="Dublagem Cretone - MO",0.8,C112="Dublagem Cretone PES - MO",0.8,C112="Espelhamento - MO",0.8,C112="Emborrachamento",1,C112="Malha",0,C112="Dublagem Barreira",1,C112="Pel. + Cal.",0.4,C112="Fel. + Pel. + Cal.",0.5,C112="Pel. + Spun",0.8,C112="Espelhamento - L: 1,45m",0.8,C112="Espelhamento - L: 1,65m",0.8,C112="Estampagem",1,C112="Fel. + Cal.",0.4,C112="Dublagem Juta",0.8,C112="Dublagem Cretone - MO (Juta)",0.8,C112="Dublagem Tapete",0.8,C112="Esp. + Pel.",0.8,C112="Espelhamento 2x",0.8)</f>
        <v>#N/A</v>
      </c>
      <c r="U112" s="18">
        <v>1</v>
      </c>
      <c r="V112" s="18">
        <v>1</v>
      </c>
      <c r="W112" s="18"/>
      <c r="X112" s="18">
        <v>39.67</v>
      </c>
      <c r="Y112" s="18">
        <v>38.51</v>
      </c>
      <c r="Z112" s="18">
        <v>116.78</v>
      </c>
      <c r="AA112" s="18"/>
    </row>
    <row r="113" spans="1:27" ht="14.25" customHeight="1" x14ac:dyDescent="0.35">
      <c r="A113" s="18"/>
      <c r="B113" s="22" t="s">
        <v>301</v>
      </c>
      <c r="C113" s="23" t="s">
        <v>473</v>
      </c>
      <c r="D113" s="23"/>
      <c r="E113" s="24">
        <v>1</v>
      </c>
      <c r="F113" s="25">
        <v>4.5999999999999996</v>
      </c>
      <c r="G113" s="25">
        <v>4.0999999999999996</v>
      </c>
      <c r="H113" s="26" t="s">
        <v>243</v>
      </c>
      <c r="I113" s="27">
        <f t="shared" ref="I113" si="48">G113/E113</f>
        <v>4.0999999999999996</v>
      </c>
      <c r="J113" s="28">
        <v>45663</v>
      </c>
      <c r="K113" s="29" t="s">
        <v>172</v>
      </c>
      <c r="L113" s="30">
        <f t="shared" ref="L113" si="49">G113-M113-N113</f>
        <v>2.6839999999999993</v>
      </c>
      <c r="M113" s="30">
        <f>'Custos insumos'!N4</f>
        <v>0.68399999999999994</v>
      </c>
      <c r="N113" s="30">
        <f>'Custos insumos'!L19</f>
        <v>0.73199999999999998</v>
      </c>
      <c r="O113" s="18"/>
      <c r="P113" s="53" t="e">
        <f t="shared" ref="P113" si="50">(Q113-S113)/Q113</f>
        <v>#N/A</v>
      </c>
      <c r="Q113" s="50" t="e">
        <f t="shared" ref="Q113" si="51">G113*R113</f>
        <v>#N/A</v>
      </c>
      <c r="R113" s="50" t="e" cm="1">
        <f t="array" ref="R113">_xlfn.IFS(C113="Calandra",(350),C113="Peletização",(421),C113="Dublagem Spun",(250),C113="Dublagem Cretone PES",(180),C113="Felpagem",(270/E113),C113="Emborrachamento",(200),C113="Espelhamento",(250),C113="Malha",(1),C113="Dublagem Cretone",(180),C113="Malha",(1),C113="Dublagem Spun - MO",250,C113="Dublagem Cretone - MO",180,C113="Dublagem Cretone PES - MO",180,C113="Espelhamento - MO",250,C113="Emborrachamento",100,C113="Malha",0,C113="Dublagem Barreira",100,C113="Pel. + Cal.",350,C113="Fel. + Pel. + Cal.",270,C113="Pel. + Spun",250,C113="Espelhamento - L: 1,45m",200,C113="Espelhamento - L: 1,65m",200,C113="Estampagem",100,C113="Fel. + Cal.",270,C113="Dublagem Juta",180,C113="Dublagem Cretone - MO (Juta)",180,C113="Dublagem Tapete",150,C113="Esp. + Pel.",200,C113="Espelhamento 2x",100)</f>
        <v>#N/A</v>
      </c>
      <c r="S113" s="50" t="e">
        <f t="shared" ref="S113" si="52">(T113*X113)+(U113*Y113)+(V113*Z113)+((M113+N113)*(R113))</f>
        <v>#N/A</v>
      </c>
      <c r="T113" s="18" t="e" cm="1">
        <f t="array" ref="T113">_xlfn.IFS(C113="Calandra",0.4,C113="Felpagem",0.3,C113="Dublagem Spun",0.8,C113="Dublagem Cretone",0.8,C113="Dublagem Cretone PES",0.8,C113="Espelhamento",0.8,C113="Peletização",0.5,C113="Dublagem Spun - MO",0.8,C113="Dublagem Cretone - MO",0.8,C113="Dublagem Cretone PES - MO",0.8,C113="Espelhamento - MO",0.8,C113="Emborrachamento",1,C113="Malha",0,C113="Dublagem Barreira",1,C113="Pel. + Cal.",0.4,C113="Fel. + Pel. + Cal.",0.5,C113="Pel. + Spun",0.8,C113="Espelhamento - L: 1,45m",0.8,C113="Espelhamento - L: 1,65m",0.8,C113="Estampagem",1,C113="Fel. + Cal.",0.4,C113="Dublagem Juta",0.8,C113="Dublagem Cretone - MO (Juta)",0.8,C113="Dublagem Tapete",0.8,C113="Esp. + Pel.",0.8,C113="Espelhamento 2x",0.8)</f>
        <v>#N/A</v>
      </c>
      <c r="U113" s="18">
        <v>1</v>
      </c>
      <c r="V113" s="18">
        <v>1</v>
      </c>
      <c r="W113" s="18"/>
      <c r="X113" s="18">
        <v>39.67</v>
      </c>
      <c r="Y113" s="18">
        <v>38.51</v>
      </c>
      <c r="Z113" s="18">
        <v>116.78</v>
      </c>
      <c r="AA113" s="18"/>
    </row>
    <row r="114" spans="1:27" ht="14.25" customHeight="1" x14ac:dyDescent="0.35">
      <c r="A114" s="18"/>
      <c r="B114" s="22" t="s">
        <v>301</v>
      </c>
      <c r="C114" s="23" t="s">
        <v>474</v>
      </c>
      <c r="D114" s="23"/>
      <c r="E114" s="24">
        <v>1</v>
      </c>
      <c r="F114" s="25">
        <v>4.5999999999999996</v>
      </c>
      <c r="G114" s="25">
        <v>2.15</v>
      </c>
      <c r="H114" s="26" t="s">
        <v>243</v>
      </c>
      <c r="I114" s="27">
        <f t="shared" si="37"/>
        <v>2.15</v>
      </c>
      <c r="J114" s="28">
        <v>45663</v>
      </c>
      <c r="K114" s="29" t="s">
        <v>172</v>
      </c>
      <c r="L114" s="30">
        <f t="shared" si="39"/>
        <v>1.7976799999999999</v>
      </c>
      <c r="M114" s="30">
        <f>IF(B114="Texion Textil",0,IF(C114="Malha",'Custos insumos'!$B$24,IF(C114="Dublagem Cretone",'Custos insumos'!$D$7,IF(C114="Dublagem Spun",'Custos insumos'!$D$4,IF(C114="Espelhamento",'Custos insumos'!$B$11,IF(C114="Espelhamento 2x",2*'Custos insumos'!$B$11,IF(C114="Esp. + Pel.",'Custos insumos'!$B$11,IF(C114="Pel. + Spun",'Custos insumos'!$D$4,IF(C114="Dublagem Cretone PES",'Custos insumos'!$D$7,IF(C114="Dublagem Barreira",'Custos insumos'!$D$11,IF(C114="Dublagem - MO + Filme",'Custos insumos'!$D$4,IF(C114="Dublagem Cretone HM50",'Custos insumos'!$D$26,IF(C114="Dublagem Cretone HM70",'Custos insumos'!$F$10,)))))))))))))</f>
        <v>0</v>
      </c>
      <c r="N114" s="30">
        <f>'Custos insumos'!N14</f>
        <v>0.35232000000000002</v>
      </c>
      <c r="O114" s="18"/>
      <c r="P114" s="53" t="e">
        <f t="shared" si="34"/>
        <v>#N/A</v>
      </c>
      <c r="Q114" s="50" t="e">
        <f t="shared" si="35"/>
        <v>#N/A</v>
      </c>
      <c r="R114" s="50" t="e" cm="1">
        <f t="array" ref="R114">_xlfn.IFS(C114="Calandra",(350),C114="Peletização",(421),C114="Dublagem Spun",(250),C114="Dublagem Cretone PES",(180),C114="Felpagem",(270/E114),C114="Emborrachamento",(200),C114="Espelhamento",(250),C114="Malha",(1),C114="Dublagem Cretone",(180),C114="Malha",(1),C114="Dublagem Spun - MO",250,C114="Dublagem Cretone - MO",180,C114="Dublagem Cretone PES - MO",180,C114="Espelhamento - MO",250,C114="Emborrachamento",100,C114="Malha",0,C114="Dublagem Barreira",100,C114="Pel. + Cal.",350,C114="Fel. + Pel. + Cal.",270,C114="Pel. + Spun",250,C114="Espelhamento - L: 1,45m",200,C114="Espelhamento - L: 1,65m",200,C114="Estampagem",100,C114="Fel. + Cal.",270,C114="Dublagem Juta",180,C114="Dublagem Cretone - MO (Juta)",180,C114="Dublagem Tapete",150,C114="Esp. + Pel.",200,C114="Espelhamento 2x",100)</f>
        <v>#N/A</v>
      </c>
      <c r="S114" s="50" t="e">
        <f t="shared" si="36"/>
        <v>#N/A</v>
      </c>
      <c r="T114" s="18" t="e" cm="1">
        <f t="array" ref="T114">_xlfn.IFS(C114="Calandra",0.4,C114="Felpagem",0.3,C114="Dublagem Spun",0.8,C114="Dublagem Cretone",0.8,C114="Dublagem Cretone PES",0.8,C114="Espelhamento",0.8,C114="Peletização",0.5,C114="Dublagem Spun - MO",0.8,C114="Dublagem Cretone - MO",0.8,C114="Dublagem Cretone PES - MO",0.8,C114="Espelhamento - MO",0.8,C114="Emborrachamento",1,C114="Malha",0,C114="Dublagem Barreira",1,C114="Pel. + Cal.",0.4,C114="Fel. + Pel. + Cal.",0.5,C114="Pel. + Spun",0.8,C114="Espelhamento - L: 1,45m",0.8,C114="Espelhamento - L: 1,65m",0.8,C114="Estampagem",1,C114="Fel. + Cal.",0.4,C114="Dublagem Juta",0.8,C114="Dublagem Cretone - MO (Juta)",0.8,C114="Dublagem Tapete",0.8,C114="Esp. + Pel.",0.8,C114="Espelhamento 2x",0.8)</f>
        <v>#N/A</v>
      </c>
      <c r="U114" s="18">
        <v>1</v>
      </c>
      <c r="V114" s="18">
        <v>1</v>
      </c>
      <c r="W114" s="18"/>
      <c r="X114" s="18">
        <v>39.67</v>
      </c>
      <c r="Y114" s="18">
        <v>38.51</v>
      </c>
      <c r="Z114" s="18">
        <v>116.78</v>
      </c>
      <c r="AA114" s="18"/>
    </row>
    <row r="115" spans="1:27" ht="14.25" customHeight="1" x14ac:dyDescent="0.35">
      <c r="A115" s="18"/>
      <c r="B115" s="22" t="s">
        <v>454</v>
      </c>
      <c r="C115" s="23" t="s">
        <v>457</v>
      </c>
      <c r="D115" s="23" t="s">
        <v>458</v>
      </c>
      <c r="E115" s="24"/>
      <c r="F115" s="25"/>
      <c r="G115" s="25">
        <v>3.05</v>
      </c>
      <c r="H115" s="26"/>
      <c r="I115" s="27"/>
      <c r="J115" s="28"/>
      <c r="K115" s="29"/>
      <c r="L115" s="30">
        <f>G115-M115</f>
        <v>1.6579999999999999</v>
      </c>
      <c r="M115" s="30">
        <f>'Custos insumos'!N6</f>
        <v>1.3919999999999999</v>
      </c>
      <c r="N115" s="30">
        <v>0</v>
      </c>
      <c r="O115" s="18"/>
      <c r="P115" s="53" t="e">
        <f t="shared" si="34"/>
        <v>#N/A</v>
      </c>
      <c r="Q115" s="50" t="e">
        <f t="shared" si="35"/>
        <v>#N/A</v>
      </c>
      <c r="R115" s="50" t="e" cm="1">
        <f t="array" ref="R115">_xlfn.IFS(C115="Calandra",(350),C115="Peletização",(421),C115="Dublagem Spun",(250),C115="Dublagem Cretone PES",(180),C115="Felpagem",(270/E115),C115="Emborrachamento",(200),C115="Espelhamento",(250),C115="Malha",(1),C115="Dublagem Cretone",(180),C115="Malha",(1),C115="Dublagem Spun - MO",250,C115="Dublagem Cretone - MO",180,C115="Dublagem Cretone PES - MO",180,C115="Espelhamento - MO",250,C115="Emborrachamento",100,C115="Malha",0,C115="Dublagem Barreira",100,C115="Pel. + Cal.",350,C115="Fel. + Pel. + Cal.",270,C115="Pel. + Spun",250,C115="Espelhamento - L: 1,45m",200,C115="Espelhamento - L: 1,65m",200,C115="Estampagem",100,C115="Fel. + Cal.",270,C115="Dublagem Juta",180,C115="Dublagem Cretone - MO (Juta)",180,C115="Dublagem Tapete",150,C115="Esp. + Pel.",200,C115="Espelhamento 2x",100)</f>
        <v>#N/A</v>
      </c>
      <c r="S115" s="50" t="e">
        <f t="shared" si="36"/>
        <v>#N/A</v>
      </c>
      <c r="T115" s="18" t="e" cm="1">
        <f t="array" ref="T115">_xlfn.IFS(C115="Calandra",0.4,C115="Felpagem",0.3,C115="Dublagem Spun",0.8,C115="Dublagem Cretone",0.8,C115="Dublagem Cretone PES",0.8,C115="Espelhamento",0.8,C115="Peletização",0.5,C115="Dublagem Spun - MO",0.8,C115="Dublagem Cretone - MO",0.8,C115="Dublagem Cretone PES - MO",0.8,C115="Espelhamento - MO",0.8,C115="Emborrachamento",1,C115="Malha",0,C115="Dublagem Barreira",1,C115="Pel. + Cal.",0.4,C115="Fel. + Pel. + Cal.",0.5,C115="Pel. + Spun",0.8,C115="Espelhamento - L: 1,45m",0.8,C115="Espelhamento - L: 1,65m",0.8,C115="Estampagem",1,C115="Fel. + Cal.",0.4,C115="Dublagem Juta",0.8,C115="Dublagem Cretone - MO (Juta)",0.8,C115="Dublagem Tapete",0.8,C115="Esp. + Pel.",0.8,C115="Espelhamento 2x",0.8)</f>
        <v>#N/A</v>
      </c>
      <c r="U115" s="18">
        <v>1</v>
      </c>
      <c r="V115" s="18">
        <v>1</v>
      </c>
      <c r="W115" s="18"/>
      <c r="X115" s="18">
        <v>39.67</v>
      </c>
      <c r="Y115" s="18">
        <v>38.51</v>
      </c>
      <c r="Z115" s="18">
        <v>116.78</v>
      </c>
      <c r="AA115" s="18"/>
    </row>
    <row r="116" spans="1:27" ht="14.25" customHeight="1" x14ac:dyDescent="0.35">
      <c r="A116" s="18"/>
      <c r="B116" s="22" t="s">
        <v>454</v>
      </c>
      <c r="C116" s="23" t="s">
        <v>455</v>
      </c>
      <c r="D116" s="23" t="s">
        <v>459</v>
      </c>
      <c r="E116" s="24">
        <v>1</v>
      </c>
      <c r="F116" s="25"/>
      <c r="G116" s="25">
        <f>L116+M116+N116</f>
        <v>3.8672</v>
      </c>
      <c r="H116" s="26"/>
      <c r="I116" s="27"/>
      <c r="J116" s="28"/>
      <c r="K116" s="29"/>
      <c r="L116" s="30">
        <v>1.79</v>
      </c>
      <c r="M116" s="30">
        <f>'Custos insumos'!N3</f>
        <v>0.6611999999999999</v>
      </c>
      <c r="N116" s="30">
        <f>'Custos insumos'!L20</f>
        <v>1.4159999999999999</v>
      </c>
      <c r="O116" s="18"/>
      <c r="P116" s="53" t="e">
        <f t="shared" si="34"/>
        <v>#N/A</v>
      </c>
      <c r="Q116" s="50" t="e">
        <f t="shared" si="35"/>
        <v>#N/A</v>
      </c>
      <c r="R116" s="50" t="e" cm="1">
        <f t="array" ref="R116">_xlfn.IFS(C116="Calandra",(350),C116="Peletização",(421),C116="Dublagem Spun",(250),C116="Dublagem Cretone PES",(180),C116="Felpagem",(270/E116),C116="Emborrachamento",(200),C116="Espelhamento",(250),C116="Malha",(1),C116="Dublagem Cretone",(180),C116="Malha",(1),C116="Dublagem Spun - MO",250,C116="Dublagem Cretone - MO",180,C116="Dublagem Cretone PES - MO",180,C116="Espelhamento - MO",250,C116="Emborrachamento",100,C116="Malha",0,C116="Dublagem Barreira",100,C116="Pel. + Cal.",350,C116="Fel. + Pel. + Cal.",270,C116="Pel. + Spun",250,C116="Espelhamento - L: 1,45m",200,C116="Espelhamento - L: 1,65m",200,C116="Estampagem",100,C116="Fel. + Cal.",270,C116="Dublagem Juta",180,C116="Dublagem Cretone - MO (Juta)",180,C116="Dublagem Tapete",150,C116="Esp. + Pel.",200,C116="Espelhamento 2x",100)</f>
        <v>#N/A</v>
      </c>
      <c r="S116" s="50" t="e">
        <f t="shared" si="36"/>
        <v>#N/A</v>
      </c>
      <c r="T116" s="18" t="e" cm="1">
        <f t="array" ref="T116">_xlfn.IFS(C116="Calandra",0.4,C116="Felpagem",0.3,C116="Dublagem Spun",0.8,C116="Dublagem Cretone",0.8,C116="Dublagem Cretone PES",0.8,C116="Espelhamento",0.8,C116="Peletização",0.5,C116="Dublagem Spun - MO",0.8,C116="Dublagem Cretone - MO",0.8,C116="Dublagem Cretone PES - MO",0.8,C116="Espelhamento - MO",0.8,C116="Emborrachamento",1,C116="Malha",0,C116="Dublagem Barreira",1,C116="Pel. + Cal.",0.4,C116="Fel. + Pel. + Cal.",0.5,C116="Pel. + Spun",0.8,C116="Espelhamento - L: 1,45m",0.8,C116="Espelhamento - L: 1,65m",0.8,C116="Estampagem",1,C116="Fel. + Cal.",0.4,C116="Dublagem Juta",0.8,C116="Dublagem Cretone - MO (Juta)",0.8,C116="Dublagem Tapete",0.8,C116="Esp. + Pel.",0.8,C116="Espelhamento 2x",0.8)</f>
        <v>#N/A</v>
      </c>
      <c r="U116" s="18">
        <v>1</v>
      </c>
      <c r="V116" s="18">
        <v>1</v>
      </c>
      <c r="W116" s="18"/>
      <c r="X116" s="18">
        <v>39.67</v>
      </c>
      <c r="Y116" s="18">
        <v>38.51</v>
      </c>
      <c r="Z116" s="18">
        <v>116.78</v>
      </c>
      <c r="AA116" s="18"/>
    </row>
    <row r="117" spans="1:27" ht="14.25" customHeight="1" x14ac:dyDescent="0.35">
      <c r="A117" s="18"/>
      <c r="B117" s="22" t="s">
        <v>454</v>
      </c>
      <c r="C117" s="23" t="s">
        <v>456</v>
      </c>
      <c r="D117" s="23" t="s">
        <v>460</v>
      </c>
      <c r="E117" s="24">
        <v>1</v>
      </c>
      <c r="F117" s="25"/>
      <c r="G117" s="25">
        <f>L117+M117+N117</f>
        <v>4.8151999999999999</v>
      </c>
      <c r="H117" s="26"/>
      <c r="I117" s="27"/>
      <c r="J117" s="28"/>
      <c r="K117" s="29"/>
      <c r="L117" s="30">
        <v>1.79</v>
      </c>
      <c r="M117" s="30">
        <f>'Custos insumos'!N3</f>
        <v>0.6611999999999999</v>
      </c>
      <c r="N117" s="30">
        <f>'Custos insumos'!L21</f>
        <v>2.3639999999999999</v>
      </c>
      <c r="O117" s="18"/>
      <c r="P117" s="53" t="e">
        <f t="shared" si="34"/>
        <v>#N/A</v>
      </c>
      <c r="Q117" s="50" t="e">
        <f t="shared" si="35"/>
        <v>#N/A</v>
      </c>
      <c r="R117" s="50" t="e" cm="1">
        <f t="array" ref="R117">_xlfn.IFS(C117="Calandra",(350),C117="Peletização",(421),C117="Dublagem Spun",(250),C117="Dublagem Cretone PES",(180),C117="Felpagem",(270/E117),C117="Emborrachamento",(200),C117="Espelhamento",(250),C117="Malha",(1),C117="Dublagem Cretone",(180),C117="Malha",(1),C117="Dublagem Spun - MO",250,C117="Dublagem Cretone - MO",180,C117="Dublagem Cretone PES - MO",180,C117="Espelhamento - MO",250,C117="Emborrachamento",100,C117="Malha",0,C117="Dublagem Barreira",100,C117="Pel. + Cal.",350,C117="Fel. + Pel. + Cal.",270,C117="Pel. + Spun",250,C117="Espelhamento - L: 1,45m",200,C117="Espelhamento - L: 1,65m",200,C117="Estampagem",100,C117="Fel. + Cal.",270,C117="Dublagem Juta",180,C117="Dublagem Cretone - MO (Juta)",180,C117="Dublagem Tapete",150,C117="Esp. + Pel.",200,C117="Espelhamento 2x",100)</f>
        <v>#N/A</v>
      </c>
      <c r="S117" s="50" t="e">
        <f t="shared" si="36"/>
        <v>#N/A</v>
      </c>
      <c r="T117" s="18" t="e" cm="1">
        <f t="array" ref="T117">_xlfn.IFS(C117="Calandra",0.4,C117="Felpagem",0.3,C117="Dublagem Spun",0.8,C117="Dublagem Cretone",0.8,C117="Dublagem Cretone PES",0.8,C117="Espelhamento",0.8,C117="Peletização",0.5,C117="Dublagem Spun - MO",0.8,C117="Dublagem Cretone - MO",0.8,C117="Dublagem Cretone PES - MO",0.8,C117="Espelhamento - MO",0.8,C117="Emborrachamento",1,C117="Malha",0,C117="Dublagem Barreira",1,C117="Pel. + Cal.",0.4,C117="Fel. + Pel. + Cal.",0.5,C117="Pel. + Spun",0.8,C117="Espelhamento - L: 1,45m",0.8,C117="Espelhamento - L: 1,65m",0.8,C117="Estampagem",1,C117="Fel. + Cal.",0.4,C117="Dublagem Juta",0.8,C117="Dublagem Cretone - MO (Juta)",0.8,C117="Dublagem Tapete",0.8,C117="Esp. + Pel.",0.8,C117="Espelhamento 2x",0.8)</f>
        <v>#N/A</v>
      </c>
      <c r="U117" s="18">
        <v>1</v>
      </c>
      <c r="V117" s="18">
        <v>1</v>
      </c>
      <c r="W117" s="18"/>
      <c r="X117" s="18">
        <v>39.67</v>
      </c>
      <c r="Y117" s="18">
        <v>38.51</v>
      </c>
      <c r="Z117" s="18">
        <v>116.78</v>
      </c>
      <c r="AA117" s="18"/>
    </row>
    <row r="118" spans="1:27" ht="14.25" customHeight="1" x14ac:dyDescent="0.35">
      <c r="A118" s="18"/>
      <c r="B118" s="22" t="s">
        <v>454</v>
      </c>
      <c r="C118" s="23" t="s">
        <v>461</v>
      </c>
      <c r="D118" s="23" t="s">
        <v>463</v>
      </c>
      <c r="E118" s="24">
        <v>1</v>
      </c>
      <c r="F118" s="25"/>
      <c r="G118" s="25">
        <f>L118+M118</f>
        <v>4.8306000000000004</v>
      </c>
      <c r="H118" s="26"/>
      <c r="I118" s="27"/>
      <c r="J118" s="28"/>
      <c r="K118" s="29"/>
      <c r="L118" s="30">
        <v>1.5</v>
      </c>
      <c r="M118" s="30">
        <f>'Custos insumos'!J33</f>
        <v>3.3306</v>
      </c>
      <c r="N118" s="30"/>
      <c r="O118" s="50"/>
      <c r="P118" s="53" t="e">
        <f t="shared" si="34"/>
        <v>#N/A</v>
      </c>
      <c r="Q118" s="50" t="e">
        <f t="shared" si="35"/>
        <v>#N/A</v>
      </c>
      <c r="R118" s="50" t="e" cm="1">
        <f t="array" ref="R118">_xlfn.IFS(C118="Calandra",(350),C118="Peletização",(421),C118="Dublagem Spun",(250),C118="Dublagem Cretone PES",(180),C118="Felpagem",(270/E118),C118="Emborrachamento",(200),C118="Espelhamento",(250),C118="Malha",(1),C118="Dublagem Cretone",(180),C118="Malha",(1),C118="Dublagem Spun - MO",250,C118="Dublagem Cretone - MO",180,C118="Dublagem Cretone PES - MO",180,C118="Espelhamento - MO",250,C118="Emborrachamento",100,C118="Malha",0,C118="Dublagem Barreira",100,C118="Pel. + Cal.",350,C118="Fel. + Pel. + Cal.",270,C118="Pel. + Spun",250,C118="Espelhamento - L: 1,45m",200,C118="Espelhamento - L: 1,65m",200,C118="Estampagem",100,C118="Fel. + Cal.",270,C118="Dublagem Juta",180,C118="Dublagem Cretone - MO (Juta)",180,C118="Dublagem Tapete",150,C118="Esp. + Pel.",200,C118="Espelhamento 2x",100)</f>
        <v>#N/A</v>
      </c>
      <c r="S118" s="50" t="e">
        <f t="shared" si="36"/>
        <v>#N/A</v>
      </c>
      <c r="T118" s="18" t="e" cm="1">
        <f t="array" ref="T118">_xlfn.IFS(C118="Calandra",0.4,C118="Felpagem",0.3,C118="Dublagem Spun",0.8,C118="Dublagem Cretone",0.8,C118="Dublagem Cretone PES",0.8,C118="Espelhamento",0.8,C118="Peletização",0.5,C118="Dublagem Spun - MO",0.8,C118="Dublagem Cretone - MO",0.8,C118="Dublagem Cretone PES - MO",0.8,C118="Espelhamento - MO",0.8,C118="Emborrachamento",1,C118="Malha",0,C118="Dublagem Barreira",1,C118="Pel. + Cal.",0.4,C118="Fel. + Pel. + Cal.",0.5,C118="Pel. + Spun",0.8,C118="Espelhamento - L: 1,45m",0.8,C118="Espelhamento - L: 1,65m",0.8,C118="Estampagem",1,C118="Fel. + Cal.",0.4,C118="Dublagem Juta",0.8,C118="Dublagem Cretone - MO (Juta)",0.8,C118="Dublagem Tapete",0.8,C118="Esp. + Pel.",0.8,C118="Espelhamento 2x",0.8)</f>
        <v>#N/A</v>
      </c>
      <c r="U118" s="18">
        <v>1</v>
      </c>
      <c r="V118" s="18">
        <v>1</v>
      </c>
      <c r="W118" s="18"/>
      <c r="X118" s="18">
        <v>39.67</v>
      </c>
      <c r="Y118" s="18">
        <v>38.51</v>
      </c>
      <c r="Z118" s="18">
        <v>116.78</v>
      </c>
      <c r="AA118" s="18"/>
    </row>
    <row r="119" spans="1:27" ht="14.25" customHeight="1" x14ac:dyDescent="0.35">
      <c r="A119" s="18"/>
      <c r="B119" s="22" t="s">
        <v>454</v>
      </c>
      <c r="C119" s="23" t="s">
        <v>462</v>
      </c>
      <c r="D119" s="23" t="s">
        <v>463</v>
      </c>
      <c r="E119" s="24">
        <v>1</v>
      </c>
      <c r="F119" s="25"/>
      <c r="G119" s="25">
        <f>L119+M119</f>
        <v>5.8511999999999995</v>
      </c>
      <c r="H119" s="26"/>
      <c r="I119" s="27"/>
      <c r="J119" s="28"/>
      <c r="K119" s="29"/>
      <c r="L119" s="30">
        <v>1.5</v>
      </c>
      <c r="M119" s="30">
        <f>'Custos insumos'!J29</f>
        <v>4.3511999999999995</v>
      </c>
      <c r="N119" s="30"/>
      <c r="O119" s="18"/>
      <c r="P119" s="53" t="e">
        <f t="shared" si="34"/>
        <v>#N/A</v>
      </c>
      <c r="Q119" s="50" t="e">
        <f t="shared" si="35"/>
        <v>#N/A</v>
      </c>
      <c r="R119" s="50" t="e" cm="1">
        <f t="array" ref="R119">_xlfn.IFS(C119="Calandra",(350),C119="Peletização",(421),C119="Dublagem Spun",(250),C119="Dublagem Cretone PES",(180),C119="Felpagem",(270/E119),C119="Emborrachamento",(200),C119="Espelhamento",(250),C119="Malha",(1),C119="Dublagem Cretone",(180),C119="Malha",(1),C119="Dublagem Spun - MO",250,C119="Dublagem Cretone - MO",180,C119="Dublagem Cretone PES - MO",180,C119="Espelhamento - MO",250,C119="Emborrachamento",100,C119="Malha",0,C119="Dublagem Barreira",100,C119="Pel. + Cal.",350,C119="Fel. + Pel. + Cal.",270,C119="Pel. + Spun",250,C119="Espelhamento - L: 1,45m",200,C119="Espelhamento - L: 1,65m",200,C119="Estampagem",100,C119="Fel. + Cal.",270,C119="Dublagem Juta",180,C119="Dublagem Cretone - MO (Juta)",180,C119="Dublagem Tapete",150,C119="Esp. + Pel.",200,C119="Espelhamento 2x",100)</f>
        <v>#N/A</v>
      </c>
      <c r="S119" s="50" t="e">
        <f t="shared" si="36"/>
        <v>#N/A</v>
      </c>
      <c r="T119" s="18" t="e" cm="1">
        <f t="array" ref="T119">_xlfn.IFS(C119="Calandra",0.4,C119="Felpagem",0.3,C119="Dublagem Spun",0.8,C119="Dublagem Cretone",0.8,C119="Dublagem Cretone PES",0.8,C119="Espelhamento",0.8,C119="Peletização",0.5,C119="Dublagem Spun - MO",0.8,C119="Dublagem Cretone - MO",0.8,C119="Dublagem Cretone PES - MO",0.8,C119="Espelhamento - MO",0.8,C119="Emborrachamento",1,C119="Malha",0,C119="Dublagem Barreira",1,C119="Pel. + Cal.",0.4,C119="Fel. + Pel. + Cal.",0.5,C119="Pel. + Spun",0.8,C119="Espelhamento - L: 1,45m",0.8,C119="Espelhamento - L: 1,65m",0.8,C119="Estampagem",1,C119="Fel. + Cal.",0.4,C119="Dublagem Juta",0.8,C119="Dublagem Cretone - MO (Juta)",0.8,C119="Dublagem Tapete",0.8,C119="Esp. + Pel.",0.8,C119="Espelhamento 2x",0.8)</f>
        <v>#N/A</v>
      </c>
      <c r="U119" s="18">
        <v>1</v>
      </c>
      <c r="V119" s="18">
        <v>1</v>
      </c>
      <c r="W119" s="18"/>
      <c r="X119" s="18">
        <v>39.67</v>
      </c>
      <c r="Y119" s="18">
        <v>38.51</v>
      </c>
      <c r="Z119" s="18">
        <v>116.78</v>
      </c>
      <c r="AA119" s="18"/>
    </row>
    <row r="120" spans="1:27" ht="13.5" customHeight="1" x14ac:dyDescent="0.35">
      <c r="A120" s="18"/>
      <c r="B120" s="22" t="s">
        <v>302</v>
      </c>
      <c r="C120" s="23" t="s">
        <v>254</v>
      </c>
      <c r="D120" s="23"/>
      <c r="E120" s="24">
        <v>3</v>
      </c>
      <c r="F120" s="25">
        <v>0.77</v>
      </c>
      <c r="G120" s="25">
        <f t="shared" ref="G120:G125" si="53">F120</f>
        <v>0.77</v>
      </c>
      <c r="H120" s="26" t="s">
        <v>243</v>
      </c>
      <c r="I120" s="27">
        <f t="shared" ref="I120:I125" si="54">G120/E120</f>
        <v>0.25666666666666665</v>
      </c>
      <c r="J120" s="28">
        <v>45663</v>
      </c>
      <c r="K120" s="29" t="s">
        <v>303</v>
      </c>
      <c r="L120" s="30">
        <f t="shared" ref="L120:L144" si="55">G120-M120-N120</f>
        <v>0.77</v>
      </c>
      <c r="M120" s="30">
        <f>IF(B120="Texion Textil",0,IF(C120="Malha",'Custos insumos'!$B$24,IF(C120="Dublagem Cretone",'Custos insumos'!$D$7,IF(C120="Dublagem Spun",'Custos insumos'!$D$4,IF(C120="Espelhamento",'Custos insumos'!$B$11,IF(C120="Espelhamento 2x",2*'Custos insumos'!$B$11,IF(C120="Esp. + Pel.",'Custos insumos'!$B$11,IF(C120="Pel. + Spun",'Custos insumos'!$D$4,IF(C120="Dublagem Cretone PES",'Custos insumos'!$D$7,IF(C120="Dublagem Barreira",'Custos insumos'!$D$11,IF(C120="Dublagem - MO + Filme",'Custos insumos'!$D$4,IF(C120="Dublagem Cretone HM50",'Custos insumos'!$D$26,IF(C120="Dublagem Cretone HM70",'Custos insumos'!$F$10,)))))))))))))</f>
        <v>0</v>
      </c>
      <c r="N120" s="30">
        <f>IF(B120="Texion Textil",0,IF(B120="Três Elos",0,IF(C120="Malha",0,IF(C120="Dublagem Cretone",'Custos insumos'!$D$23,IF(C120="Dublagem Spun",'Custos insumos'!$D$16,IF(C120="Espelhamento",0,IF(C120="Espelhamento 2x",0,IF(C120="Esp. + Pel.",0,IF(C120="Pel. + Spun",'Custos insumos'!$D$16,IF(C120="Dublagem Cretone PES",'Custos insumos'!$F$25,IF(C120="Dublagem Barreira",'Custos insumos'!$D$22,)))))))))))</f>
        <v>0</v>
      </c>
      <c r="O120" s="18"/>
      <c r="P120" s="53">
        <f t="shared" si="34"/>
        <v>-1.4125685425685428</v>
      </c>
      <c r="Q120" s="50">
        <f t="shared" si="35"/>
        <v>69.3</v>
      </c>
      <c r="R120" s="50" cm="1">
        <f t="array" ref="R120">_xlfn.IFS(C120="Calandra",(350),C120="Peletização",(421),C120="Dublagem Spun",(250),C120="Dublagem Cretone PES",(180),C120="Felpagem",(270/E120),C120="Emborrachamento",(200),C120="Espelhamento",(250),C120="Malha",(1),C120="Dublagem Cretone",(180),C120="Malha",(1),C120="Dublagem Spun - MO",250,C120="Dublagem Cretone - MO",180,C120="Dublagem Cretone PES - MO",180,C120="Espelhamento - MO",250,C120="Emborrachamento",100,C120="Malha",0,C120="Dublagem Barreira",100,C120="Pel. + Cal.",350,C120="Fel. + Pel. + Cal.",270,C120="Pel. + Spun",250,C120="Espelhamento - L: 1,45m",200,C120="Espelhamento - L: 1,65m",200,C120="Estampagem",100,C120="Fel. + Cal.",270,C120="Dublagem Juta",180,C120="Dublagem Cretone - MO (Juta)",180,C120="Dublagem Tapete",150,C120="Esp. + Pel.",200,C120="Espelhamento 2x",100)</f>
        <v>90</v>
      </c>
      <c r="S120" s="50">
        <f t="shared" si="36"/>
        <v>167.191</v>
      </c>
      <c r="T120" s="18" cm="1">
        <f t="array" ref="T120">_xlfn.IFS(C120="Calandra",0.4,C120="Felpagem",0.3,C120="Dublagem Spun",0.8,C120="Dublagem Cretone",0.8,C120="Dublagem Cretone PES",0.8,C120="Espelhamento",0.8,C120="Peletização",0.5,C120="Dublagem Spun - MO",0.8,C120="Dublagem Cretone - MO",0.8,C120="Dublagem Cretone PES - MO",0.8,C120="Espelhamento - MO",0.8,C120="Emborrachamento",1,C120="Malha",0,C120="Dublagem Barreira",1,C120="Pel. + Cal.",0.4,C120="Fel. + Pel. + Cal.",0.5,C120="Pel. + Spun",0.8,C120="Espelhamento - L: 1,45m",0.8,C120="Espelhamento - L: 1,65m",0.8,C120="Estampagem",1,C120="Fel. + Cal.",0.4,C120="Dublagem Juta",0.8,C120="Dublagem Cretone - MO (Juta)",0.8,C120="Dublagem Tapete",0.8,C120="Esp. + Pel.",0.8,C120="Espelhamento 2x",0.8)</f>
        <v>0.3</v>
      </c>
      <c r="U120" s="18">
        <v>1</v>
      </c>
      <c r="V120" s="18">
        <v>1</v>
      </c>
      <c r="W120" s="18"/>
      <c r="X120" s="18">
        <v>39.67</v>
      </c>
      <c r="Y120" s="18">
        <v>38.51</v>
      </c>
      <c r="Z120" s="18">
        <v>116.78</v>
      </c>
      <c r="AA120" s="18"/>
    </row>
    <row r="121" spans="1:27" ht="13.5" customHeight="1" x14ac:dyDescent="0.35">
      <c r="A121" s="18"/>
      <c r="B121" s="22" t="s">
        <v>304</v>
      </c>
      <c r="C121" s="23" t="s">
        <v>144</v>
      </c>
      <c r="D121" s="23"/>
      <c r="E121" s="24">
        <v>1</v>
      </c>
      <c r="F121" s="25">
        <v>0.65</v>
      </c>
      <c r="G121" s="25">
        <f t="shared" si="53"/>
        <v>0.65</v>
      </c>
      <c r="H121" s="26" t="s">
        <v>243</v>
      </c>
      <c r="I121" s="27">
        <f t="shared" si="54"/>
        <v>0.65</v>
      </c>
      <c r="J121" s="28">
        <v>45663</v>
      </c>
      <c r="K121" s="29"/>
      <c r="L121" s="30">
        <f t="shared" si="55"/>
        <v>0.65</v>
      </c>
      <c r="M121" s="30">
        <f>IF(B121="Texion Textil",0,IF(C121="Malha",'Custos insumos'!$B$24,IF(C121="Dublagem Cretone",'Custos insumos'!$D$7,IF(C121="Dublagem Spun",'Custos insumos'!$D$4,IF(C121="Espelhamento",'Custos insumos'!$B$11,IF(C121="Espelhamento 2x",2*'Custos insumos'!$B$11,IF(C121="Esp. + Pel.",'Custos insumos'!$B$11,IF(C121="Pel. + Spun",'Custos insumos'!$D$4,IF(C121="Dublagem Cretone PES",'Custos insumos'!$D$7,IF(C121="Dublagem Barreira",'Custos insumos'!$D$11,IF(C121="Dublagem - MO + Filme",'Custos insumos'!$D$4,IF(C121="Dublagem Cretone HM50",'Custos insumos'!$D$26,IF(C121="Dublagem Cretone HM70",'Custos insumos'!$F$10,)))))))))))))</f>
        <v>0</v>
      </c>
      <c r="N121" s="30">
        <f>IF(B121="Texion Textil",0,IF(B121="Três Elos",0,IF(C121="Malha",0,IF(C121="Dublagem Cretone",'Custos insumos'!$D$23,IF(C121="Dublagem Spun",'Custos insumos'!$D$16,IF(C121="Espelhamento",0,IF(C121="Espelhamento 2x",0,IF(C121="Esp. + Pel.",0,IF(C121="Pel. + Spun",'Custos insumos'!$D$16,IF(C121="Dublagem Cretone PES",'Custos insumos'!$F$25,IF(C121="Dublagem Barreira",'Custos insumos'!$D$22,)))))))))))</f>
        <v>0</v>
      </c>
      <c r="O121" s="18"/>
      <c r="P121" s="53"/>
      <c r="Q121" s="50"/>
      <c r="R121" s="50" cm="1">
        <f t="array" ref="R121">_xlfn.IFS(C121="Calandra",(350),C121="Peletização",(421),C121="Dublagem Spun",(250),C121="Dublagem Cretone PES",(180),C121="Felpagem",(270/E121),C121="Emborrachamento",(200),C121="Espelhamento",(250),C121="Malha",(1),C121="Dublagem Cretone",(180),C121="Malha",(1),C121="Dublagem Spun - MO",250,C121="Dublagem Cretone - MO",180,C121="Dublagem Cretone PES - MO",180,C121="Espelhamento - MO",250,C121="Emborrachamento",100,C121="Malha",0,C121="Dublagem Barreira",100,C121="Pel. + Cal.",350,C121="Fel. + Pel. + Cal.",270,C121="Pel. + Spun",250,C121="Espelhamento - L: 1,45m",200,C121="Espelhamento - L: 1,65m",200,C121="Estampagem",100,C121="Fel. + Cal.",270,C121="Dublagem Juta",180,C121="Dublagem Cretone - MO (Juta)",180,C121="Dublagem Tapete",150,C121="Esp. + Pel.",200,C121="Espelhamento 2x",100)</f>
        <v>421</v>
      </c>
      <c r="S121" s="50"/>
      <c r="T121" s="18" cm="1">
        <f t="array" ref="T121">_xlfn.IFS(C121="Calandra",0.4,C121="Felpagem",0.3,C121="Dublagem Spun",0.8,C121="Dublagem Cretone",0.8,C121="Dublagem Cretone PES",0.8,C121="Espelhamento",0.8,C121="Peletização",0.5,C121="Dublagem Spun - MO",0.8,C121="Dublagem Cretone - MO",0.8,C121="Dublagem Cretone PES - MO",0.8,C121="Espelhamento - MO",0.8,C121="Emborrachamento",1,C121="Malha",0,C121="Dublagem Barreira",1,C121="Pel. + Cal.",0.4,C121="Fel. + Pel. + Cal.",0.5,C121="Pel. + Spun",0.8,C121="Espelhamento - L: 1,45m",0.8,C121="Espelhamento - L: 1,65m",0.8,C121="Estampagem",1,C121="Fel. + Cal.",0.4,C121="Dublagem Juta",0.8,C121="Dublagem Cretone - MO (Juta)",0.8,C121="Dublagem Tapete",0.8,C121="Esp. + Pel.",0.8,C121="Espelhamento 2x",0.8)</f>
        <v>0.5</v>
      </c>
      <c r="U121" s="18"/>
      <c r="V121" s="18"/>
      <c r="W121" s="18"/>
      <c r="X121" s="18"/>
      <c r="Y121" s="18"/>
      <c r="Z121" s="18"/>
      <c r="AA121" s="18"/>
    </row>
    <row r="122" spans="1:27" ht="14.25" customHeight="1" x14ac:dyDescent="0.35">
      <c r="A122" s="18"/>
      <c r="B122" s="22" t="s">
        <v>304</v>
      </c>
      <c r="C122" s="23" t="s">
        <v>249</v>
      </c>
      <c r="D122" s="23"/>
      <c r="E122" s="24">
        <v>1</v>
      </c>
      <c r="F122" s="25">
        <v>4.63</v>
      </c>
      <c r="G122" s="25">
        <f t="shared" si="53"/>
        <v>4.63</v>
      </c>
      <c r="H122" s="26" t="s">
        <v>243</v>
      </c>
      <c r="I122" s="27">
        <f t="shared" si="54"/>
        <v>4.63</v>
      </c>
      <c r="J122" s="28">
        <v>45663</v>
      </c>
      <c r="K122" s="29"/>
      <c r="L122" s="30">
        <f t="shared" si="55"/>
        <v>2.7890800000000002</v>
      </c>
      <c r="M122" s="30">
        <f>IF(B122="Texion Textil",0,IF(C122="Malha",'Custos insumos'!$B$24,IF(C122="Dublagem Cretone",'Custos insumos'!$D$7,IF(C122="Dublagem Spun",'Custos insumos'!$D$4,IF(C122="Espelhamento",'Custos insumos'!$B$11,IF(C122="Espelhamento 2x",2*'Custos insumos'!$B$11,IF(C122="Esp. + Pel.",'Custos insumos'!$B$11,IF(C122="Pel. + Spun",'Custos insumos'!$D$4,IF(C122="Dublagem Cretone PES",'Custos insumos'!$D$7,IF(C122="Dublagem Barreira",'Custos insumos'!$D$11,IF(C122="Dublagem - MO + Filme",'Custos insumos'!$D$4,IF(C122="Dublagem Cretone HM50",'Custos insumos'!$D$26,IF(C122="Dublagem Cretone HM70",'Custos insumos'!$F$10,)))))))))))))</f>
        <v>1.1232</v>
      </c>
      <c r="N122" s="30">
        <f>IF(B122="Texion Textil",0,IF(B122="Três Elos",0,IF(C122="Malha",0,IF(C122="Dublagem Cretone",'Custos insumos'!$D$23,IF(C122="Dublagem Spun",'Custos insumos'!$D$16,IF(C122="Espelhamento",0,IF(C122="Espelhamento 2x",0,IF(C122="Esp. + Pel.",0,IF(C122="Pel. + Spun",'Custos insumos'!$D$16,IF(C122="Dublagem Cretone PES",'Custos insumos'!$F$25,IF(C122="Dublagem Barreira",'Custos insumos'!$D$22,)))))))))))</f>
        <v>0.71771999999999991</v>
      </c>
      <c r="O122" s="18"/>
      <c r="P122" s="53">
        <f t="shared" si="34"/>
        <v>0.44081555075593953</v>
      </c>
      <c r="Q122" s="50">
        <f t="shared" si="35"/>
        <v>1157.5</v>
      </c>
      <c r="R122" s="50" cm="1">
        <f t="array" ref="R122">_xlfn.IFS(C122="Calandra",(350),C122="Peletização",(421),C122="Dublagem Spun",(250),C122="Dublagem Cretone PES",(180),C122="Felpagem",(270/E122),C122="Emborrachamento",(200),C122="Espelhamento",(250),C122="Malha",(1),C122="Dublagem Cretone",(180),C122="Malha",(1),C122="Dublagem Spun - MO",250,C122="Dublagem Cretone - MO",180,C122="Dublagem Cretone PES - MO",180,C122="Espelhamento - MO",250,C122="Emborrachamento",100,C122="Malha",0,C122="Dublagem Barreira",100,C122="Pel. + Cal.",350,C122="Fel. + Pel. + Cal.",270,C122="Pel. + Spun",250,C122="Espelhamento - L: 1,45m",200,C122="Espelhamento - L: 1,65m",200,C122="Estampagem",100,C122="Fel. + Cal.",270,C122="Dublagem Juta",180,C122="Dublagem Cretone - MO (Juta)",180,C122="Dublagem Tapete",150,C122="Esp. + Pel.",200,C122="Espelhamento 2x",100)</f>
        <v>250</v>
      </c>
      <c r="S122" s="50">
        <f t="shared" si="36"/>
        <v>647.25599999999997</v>
      </c>
      <c r="T122" s="18" cm="1">
        <f t="array" ref="T122">_xlfn.IFS(C122="Calandra",0.4,C122="Felpagem",0.3,C122="Dublagem Spun",0.8,C122="Dublagem Cretone",0.8,C122="Dublagem Cretone PES",0.8,C122="Espelhamento",0.8,C122="Peletização",0.5,C122="Dublagem Spun - MO",0.8,C122="Dublagem Cretone - MO",0.8,C122="Dublagem Cretone PES - MO",0.8,C122="Espelhamento - MO",0.8,C122="Emborrachamento",1,C122="Malha",0,C122="Dublagem Barreira",1,C122="Pel. + Cal.",0.4,C122="Fel. + Pel. + Cal.",0.5,C122="Pel. + Spun",0.8,C122="Espelhamento - L: 1,45m",0.8,C122="Espelhamento - L: 1,65m",0.8,C122="Estampagem",1,C122="Fel. + Cal.",0.4,C122="Dublagem Juta",0.8,C122="Dublagem Cretone - MO (Juta)",0.8,C122="Dublagem Tapete",0.8,C122="Esp. + Pel.",0.8,C122="Espelhamento 2x",0.8)</f>
        <v>0.8</v>
      </c>
      <c r="U122" s="18">
        <v>1</v>
      </c>
      <c r="V122" s="18">
        <v>1</v>
      </c>
      <c r="W122" s="18"/>
      <c r="X122" s="18">
        <v>39.67</v>
      </c>
      <c r="Y122" s="18">
        <v>38.51</v>
      </c>
      <c r="Z122" s="18">
        <v>116.78</v>
      </c>
      <c r="AA122" s="18"/>
    </row>
    <row r="123" spans="1:27" ht="14.25" customHeight="1" x14ac:dyDescent="0.35">
      <c r="A123" s="18"/>
      <c r="B123" s="22" t="s">
        <v>304</v>
      </c>
      <c r="C123" s="23" t="s">
        <v>254</v>
      </c>
      <c r="D123" s="23"/>
      <c r="E123" s="24">
        <v>2</v>
      </c>
      <c r="F123" s="25">
        <v>1.2</v>
      </c>
      <c r="G123" s="25">
        <f t="shared" si="53"/>
        <v>1.2</v>
      </c>
      <c r="H123" s="26" t="s">
        <v>243</v>
      </c>
      <c r="I123" s="27">
        <f t="shared" si="54"/>
        <v>0.6</v>
      </c>
      <c r="J123" s="28">
        <v>45663</v>
      </c>
      <c r="K123" s="29"/>
      <c r="L123" s="30">
        <f t="shared" si="55"/>
        <v>1.2</v>
      </c>
      <c r="M123" s="30">
        <f>IF(B123="Texion Textil",0,IF(C123="Malha",'Custos insumos'!$B$24,IF(C123="Dublagem Cretone",'Custos insumos'!$D$7,IF(C123="Dublagem Spun",'Custos insumos'!$D$4,IF(C123="Espelhamento",'Custos insumos'!$B$11,IF(C123="Espelhamento 2x",2*'Custos insumos'!$B$11,IF(C123="Esp. + Pel.",'Custos insumos'!$B$11,IF(C123="Pel. + Spun",'Custos insumos'!$D$4,IF(C123="Dublagem Cretone PES",'Custos insumos'!$D$7,IF(C123="Dublagem Barreira",'Custos insumos'!$D$11,IF(C123="Dublagem - MO + Filme",'Custos insumos'!$D$4,IF(C123="Dublagem Cretone HM50",'Custos insumos'!$D$26,IF(C123="Dublagem Cretone HM70",'Custos insumos'!$F$10,)))))))))))))</f>
        <v>0</v>
      </c>
      <c r="N123" s="30">
        <f>IF(B123="Texion Textil",0,IF(B123="Três Elos",0,IF(C123="Malha",0,IF(C123="Dublagem Cretone",'Custos insumos'!$D$23,IF(C123="Dublagem Spun",'Custos insumos'!$D$16,IF(C123="Espelhamento",0,IF(C123="Espelhamento 2x",0,IF(C123="Esp. + Pel.",0,IF(C123="Pel. + Spun",'Custos insumos'!$D$16,IF(C123="Dublagem Cretone PES",'Custos insumos'!$F$25,IF(C123="Dublagem Barreira",'Custos insumos'!$D$22,)))))))))))</f>
        <v>0</v>
      </c>
      <c r="O123" s="18"/>
      <c r="P123" s="53"/>
      <c r="Q123" s="50"/>
      <c r="R123" s="50"/>
      <c r="S123" s="50"/>
      <c r="T123" s="18" cm="1">
        <f t="array" ref="T123">_xlfn.IFS(C123="Calandra",0.4,C123="Felpagem",0.3,C123="Dublagem Spun",0.8,C123="Dublagem Cretone",0.8,C123="Dublagem Cretone PES",0.8,C123="Espelhamento",0.8,C123="Peletização",0.5,C123="Dublagem Spun - MO",0.8,C123="Dublagem Cretone - MO",0.8,C123="Dublagem Cretone PES - MO",0.8,C123="Espelhamento - MO",0.8,C123="Emborrachamento",1,C123="Malha",0,C123="Dublagem Barreira",1,C123="Pel. + Cal.",0.4,C123="Fel. + Pel. + Cal.",0.5,C123="Pel. + Spun",0.8,C123="Espelhamento - L: 1,45m",0.8,C123="Espelhamento - L: 1,65m",0.8,C123="Estampagem",1,C123="Fel. + Cal.",0.4,C123="Dublagem Juta",0.8,C123="Dublagem Cretone - MO (Juta)",0.8,C123="Dublagem Tapete",0.8,C123="Esp. + Pel.",0.8,C123="Espelhamento 2x",0.8)</f>
        <v>0.3</v>
      </c>
      <c r="U123" s="18"/>
      <c r="V123" s="18"/>
      <c r="W123" s="18"/>
      <c r="X123" s="18"/>
      <c r="Y123" s="18"/>
      <c r="Z123" s="18"/>
      <c r="AA123" s="18"/>
    </row>
    <row r="124" spans="1:27" ht="14.25" customHeight="1" x14ac:dyDescent="0.35">
      <c r="A124" s="18"/>
      <c r="B124" s="38" t="s">
        <v>175</v>
      </c>
      <c r="C124" s="39" t="s">
        <v>106</v>
      </c>
      <c r="D124" s="40"/>
      <c r="E124" s="26">
        <v>1</v>
      </c>
      <c r="F124" s="25">
        <v>2.35</v>
      </c>
      <c r="G124" s="25">
        <f t="shared" si="53"/>
        <v>2.35</v>
      </c>
      <c r="H124" s="26" t="s">
        <v>243</v>
      </c>
      <c r="I124" s="27">
        <f t="shared" si="54"/>
        <v>2.35</v>
      </c>
      <c r="J124" s="28">
        <v>45663</v>
      </c>
      <c r="K124" s="29"/>
      <c r="L124" s="30">
        <f t="shared" si="55"/>
        <v>1.2914997101449275</v>
      </c>
      <c r="M124" s="30">
        <f>IF(B124="Texion Textil",0,IF(C124="Malha",'Custos insumos'!$B$24,IF(C124="Dublagem Cretone",'Custos insumos'!$D$7,IF(C124="Dublagem Spun",'Custos insumos'!$D$4,IF(C124="Espelhamento",'Custos insumos'!$B$11,IF(C124="Espelhamento 2x",2*'Custos insumos'!$B$11,IF(C124="Esp. + Pel.",'Custos insumos'!$B$11,IF(C124="Pel. + Spun",'Custos insumos'!$D$4,IF(C124="Dublagem Cretone PES",'Custos insumos'!$D$7,IF(C124="Dublagem Barreira",'Custos insumos'!$D$11,IF(C124="Dublagem - MO + Filme",'Custos insumos'!$D$4,IF(C124="Dublagem Cretone HM50",'Custos insumos'!$D$26,IF(C124="Dublagem Cretone HM70",'Custos insumos'!$F$10,)))))))))))))</f>
        <v>1.0585002898550726</v>
      </c>
      <c r="N124" s="30">
        <f>IF(B124="Texion Textil",0,IF(B124="Três Elos",0,IF(C124="Malha",0,IF(C124="Dublagem Cretone",'Custos insumos'!$D$23,IF(C124="Dublagem Spun",'Custos insumos'!$D$16,IF(C124="Espelhamento",0,IF(C124="Espelhamento 2x",0,IF(C124="Esp. + Pel.",0,IF(C124="Pel. + Spun",'Custos insumos'!$D$16,IF(C124="Dublagem Cretone PES",'Custos insumos'!$F$25,IF(C124="Dublagem Barreira",'Custos insumos'!$D$22,)))))))))))</f>
        <v>0</v>
      </c>
      <c r="O124" s="18"/>
      <c r="P124" s="53"/>
      <c r="Q124" s="50"/>
      <c r="R124" s="50"/>
      <c r="S124" s="50"/>
      <c r="T124" s="18"/>
      <c r="U124" s="18"/>
      <c r="V124" s="18"/>
      <c r="W124" s="18"/>
      <c r="X124" s="18"/>
      <c r="Y124" s="18"/>
      <c r="Z124" s="18"/>
      <c r="AA124" s="18"/>
    </row>
    <row r="125" spans="1:27" ht="14.25" customHeight="1" x14ac:dyDescent="0.35">
      <c r="A125" s="18"/>
      <c r="B125" s="38" t="s">
        <v>175</v>
      </c>
      <c r="C125" s="39" t="s">
        <v>142</v>
      </c>
      <c r="D125" s="40"/>
      <c r="E125" s="24">
        <v>1</v>
      </c>
      <c r="F125" s="25">
        <v>0.65</v>
      </c>
      <c r="G125" s="25">
        <f t="shared" si="53"/>
        <v>0.65</v>
      </c>
      <c r="H125" s="26" t="s">
        <v>243</v>
      </c>
      <c r="I125" s="27">
        <f t="shared" si="54"/>
        <v>0.65</v>
      </c>
      <c r="J125" s="28">
        <v>45663</v>
      </c>
      <c r="K125" s="29"/>
      <c r="L125" s="30">
        <f t="shared" si="55"/>
        <v>0.65</v>
      </c>
      <c r="M125" s="30">
        <f>IF(B125="Texion Textil",0,IF(C125="Malha",'Custos insumos'!$B$24,IF(C125="Dublagem Cretone",'Custos insumos'!$D$7,IF(C125="Dublagem Spun",'Custos insumos'!$D$4,IF(C125="Espelhamento",'Custos insumos'!$B$11,IF(C125="Espelhamento 2x",2*'Custos insumos'!$B$11,IF(C125="Esp. + Pel.",'Custos insumos'!$B$11,IF(C125="Pel. + Spun",'Custos insumos'!$D$4,IF(C125="Dublagem Cretone PES",'Custos insumos'!$D$7,IF(C125="Dublagem Barreira",'Custos insumos'!$D$11,IF(C125="Dublagem - MO + Filme",'Custos insumos'!$D$4,IF(C125="Dublagem Cretone HM50",'Custos insumos'!$D$26,IF(C125="Dublagem Cretone HM70",'Custos insumos'!$F$10,)))))))))))))</f>
        <v>0</v>
      </c>
      <c r="N125" s="30">
        <f>IF(B125="Texion Textil",0,IF(B125="Três Elos",0,IF(C125="Malha",0,IF(C125="Dublagem Cretone",'Custos insumos'!$D$23,IF(C125="Dublagem Spun",'Custos insumos'!$D$16,IF(C125="Espelhamento",0,IF(C125="Espelhamento 2x",0,IF(C125="Esp. + Pel.",0,IF(C125="Pel. + Spun",'Custos insumos'!$D$16,IF(C125="Dublagem Cretone PES",'Custos insumos'!$F$25,IF(C125="Dublagem Barreira",'Custos insumos'!$D$22,)))))))))))</f>
        <v>0</v>
      </c>
      <c r="O125" s="18"/>
      <c r="P125" s="53"/>
      <c r="Q125" s="50"/>
      <c r="R125" s="50"/>
      <c r="S125" s="50"/>
      <c r="T125" s="18"/>
      <c r="U125" s="18"/>
      <c r="V125" s="18"/>
      <c r="W125" s="18"/>
      <c r="X125" s="18"/>
      <c r="Y125" s="18"/>
      <c r="Z125" s="18"/>
      <c r="AA125" s="18"/>
    </row>
    <row r="126" spans="1:27" ht="14.25" customHeight="1" x14ac:dyDescent="0.35">
      <c r="A126" s="18"/>
      <c r="B126" s="38" t="s">
        <v>175</v>
      </c>
      <c r="C126" s="39" t="s">
        <v>98</v>
      </c>
      <c r="D126" s="40" t="s">
        <v>434</v>
      </c>
      <c r="E126" s="24">
        <v>1</v>
      </c>
      <c r="F126" s="25"/>
      <c r="G126" s="25">
        <v>2.75</v>
      </c>
      <c r="H126" s="26"/>
      <c r="I126" s="27"/>
      <c r="J126" s="28"/>
      <c r="K126" s="29"/>
      <c r="L126" s="30">
        <f t="shared" si="55"/>
        <v>1.5494000000000001</v>
      </c>
      <c r="M126" s="30">
        <f>'Custos insumos'!$L$3</f>
        <v>0.73080000000000001</v>
      </c>
      <c r="N126" s="30">
        <f>'Custos insumos'!L15</f>
        <v>0.4698</v>
      </c>
      <c r="O126" s="18"/>
      <c r="P126" s="53"/>
      <c r="Q126" s="50"/>
      <c r="R126" s="50"/>
      <c r="S126" s="50"/>
      <c r="T126" s="18"/>
      <c r="U126" s="18"/>
      <c r="V126" s="18"/>
      <c r="W126" s="18"/>
      <c r="X126" s="18"/>
      <c r="Y126" s="18"/>
      <c r="Z126" s="18"/>
      <c r="AA126" s="18"/>
    </row>
    <row r="127" spans="1:27" ht="14.25" customHeight="1" x14ac:dyDescent="0.35">
      <c r="A127" s="18"/>
      <c r="B127" s="22" t="s">
        <v>176</v>
      </c>
      <c r="C127" s="23" t="s">
        <v>98</v>
      </c>
      <c r="D127" s="23" t="s">
        <v>435</v>
      </c>
      <c r="E127" s="24">
        <v>1</v>
      </c>
      <c r="F127" s="25">
        <v>4.5</v>
      </c>
      <c r="G127" s="25">
        <v>4.0999999999999996</v>
      </c>
      <c r="H127" s="26" t="s">
        <v>243</v>
      </c>
      <c r="I127" s="27">
        <f t="shared" ref="I127:I143" si="56">G127/E127</f>
        <v>4.0999999999999996</v>
      </c>
      <c r="J127" s="28">
        <v>45663</v>
      </c>
      <c r="K127" s="29" t="s">
        <v>248</v>
      </c>
      <c r="L127" s="30">
        <f t="shared" si="55"/>
        <v>2.6612</v>
      </c>
      <c r="M127" s="30">
        <f>'Custos insumos'!L3</f>
        <v>0.73080000000000001</v>
      </c>
      <c r="N127" s="30">
        <f>'Custos insumos'!L18</f>
        <v>0.70799999999999996</v>
      </c>
      <c r="O127" s="18"/>
      <c r="P127" s="53"/>
      <c r="Q127" s="50"/>
      <c r="R127" s="50"/>
      <c r="S127" s="50"/>
      <c r="T127" s="18"/>
      <c r="U127" s="18"/>
      <c r="V127" s="18"/>
      <c r="W127" s="18"/>
      <c r="X127" s="18"/>
      <c r="Y127" s="18"/>
      <c r="Z127" s="18"/>
      <c r="AA127" s="18"/>
    </row>
    <row r="128" spans="1:27" ht="14.25" customHeight="1" x14ac:dyDescent="0.35">
      <c r="A128" s="18"/>
      <c r="B128" s="22" t="s">
        <v>305</v>
      </c>
      <c r="C128" s="23" t="s">
        <v>142</v>
      </c>
      <c r="D128" s="23"/>
      <c r="E128" s="24">
        <v>1</v>
      </c>
      <c r="F128" s="25">
        <v>0.7</v>
      </c>
      <c r="G128" s="25">
        <f>F128</f>
        <v>0.7</v>
      </c>
      <c r="H128" s="26" t="s">
        <v>243</v>
      </c>
      <c r="I128" s="27">
        <f t="shared" si="56"/>
        <v>0.7</v>
      </c>
      <c r="J128" s="28">
        <v>45663</v>
      </c>
      <c r="K128" s="29"/>
      <c r="L128" s="30">
        <f t="shared" si="55"/>
        <v>0.7</v>
      </c>
      <c r="M128" s="30">
        <f>IF(B128="Texion Textil",0,IF(C128="Malha",'Custos insumos'!$B$24,IF(C128="Dublagem Cretone",'Custos insumos'!$D$7,IF(C128="Dublagem Spun",'Custos insumos'!$D$4,IF(C128="Espelhamento",'Custos insumos'!$B$11,IF(C128="Espelhamento 2x",2*'Custos insumos'!$B$11,IF(C128="Esp. + Pel.",'Custos insumos'!$B$11,IF(C128="Pel. + Spun",'Custos insumos'!$D$4,IF(C128="Dublagem Cretone PES",'Custos insumos'!$D$7,IF(C128="Dublagem Barreira",'Custos insumos'!$D$11,IF(C128="Dublagem - MO + Filme",'Custos insumos'!$D$4,IF(C128="Dublagem Cretone HM50",'Custos insumos'!$D$26,IF(C128="Dublagem Cretone HM70",'Custos insumos'!$F$10,)))))))))))))</f>
        <v>0</v>
      </c>
      <c r="N128" s="30">
        <f>IF(B128="Texion Textil",0,IF(B128="Três Elos",0,IF(C128="Malha",0,IF(C128="Dublagem Cretone",'Custos insumos'!$D$23,IF(C128="Dublagem Spun",'Custos insumos'!$D$16,IF(C128="Espelhamento",0,IF(C128="Espelhamento 2x",0,IF(C128="Esp. + Pel.",0,IF(C128="Pel. + Spun",'Custos insumos'!$D$16,IF(C128="Dublagem Cretone PES",'Custos insumos'!$F$25,IF(C128="Dublagem Barreira",'Custos insumos'!$D$22,)))))))))))</f>
        <v>0</v>
      </c>
      <c r="O128" s="18"/>
      <c r="P128" s="53">
        <f t="shared" si="34"/>
        <v>0.3013959183673468</v>
      </c>
      <c r="Q128" s="50">
        <f t="shared" si="35"/>
        <v>244.99999999999997</v>
      </c>
      <c r="R128" s="50" cm="1">
        <f t="array" ref="R128">_xlfn.IFS(C128="Calandra",(350),C128="Peletização",(421),C128="Dublagem Spun",(250),C128="Dublagem Cretone PES",(180),C128="Felpagem",(270/E128),C128="Emborrachamento",(200),C128="Espelhamento",(250),C128="Malha",(1),C128="Dublagem Cretone",(180),C128="Malha",(1),C128="Dublagem Spun - MO",250,C128="Dublagem Cretone - MO",180,C128="Dublagem Cretone PES - MO",180,C128="Espelhamento - MO",250,C128="Emborrachamento",100,C128="Malha",0,C128="Dublagem Barreira",100,C128="Pel. + Cal.",350,C128="Fel. + Pel. + Cal.",270,C128="Pel. + Spun",250,C128="Espelhamento - L: 1,45m",200,C128="Espelhamento - L: 1,65m",200,C128="Estampagem",100,C128="Fel. + Cal.",270,C128="Dublagem Juta",180,C128="Dublagem Cretone - MO (Juta)",180,C128="Dublagem Tapete",150,C128="Esp. + Pel.",200,C128="Espelhamento 2x",100)</f>
        <v>350</v>
      </c>
      <c r="S128" s="50">
        <f t="shared" si="36"/>
        <v>171.15800000000002</v>
      </c>
      <c r="T128" s="18" cm="1">
        <f t="array" ref="T128">_xlfn.IFS(C128="Calandra",0.4,C128="Felpagem",0.3,C128="Dublagem Spun",0.8,C128="Dublagem Cretone",0.8,C128="Dublagem Cretone PES",0.8,C128="Espelhamento",0.8,C128="Peletização",0.5,C128="Dublagem Spun - MO",0.8,C128="Dublagem Cretone - MO",0.8,C128="Dublagem Cretone PES - MO",0.8,C128="Espelhamento - MO",0.8,C128="Emborrachamento",1,C128="Malha",0,C128="Dublagem Barreira",1,C128="Pel. + Cal.",0.4,C128="Fel. + Pel. + Cal.",0.5,C128="Pel. + Spun",0.8,C128="Espelhamento - L: 1,45m",0.8,C128="Espelhamento - L: 1,65m",0.8,C128="Estampagem",1,C128="Fel. + Cal.",0.4,C128="Dublagem Juta",0.8,C128="Dublagem Cretone - MO (Juta)",0.8,C128="Dublagem Tapete",0.8,C128="Esp. + Pel.",0.8,C128="Espelhamento 2x",0.8)</f>
        <v>0.4</v>
      </c>
      <c r="U128" s="18">
        <v>1</v>
      </c>
      <c r="V128" s="18">
        <v>1</v>
      </c>
      <c r="W128" s="18"/>
      <c r="X128" s="18">
        <v>39.67</v>
      </c>
      <c r="Y128" s="18">
        <v>38.51</v>
      </c>
      <c r="Z128" s="18">
        <v>116.78</v>
      </c>
      <c r="AA128" s="18"/>
    </row>
    <row r="129" spans="1:27" ht="14.25" customHeight="1" x14ac:dyDescent="0.35">
      <c r="A129" s="18"/>
      <c r="B129" s="22" t="s">
        <v>305</v>
      </c>
      <c r="C129" s="23" t="s">
        <v>249</v>
      </c>
      <c r="D129" s="23" t="s">
        <v>366</v>
      </c>
      <c r="E129" s="24">
        <v>1</v>
      </c>
      <c r="F129" s="25">
        <v>2.4</v>
      </c>
      <c r="G129" s="25">
        <f>F129</f>
        <v>2.4</v>
      </c>
      <c r="H129" s="26" t="s">
        <v>243</v>
      </c>
      <c r="I129" s="27">
        <f t="shared" si="56"/>
        <v>2.4</v>
      </c>
      <c r="J129" s="28">
        <v>45663</v>
      </c>
      <c r="K129" s="29"/>
      <c r="L129" s="30">
        <f t="shared" si="55"/>
        <v>1.2767999999999999</v>
      </c>
      <c r="M129" s="30">
        <f>IF(B129="Texion Textil",0,IF(C129="Malha",'Custos insumos'!$B$24,IF(C129="Dublagem Cretone",'Custos insumos'!$D$7,IF(C129="Dublagem Spun",'Custos insumos'!$D$4,IF(C129="Espelhamento",'Custos insumos'!$B$11,IF(C129="Espelhamento 2x",2*'Custos insumos'!$B$11,IF(C129="Esp. + Pel.",'Custos insumos'!$B$11,IF(C129="Pel. + Spun",'Custos insumos'!$D$4,IF(C129="Dublagem Cretone PES",'Custos insumos'!$D$7,IF(C129="Dublagem Barreira",'Custos insumos'!$D$11,IF(C129="Dublagem - MO + Filme",'Custos insumos'!$D$4,IF(C129="Dublagem Cretone HM50",'Custos insumos'!$D$26,IF(C129="Dublagem Cretone HM70",'Custos insumos'!$F$10,)))))))))))))</f>
        <v>1.1232</v>
      </c>
      <c r="N129" s="30">
        <v>0</v>
      </c>
      <c r="O129" s="18"/>
      <c r="P129" s="53">
        <f t="shared" si="34"/>
        <v>0.22028999999999996</v>
      </c>
      <c r="Q129" s="50">
        <f t="shared" si="35"/>
        <v>600</v>
      </c>
      <c r="R129" s="50" cm="1">
        <f t="array" ref="R129">_xlfn.IFS(C129="Calandra",(350),C129="Peletização",(421),C129="Dublagem Spun",(250),C129="Dublagem Cretone PES",(180),C129="Felpagem",(270/E129),C129="Emborrachamento",(200),C129="Espelhamento",(250),C129="Malha",(1),C129="Dublagem Cretone",(180),C129="Malha",(1),C129="Dublagem Spun - MO",250,C129="Dublagem Cretone - MO",180,C129="Dublagem Cretone PES - MO",180,C129="Espelhamento - MO",250,C129="Emborrachamento",100,C129="Malha",0,C129="Dublagem Barreira",100,C129="Pel. + Cal.",350,C129="Fel. + Pel. + Cal.",270,C129="Pel. + Spun",250,C129="Espelhamento - L: 1,45m",200,C129="Espelhamento - L: 1,65m",200,C129="Estampagem",100,C129="Fel. + Cal.",270,C129="Dublagem Juta",180,C129="Dublagem Cretone - MO (Juta)",180,C129="Dublagem Tapete",150,C129="Esp. + Pel.",200,C129="Espelhamento 2x",100)</f>
        <v>250</v>
      </c>
      <c r="S129" s="50">
        <f t="shared" si="36"/>
        <v>467.82600000000002</v>
      </c>
      <c r="T129" s="18" cm="1">
        <f t="array" ref="T129">_xlfn.IFS(C129="Calandra",0.4,C129="Felpagem",0.3,C129="Dublagem Spun",0.8,C129="Dublagem Cretone",0.8,C129="Dublagem Cretone PES",0.8,C129="Espelhamento",0.8,C129="Peletização",0.5,C129="Dublagem Spun - MO",0.8,C129="Dublagem Cretone - MO",0.8,C129="Dublagem Cretone PES - MO",0.8,C129="Espelhamento - MO",0.8,C129="Emborrachamento",1,C129="Malha",0,C129="Dublagem Barreira",1,C129="Pel. + Cal.",0.4,C129="Fel. + Pel. + Cal.",0.5,C129="Pel. + Spun",0.8,C129="Espelhamento - L: 1,45m",0.8,C129="Espelhamento - L: 1,65m",0.8,C129="Estampagem",1,C129="Fel. + Cal.",0.4,C129="Dublagem Juta",0.8,C129="Dublagem Cretone - MO (Juta)",0.8,C129="Dublagem Tapete",0.8,C129="Esp. + Pel.",0.8,C129="Espelhamento 2x",0.8)</f>
        <v>0.8</v>
      </c>
      <c r="U129" s="18">
        <v>1</v>
      </c>
      <c r="V129" s="18">
        <v>1</v>
      </c>
      <c r="W129" s="18"/>
      <c r="X129" s="18">
        <v>39.67</v>
      </c>
      <c r="Y129" s="18">
        <v>38.51</v>
      </c>
      <c r="Z129" s="18">
        <v>116.78</v>
      </c>
      <c r="AA129" s="18"/>
    </row>
    <row r="130" spans="1:27" ht="14.25" customHeight="1" x14ac:dyDescent="0.35">
      <c r="A130" s="18"/>
      <c r="B130" s="22" t="s">
        <v>305</v>
      </c>
      <c r="C130" s="32" t="s">
        <v>106</v>
      </c>
      <c r="D130" s="23"/>
      <c r="E130" s="24">
        <v>1</v>
      </c>
      <c r="F130" s="25">
        <v>2.4</v>
      </c>
      <c r="G130" s="25">
        <f>F130</f>
        <v>2.4</v>
      </c>
      <c r="H130" s="26" t="s">
        <v>243</v>
      </c>
      <c r="I130" s="27">
        <f t="shared" si="56"/>
        <v>2.4</v>
      </c>
      <c r="J130" s="28">
        <v>45663</v>
      </c>
      <c r="K130" s="29"/>
      <c r="L130" s="30">
        <f t="shared" si="55"/>
        <v>1.3414997101449273</v>
      </c>
      <c r="M130" s="30">
        <f>IF(B130="Texion Textil",0,IF(C130="Malha",'Custos insumos'!$B$24,IF(C130="Dublagem Cretone",'Custos insumos'!$D$7,IF(C130="Dublagem Spun",'Custos insumos'!$D$4,IF(C130="Espelhamento",'Custos insumos'!$B$11,IF(C130="Espelhamento 2x",2*'Custos insumos'!$B$11,IF(C130="Esp. + Pel.",'Custos insumos'!$B$11,IF(C130="Pel. + Spun",'Custos insumos'!$D$4,IF(C130="Dublagem Cretone PES",'Custos insumos'!$D$7,IF(C130="Dublagem Barreira",'Custos insumos'!$D$11,IF(C130="Dublagem - MO + Filme",'Custos insumos'!$D$4,IF(C130="Dublagem Cretone HM50",'Custos insumos'!$D$26,IF(C130="Dublagem Cretone HM70",'Custos insumos'!$F$10,)))))))))))))</f>
        <v>1.0585002898550726</v>
      </c>
      <c r="N130" s="30">
        <f>IF(B130="Texion Textil",0,IF(B130="Três Elos",0,IF(C130="Malha",0,IF(C130="Dublagem Cretone",'Custos insumos'!$D$23,IF(C130="Dublagem Spun",'Custos insumos'!$D$16,IF(C130="Espelhamento",0,IF(C130="Espelhamento 2x",0,IF(C130="Esp. + Pel.",0,IF(C130="Pel. + Spun",'Custos insumos'!$D$16,IF(C130="Dublagem Cretone PES",'Custos insumos'!$F$25,IF(C130="Dublagem Barreira",'Custos insumos'!$D$22,)))))))))))</f>
        <v>0</v>
      </c>
      <c r="O130" s="18"/>
      <c r="P130" s="53">
        <f t="shared" si="34"/>
        <v>0.24724821256038637</v>
      </c>
      <c r="Q130" s="50">
        <f t="shared" si="35"/>
        <v>600</v>
      </c>
      <c r="R130" s="50" cm="1">
        <f t="array" ref="R130">_xlfn.IFS(C130="Calandra",(350),C130="Peletização",(421),C130="Dublagem Spun",(250),C130="Dublagem Cretone PES",(180),C130="Felpagem",(270/E130),C130="Emborrachamento",(200),C130="Espelhamento",(250),C130="Malha",(1),C130="Dublagem Cretone",(180),C130="Malha",(1),C130="Dublagem Spun - MO",250,C130="Dublagem Cretone - MO",180,C130="Dublagem Cretone PES - MO",180,C130="Espelhamento - MO",250,C130="Emborrachamento",100,C130="Malha",0,C130="Dublagem Barreira",100,C130="Pel. + Cal.",350,C130="Fel. + Pel. + Cal.",270,C130="Pel. + Spun",250,C130="Espelhamento - L: 1,45m",200,C130="Espelhamento - L: 1,65m",200,C130="Estampagem",100,C130="Fel. + Cal.",270,C130="Dublagem Juta",180,C130="Dublagem Cretone - MO (Juta)",180,C130="Dublagem Tapete",150,C130="Esp. + Pel.",200,C130="Espelhamento 2x",100)</f>
        <v>250</v>
      </c>
      <c r="S130" s="50">
        <f t="shared" si="36"/>
        <v>451.65107246376817</v>
      </c>
      <c r="T130" s="18" cm="1">
        <f t="array" ref="T130">_xlfn.IFS(C130="Calandra",0.4,C130="Felpagem",0.3,C130="Dublagem Spun",0.8,C130="Dublagem Cretone",0.8,C130="Dublagem Cretone PES",0.8,C130="Espelhamento",0.8,C130="Peletização",0.5,C130="Dublagem Spun - MO",0.8,C130="Dublagem Cretone - MO",0.8,C130="Dublagem Cretone PES - MO",0.8,C130="Espelhamento - MO",0.8,C130="Emborrachamento",1,C130="Malha",0,C130="Dublagem Barreira",1,C130="Pel. + Cal.",0.4,C130="Fel. + Pel. + Cal.",0.5,C130="Pel. + Spun",0.8,C130="Espelhamento - L: 1,45m",0.8,C130="Espelhamento - L: 1,65m",0.8,C130="Estampagem",1,C130="Fel. + Cal.",0.4,C130="Dublagem Juta",0.8,C130="Dublagem Cretone - MO (Juta)",0.8,C130="Dublagem Tapete",0.8,C130="Esp. + Pel.",0.8,C130="Espelhamento 2x",0.8)</f>
        <v>0.8</v>
      </c>
      <c r="U130" s="18">
        <v>1</v>
      </c>
      <c r="V130" s="18">
        <v>1</v>
      </c>
      <c r="W130" s="18"/>
      <c r="X130" s="18">
        <v>39.67</v>
      </c>
      <c r="Y130" s="18">
        <v>38.51</v>
      </c>
      <c r="Z130" s="18">
        <v>116.78</v>
      </c>
      <c r="AA130" s="18"/>
    </row>
    <row r="131" spans="1:27" ht="14.25" customHeight="1" x14ac:dyDescent="0.35">
      <c r="A131" s="18"/>
      <c r="B131" s="62" t="s">
        <v>181</v>
      </c>
      <c r="C131" s="63" t="s">
        <v>144</v>
      </c>
      <c r="D131" s="23"/>
      <c r="E131" s="24">
        <v>1</v>
      </c>
      <c r="F131" s="25">
        <v>0.6</v>
      </c>
      <c r="G131" s="25">
        <v>0.65</v>
      </c>
      <c r="H131" s="26" t="s">
        <v>243</v>
      </c>
      <c r="I131" s="27">
        <f t="shared" si="56"/>
        <v>0.65</v>
      </c>
      <c r="J131" s="28">
        <v>45663</v>
      </c>
      <c r="K131" s="29"/>
      <c r="L131" s="30">
        <f t="shared" si="55"/>
        <v>0.65</v>
      </c>
      <c r="M131" s="30">
        <f>IF(B131="Texion Textil",0,IF(C131="Malha",'Custos insumos'!$B$24,IF(C131="Dublagem Cretone",'Custos insumos'!$D$7,IF(C131="Dublagem Spun",'Custos insumos'!$D$4,IF(C131="Espelhamento",'Custos insumos'!$B$11,IF(C131="Espelhamento 2x",2*'Custos insumos'!$B$11,IF(C131="Esp. + Pel.",'Custos insumos'!$B$11,IF(C131="Pel. + Spun",'Custos insumos'!$D$4,IF(C131="Dublagem Cretone PES",'Custos insumos'!$D$7,IF(C131="Dublagem Barreira",'Custos insumos'!$D$11,IF(C131="Dublagem - MO + Filme",'Custos insumos'!$D$4,IF(C131="Dublagem Cretone HM50",'Custos insumos'!$D$26,IF(C131="Dublagem Cretone HM70",'Custos insumos'!$F$10,)))))))))))))</f>
        <v>0</v>
      </c>
      <c r="N131" s="30">
        <f>IF(B131="Texion Textil",0,IF(B131="Três Elos",0,IF(C131="Malha",0,IF(C131="Dublagem Cretone",'Custos insumos'!$D$23,IF(C131="Dublagem Spun",'Custos insumos'!$D$16,IF(C131="Espelhamento",0,IF(C131="Espelhamento 2x",0,IF(C131="Esp. + Pel.",0,IF(C131="Pel. + Spun",'Custos insumos'!$D$16,IF(C131="Dublagem Cretone PES",'Custos insumos'!$F$25,IF(C131="Dublagem Barreira",'Custos insumos'!$D$22,)))))))))))</f>
        <v>0</v>
      </c>
      <c r="O131" s="18"/>
      <c r="P131" s="53">
        <f t="shared" si="34"/>
        <v>0.36004019733235892</v>
      </c>
      <c r="Q131" s="50">
        <f t="shared" si="35"/>
        <v>273.65000000000003</v>
      </c>
      <c r="R131" s="50" cm="1">
        <f t="array" ref="R131">_xlfn.IFS(C131="Calandra",(350),C131="Peletização",(421),C131="Dublagem Spun",(250),C131="Dublagem Cretone PES",(180),C131="Felpagem",(270/E131),C131="Emborrachamento",(200),C131="Espelhamento",(250),C131="Malha",(1),C131="Dublagem Cretone",(180),C131="Malha",(1),C131="Dublagem Spun - MO",250,C131="Dublagem Cretone - MO",180,C131="Dublagem Cretone PES - MO",180,C131="Espelhamento - MO",250,C131="Emborrachamento",100,C131="Malha",0,C131="Dublagem Barreira",100,C131="Pel. + Cal.",350,C131="Fel. + Pel. + Cal.",270,C131="Pel. + Spun",250,C131="Espelhamento - L: 1,45m",200,C131="Espelhamento - L: 1,65m",200,C131="Estampagem",100,C131="Fel. + Cal.",270,C131="Dublagem Juta",180,C131="Dublagem Cretone - MO (Juta)",180,C131="Dublagem Tapete",150,C131="Esp. + Pel.",200,C131="Espelhamento 2x",100)</f>
        <v>421</v>
      </c>
      <c r="S131" s="50">
        <f t="shared" si="36"/>
        <v>175.125</v>
      </c>
      <c r="T131" s="18" cm="1">
        <f t="array" ref="T131">_xlfn.IFS(C131="Calandra",0.4,C131="Felpagem",0.3,C131="Dublagem Spun",0.8,C131="Dublagem Cretone",0.8,C131="Dublagem Cretone PES",0.8,C131="Espelhamento",0.8,C131="Peletização",0.5,C131="Dublagem Spun - MO",0.8,C131="Dublagem Cretone - MO",0.8,C131="Dublagem Cretone PES - MO",0.8,C131="Espelhamento - MO",0.8,C131="Emborrachamento",1,C131="Malha",0,C131="Dublagem Barreira",1,C131="Pel. + Cal.",0.4,C131="Fel. + Pel. + Cal.",0.5,C131="Pel. + Spun",0.8,C131="Espelhamento - L: 1,45m",0.8,C131="Espelhamento - L: 1,65m",0.8,C131="Estampagem",1,C131="Fel. + Cal.",0.4,C131="Dublagem Juta",0.8,C131="Dublagem Cretone - MO (Juta)",0.8,C131="Dublagem Tapete",0.8,C131="Esp. + Pel.",0.8,C131="Espelhamento 2x",0.8)</f>
        <v>0.5</v>
      </c>
      <c r="U131" s="18">
        <v>1</v>
      </c>
      <c r="V131" s="18">
        <v>1</v>
      </c>
      <c r="W131" s="18"/>
      <c r="X131" s="18">
        <v>39.67</v>
      </c>
      <c r="Y131" s="18">
        <v>38.51</v>
      </c>
      <c r="Z131" s="18">
        <v>116.78</v>
      </c>
      <c r="AA131" s="18"/>
    </row>
    <row r="132" spans="1:27" ht="14.25" customHeight="1" x14ac:dyDescent="0.35">
      <c r="A132" s="18"/>
      <c r="B132" s="22" t="s">
        <v>181</v>
      </c>
      <c r="C132" s="23" t="s">
        <v>254</v>
      </c>
      <c r="D132" s="23"/>
      <c r="E132" s="24">
        <v>2</v>
      </c>
      <c r="F132" s="25">
        <v>0.75</v>
      </c>
      <c r="G132" s="25">
        <f>F132</f>
        <v>0.75</v>
      </c>
      <c r="H132" s="26" t="s">
        <v>243</v>
      </c>
      <c r="I132" s="27">
        <f t="shared" si="56"/>
        <v>0.375</v>
      </c>
      <c r="J132" s="28">
        <v>45663</v>
      </c>
      <c r="K132" s="29"/>
      <c r="L132" s="30">
        <f t="shared" si="55"/>
        <v>0.75</v>
      </c>
      <c r="M132" s="30">
        <f>IF(B132="Texion Textil",0,IF(C132="Malha",'Custos insumos'!$B$24,IF(C132="Dublagem Cretone",'Custos insumos'!$D$7,IF(C132="Dublagem Spun",'Custos insumos'!$D$4,IF(C132="Espelhamento",'Custos insumos'!$B$11,IF(C132="Espelhamento 2x",2*'Custos insumos'!$B$11,IF(C132="Esp. + Pel.",'Custos insumos'!$B$11,IF(C132="Pel. + Spun",'Custos insumos'!$D$4,IF(C132="Dublagem Cretone PES",'Custos insumos'!$D$7,IF(C132="Dublagem Barreira",'Custos insumos'!$D$11,IF(C132="Dublagem - MO + Filme",'Custos insumos'!$D$4,IF(C132="Dublagem Cretone HM50",'Custos insumos'!$D$26,IF(C132="Dublagem Cretone HM70",'Custos insumos'!$F$10,)))))))))))))</f>
        <v>0</v>
      </c>
      <c r="N132" s="30">
        <f>IF(B132="Texion Textil",0,IF(B132="Três Elos",0,IF(C132="Malha",0,IF(C132="Dublagem Cretone",'Custos insumos'!$D$23,IF(C132="Dublagem Spun",'Custos insumos'!$D$16,IF(C132="Espelhamento",0,IF(C132="Espelhamento 2x",0,IF(C132="Esp. + Pel.",0,IF(C132="Pel. + Spun",'Custos insumos'!$D$16,IF(C132="Dublagem Cretone PES",'Custos insumos'!$F$25,IF(C132="Dublagem Barreira",'Custos insumos'!$D$22,)))))))))))</f>
        <v>0</v>
      </c>
      <c r="O132" s="18"/>
      <c r="P132" s="53">
        <f t="shared" si="34"/>
        <v>-0.65126913580246915</v>
      </c>
      <c r="Q132" s="50">
        <f t="shared" si="35"/>
        <v>101.25</v>
      </c>
      <c r="R132" s="50" cm="1">
        <f t="array" ref="R132">_xlfn.IFS(C132="Calandra",(350),C132="Peletização",(421),C132="Dublagem Spun",(250),C132="Dublagem Cretone PES",(180),C132="Felpagem",(270/E132),C132="Emborrachamento",(200),C132="Espelhamento",(250),C132="Malha",(1),C132="Dublagem Cretone",(180),C132="Malha",(1),C132="Dublagem Spun - MO",250,C132="Dublagem Cretone - MO",180,C132="Dublagem Cretone PES - MO",180,C132="Espelhamento - MO",250,C132="Emborrachamento",100,C132="Malha",0,C132="Dublagem Barreira",100,C132="Pel. + Cal.",350,C132="Fel. + Pel. + Cal.",270,C132="Pel. + Spun",250,C132="Espelhamento - L: 1,45m",200,C132="Espelhamento - L: 1,65m",200,C132="Estampagem",100,C132="Fel. + Cal.",270,C132="Dublagem Juta",180,C132="Dublagem Cretone - MO (Juta)",180,C132="Dublagem Tapete",150,C132="Esp. + Pel.",200,C132="Espelhamento 2x",100)</f>
        <v>135</v>
      </c>
      <c r="S132" s="50">
        <f t="shared" si="36"/>
        <v>167.191</v>
      </c>
      <c r="T132" s="18" cm="1">
        <f t="array" ref="T132">_xlfn.IFS(C132="Calandra",0.4,C132="Felpagem",0.3,C132="Dublagem Spun",0.8,C132="Dublagem Cretone",0.8,C132="Dublagem Cretone PES",0.8,C132="Espelhamento",0.8,C132="Peletização",0.5,C132="Dublagem Spun - MO",0.8,C132="Dublagem Cretone - MO",0.8,C132="Dublagem Cretone PES - MO",0.8,C132="Espelhamento - MO",0.8,C132="Emborrachamento",1,C132="Malha",0,C132="Dublagem Barreira",1,C132="Pel. + Cal.",0.4,C132="Fel. + Pel. + Cal.",0.5,C132="Pel. + Spun",0.8,C132="Espelhamento - L: 1,45m",0.8,C132="Espelhamento - L: 1,65m",0.8,C132="Estampagem",1,C132="Fel. + Cal.",0.4,C132="Dublagem Juta",0.8,C132="Dublagem Cretone - MO (Juta)",0.8,C132="Dublagem Tapete",0.8,C132="Esp. + Pel.",0.8,C132="Espelhamento 2x",0.8)</f>
        <v>0.3</v>
      </c>
      <c r="U132" s="18">
        <v>1</v>
      </c>
      <c r="V132" s="18">
        <v>1</v>
      </c>
      <c r="W132" s="18"/>
      <c r="X132" s="18">
        <v>39.67</v>
      </c>
      <c r="Y132" s="18">
        <v>38.51</v>
      </c>
      <c r="Z132" s="18">
        <v>116.78</v>
      </c>
      <c r="AA132" s="18"/>
    </row>
    <row r="133" spans="1:27" ht="14.25" customHeight="1" x14ac:dyDescent="0.35">
      <c r="A133" s="18"/>
      <c r="B133" s="22" t="s">
        <v>181</v>
      </c>
      <c r="C133" s="32" t="s">
        <v>142</v>
      </c>
      <c r="D133" s="23"/>
      <c r="E133" s="24">
        <v>1</v>
      </c>
      <c r="F133" s="25">
        <v>0.9</v>
      </c>
      <c r="G133" s="25">
        <f>F133</f>
        <v>0.9</v>
      </c>
      <c r="H133" s="26" t="s">
        <v>243</v>
      </c>
      <c r="I133" s="27">
        <f t="shared" si="56"/>
        <v>0.9</v>
      </c>
      <c r="J133" s="28">
        <v>45663</v>
      </c>
      <c r="K133" s="29"/>
      <c r="L133" s="30">
        <f t="shared" si="55"/>
        <v>0.9</v>
      </c>
      <c r="M133" s="30">
        <f>IF(B133="Texion Textil",0,IF(C133="Malha",'Custos insumos'!$B$24,IF(C133="Dublagem Cretone",'Custos insumos'!$D$7,IF(C133="Dublagem Spun",'Custos insumos'!$D$4,IF(C133="Espelhamento",'Custos insumos'!$B$11,IF(C133="Espelhamento 2x",2*'Custos insumos'!$B$11,IF(C133="Esp. + Pel.",'Custos insumos'!$B$11,IF(C133="Pel. + Spun",'Custos insumos'!$D$4,IF(C133="Dublagem Cretone PES",'Custos insumos'!$D$7,IF(C133="Dublagem Barreira",'Custos insumos'!$D$11,IF(C133="Dublagem - MO + Filme",'Custos insumos'!$D$4,IF(C133="Dublagem Cretone HM50",'Custos insumos'!$D$26,IF(C133="Dublagem Cretone HM70",'Custos insumos'!$F$10,)))))))))))))</f>
        <v>0</v>
      </c>
      <c r="N133" s="30">
        <f>IF(B133="Texion Textil",0,IF(B133="Três Elos",0,IF(C133="Malha",0,IF(C133="Dublagem Cretone",'Custos insumos'!$D$23,IF(C133="Dublagem Spun",'Custos insumos'!$D$16,IF(C133="Espelhamento",0,IF(C133="Espelhamento 2x",0,IF(C133="Esp. + Pel.",0,IF(C133="Pel. + Spun",'Custos insumos'!$D$16,IF(C133="Dublagem Cretone PES",'Custos insumos'!$F$25,IF(C133="Dublagem Barreira",'Custos insumos'!$D$22,)))))))))))</f>
        <v>0</v>
      </c>
      <c r="O133" s="18"/>
      <c r="P133" s="53">
        <f t="shared" si="34"/>
        <v>0.45664126984126979</v>
      </c>
      <c r="Q133" s="50">
        <f t="shared" si="35"/>
        <v>315</v>
      </c>
      <c r="R133" s="50" cm="1">
        <f t="array" ref="R133">_xlfn.IFS(C133="Calandra",(350),C133="Peletização",(421),C133="Dublagem Spun",(250),C133="Dublagem Cretone PES",(180),C133="Felpagem",(270/E133),C133="Emborrachamento",(200),C133="Espelhamento",(250),C133="Malha",(1),C133="Dublagem Cretone",(180),C133="Malha",(1),C133="Dublagem Spun - MO",250,C133="Dublagem Cretone - MO",180,C133="Dublagem Cretone PES - MO",180,C133="Espelhamento - MO",250,C133="Emborrachamento",100,C133="Malha",0,C133="Dublagem Barreira",100,C133="Pel. + Cal.",350,C133="Fel. + Pel. + Cal.",270,C133="Pel. + Spun",250,C133="Espelhamento - L: 1,45m",200,C133="Espelhamento - L: 1,65m",200,C133="Estampagem",100,C133="Fel. + Cal.",270,C133="Dublagem Juta",180,C133="Dublagem Cretone - MO (Juta)",180,C133="Dublagem Tapete",150,C133="Esp. + Pel.",200,C133="Espelhamento 2x",100)</f>
        <v>350</v>
      </c>
      <c r="S133" s="50">
        <f t="shared" si="36"/>
        <v>171.15800000000002</v>
      </c>
      <c r="T133" s="18" cm="1">
        <f t="array" ref="T133">_xlfn.IFS(C133="Calandra",0.4,C133="Felpagem",0.3,C133="Dublagem Spun",0.8,C133="Dublagem Cretone",0.8,C133="Dublagem Cretone PES",0.8,C133="Espelhamento",0.8,C133="Peletização",0.5,C133="Dublagem Spun - MO",0.8,C133="Dublagem Cretone - MO",0.8,C133="Dublagem Cretone PES - MO",0.8,C133="Espelhamento - MO",0.8,C133="Emborrachamento",1,C133="Malha",0,C133="Dublagem Barreira",1,C133="Pel. + Cal.",0.4,C133="Fel. + Pel. + Cal.",0.5,C133="Pel. + Spun",0.8,C133="Espelhamento - L: 1,45m",0.8,C133="Espelhamento - L: 1,65m",0.8,C133="Estampagem",1,C133="Fel. + Cal.",0.4,C133="Dublagem Juta",0.8,C133="Dublagem Cretone - MO (Juta)",0.8,C133="Dublagem Tapete",0.8,C133="Esp. + Pel.",0.8,C133="Espelhamento 2x",0.8)</f>
        <v>0.4</v>
      </c>
      <c r="U133" s="18">
        <v>1</v>
      </c>
      <c r="V133" s="18">
        <v>1</v>
      </c>
      <c r="W133" s="18"/>
      <c r="X133" s="18">
        <v>39.67</v>
      </c>
      <c r="Y133" s="18">
        <v>38.51</v>
      </c>
      <c r="Z133" s="18">
        <v>116.78</v>
      </c>
      <c r="AA133" s="18"/>
    </row>
    <row r="134" spans="1:27" ht="14.25" customHeight="1" x14ac:dyDescent="0.35">
      <c r="A134" s="18"/>
      <c r="B134" s="22" t="s">
        <v>367</v>
      </c>
      <c r="C134" s="23" t="s">
        <v>254</v>
      </c>
      <c r="D134" s="23"/>
      <c r="E134" s="24">
        <v>2</v>
      </c>
      <c r="F134" s="25">
        <v>1.1000000000000001</v>
      </c>
      <c r="G134" s="25">
        <f>F134</f>
        <v>1.1000000000000001</v>
      </c>
      <c r="H134" s="26" t="s">
        <v>243</v>
      </c>
      <c r="I134" s="27">
        <f t="shared" si="56"/>
        <v>0.55000000000000004</v>
      </c>
      <c r="J134" s="28">
        <v>45663</v>
      </c>
      <c r="K134" s="29"/>
      <c r="L134" s="30">
        <f t="shared" si="55"/>
        <v>1.1000000000000001</v>
      </c>
      <c r="M134" s="30">
        <f>IF(B134="Texion Textil",0,IF(C134="Malha",'Custos insumos'!$B$24,IF(C134="Dublagem Cretone",'Custos insumos'!$D$7,IF(C134="Dublagem Spun",'Custos insumos'!$D$4,IF(C134="Espelhamento",'Custos insumos'!$B$11,IF(C134="Espelhamento 2x",2*'Custos insumos'!$B$11,IF(C134="Esp. + Pel.",'Custos insumos'!$B$11,IF(C134="Pel. + Spun",'Custos insumos'!$D$4,IF(C134="Dublagem Cretone PES",'Custos insumos'!$D$7,IF(C134="Dublagem Barreira",'Custos insumos'!$D$11,IF(C134="Dublagem - MO + Filme",'Custos insumos'!$D$4,IF(C134="Dublagem Cretone HM50",'Custos insumos'!$D$26,IF(C134="Dublagem Cretone HM70",'Custos insumos'!$F$10,)))))))))))))</f>
        <v>0</v>
      </c>
      <c r="N134" s="30">
        <f>IF(B134="Texion Textil",0,IF(B134="Três Elos",0,IF(C134="Malha",0,IF(C134="Dublagem Cretone",'Custos insumos'!$D$23,IF(C134="Dublagem Spun",'Custos insumos'!$D$19,IF(C134="Espelhamento",0,IF(C134="Espelhamento 2x",0,IF(C134="Esp. + Pel.",0,IF(C134="Pel. + Spun",'Custos insumos'!$D$19,IF(C134="Dublagem Cretone PES",'Custos insumos'!$F$25,IF(C134="Dublagem Barreira",'Custos insumos'!$D$22,)))))))))))</f>
        <v>0</v>
      </c>
      <c r="O134" s="18"/>
      <c r="P134" s="53">
        <f t="shared" si="34"/>
        <v>-0.12586531986531987</v>
      </c>
      <c r="Q134" s="50">
        <f t="shared" si="35"/>
        <v>148.5</v>
      </c>
      <c r="R134" s="50" cm="1">
        <f t="array" ref="R134">_xlfn.IFS(C134="Calandra",(350),C134="Peletização",(421),C134="Dublagem Spun",(250),C134="Dublagem Cretone PES",(180),C134="Felpagem",(270/E134),C134="Emborrachamento",(200),C134="Espelhamento",(250),C134="Malha",(1),C134="Dublagem Cretone",(180),C134="Malha",(1),C134="Dublagem Spun - MO",250,C134="Dublagem Cretone - MO",180,C134="Dublagem Cretone PES - MO",180,C134="Espelhamento - MO",250,C134="Emborrachamento",100,C134="Malha",0,C134="Dublagem Barreira",100,C134="Pel. + Cal.",350,C134="Fel. + Pel. + Cal.",270,C134="Pel. + Spun",250,C134="Espelhamento - L: 1,45m",200,C134="Espelhamento - L: 1,65m",200,C134="Estampagem",100,C134="Fel. + Cal.",270,C134="Dublagem Juta",180,C134="Dublagem Cretone - MO (Juta)",180,C134="Dublagem Tapete",150,C134="Esp. + Pel.",200,C134="Espelhamento 2x",100)</f>
        <v>135</v>
      </c>
      <c r="S134" s="50">
        <f t="shared" si="36"/>
        <v>167.191</v>
      </c>
      <c r="T134" s="18" cm="1">
        <f t="array" ref="T134">_xlfn.IFS(C134="Calandra",0.4,C134="Felpagem",0.3,C134="Dublagem Spun",0.8,C134="Dublagem Cretone",0.8,C134="Dublagem Cretone PES",0.8,C134="Espelhamento",0.8,C134="Peletização",0.5,C134="Dublagem Spun - MO",0.8,C134="Dublagem Cretone - MO",0.8,C134="Dublagem Cretone PES - MO",0.8,C134="Espelhamento - MO",0.8,C134="Emborrachamento",1,C134="Malha",0,C134="Dublagem Barreira",1,C134="Pel. + Cal.",0.4,C134="Fel. + Pel. + Cal.",0.5,C134="Pel. + Spun",0.8,C134="Espelhamento - L: 1,45m",0.8,C134="Espelhamento - L: 1,65m",0.8,C134="Estampagem",1,C134="Fel. + Cal.",0.4,C134="Dublagem Juta",0.8,C134="Dublagem Cretone - MO (Juta)",0.8,C134="Dublagem Tapete",0.8,C134="Esp. + Pel.",0.8,C134="Espelhamento 2x",0.8)</f>
        <v>0.3</v>
      </c>
      <c r="U134" s="18">
        <v>1</v>
      </c>
      <c r="V134" s="18">
        <v>1</v>
      </c>
      <c r="W134" s="18"/>
      <c r="X134" s="18">
        <v>39.67</v>
      </c>
      <c r="Y134" s="18">
        <v>38.51</v>
      </c>
      <c r="Z134" s="18">
        <v>116.78</v>
      </c>
      <c r="AA134" s="18"/>
    </row>
    <row r="135" spans="1:27" ht="14.25" customHeight="1" x14ac:dyDescent="0.35">
      <c r="A135" s="18"/>
      <c r="B135" s="22" t="s">
        <v>367</v>
      </c>
      <c r="C135" s="23" t="s">
        <v>244</v>
      </c>
      <c r="D135" s="23"/>
      <c r="E135" s="24">
        <v>1</v>
      </c>
      <c r="F135" s="25"/>
      <c r="G135" s="25">
        <v>5.3</v>
      </c>
      <c r="H135" s="26" t="s">
        <v>243</v>
      </c>
      <c r="I135" s="27">
        <f t="shared" si="56"/>
        <v>5.3</v>
      </c>
      <c r="J135" s="28"/>
      <c r="K135" s="29"/>
      <c r="L135" s="30">
        <f t="shared" si="55"/>
        <v>1.7999999999999998</v>
      </c>
      <c r="M135" s="30">
        <v>3.5</v>
      </c>
      <c r="N135" s="30">
        <f>IF(B135="Texion Textil",0,IF(B135="Três Elos",0,IF(C135="Malha",0,IF(C135="Dublagem Cretone",'Custos insumos'!$D$23,IF(C135="Dublagem Spun",'Custos insumos'!$D$19,IF(C135="Espelhamento",0,IF(C135="Espelhamento 2x",0,IF(C135="Esp. + Pel.",0,IF(C135="Pel. + Spun",'Custos insumos'!$D$19,IF(C135="Dublagem Cretone PES",'Custos insumos'!$F$25,IF(C135="Dublagem Barreira",'Custos insumos'!$D$22,)))))))))))</f>
        <v>0</v>
      </c>
      <c r="O135" s="18"/>
      <c r="P135" s="53">
        <f t="shared" si="34"/>
        <v>0.15569811320754715</v>
      </c>
      <c r="Q135" s="50">
        <f t="shared" si="35"/>
        <v>1060</v>
      </c>
      <c r="R135" s="50" cm="1">
        <f t="array" ref="R135">_xlfn.IFS(C135="Calandra",(350),C135="Peletização",(421),C135="Dublagem Spun",(250),C135="Dublagem Cretone PES",(180),C135="Felpagem",(270/E135),C135="Emborrachamento",(200),C135="Espelhamento",(250),C135="Malha",(1),C135="Dublagem Cretone",(180),C135="Malha",(1),C135="Dublagem Spun - MO",250,C135="Dublagem Cretone - MO",180,C135="Dublagem Cretone PES - MO",180,C135="Espelhamento - MO",250,C135="Emborrachamento",100,C135="Malha",0,C135="Dublagem Barreira",100,C135="Pel. + Cal.",350,C135="Fel. + Pel. + Cal.",270,C135="Pel. + Spun",250,C135="Espelhamento - L: 1,45m",200,C135="Espelhamento - L: 1,65m",200,C135="Estampagem",100,C135="Fel. + Cal.",270,C135="Dublagem Juta",180,C135="Dublagem Cretone - MO (Juta)",180,C135="Dublagem Tapete",150,C135="Esp. + Pel.",200,C135="Espelhamento 2x",100)</f>
        <v>200</v>
      </c>
      <c r="S135" s="50">
        <f t="shared" si="36"/>
        <v>894.96</v>
      </c>
      <c r="T135" s="18" cm="1">
        <f t="array" ref="T135">_xlfn.IFS(C135="Calandra",0.4,C135="Felpagem",0.3,C135="Dublagem Spun",0.8,C135="Dublagem Cretone",0.8,C135="Dublagem Cretone PES",0.8,C135="Espelhamento",0.8,C135="Peletização",0.5,C135="Dublagem Spun - MO",0.8,C135="Dublagem Cretone - MO",0.8,C135="Dublagem Cretone PES - MO",0.8,C135="Espelhamento - MO",0.8,C135="Emborrachamento",1,C135="Malha",0,C135="Dublagem Barreira",1,C135="Pel. + Cal.",0.4,C135="Fel. + Pel. + Cal.",0.5,C135="Pel. + Spun",0.8,C135="Espelhamento - L: 1,45m",0.8,C135="Espelhamento - L: 1,65m",0.8,C135="Estampagem",1,C135="Fel. + Cal.",0.4,C135="Dublagem Juta",0.8,C135="Dublagem Cretone - MO (Juta)",0.8,C135="Dublagem Tapete",0.8,C135="Esp. + Pel.",0.8,C135="Espelhamento 2x",0.8)</f>
        <v>1</v>
      </c>
      <c r="U135" s="18">
        <v>1</v>
      </c>
      <c r="V135" s="18">
        <v>1</v>
      </c>
      <c r="W135" s="18"/>
      <c r="X135" s="18">
        <v>39.67</v>
      </c>
      <c r="Y135" s="18">
        <v>38.51</v>
      </c>
      <c r="Z135" s="18">
        <v>116.78</v>
      </c>
      <c r="AA135" s="18"/>
    </row>
    <row r="136" spans="1:27" ht="14.25" customHeight="1" x14ac:dyDescent="0.35">
      <c r="A136" s="18"/>
      <c r="B136" s="22" t="s">
        <v>367</v>
      </c>
      <c r="C136" s="23" t="s">
        <v>254</v>
      </c>
      <c r="D136" s="23"/>
      <c r="E136" s="24">
        <v>1</v>
      </c>
      <c r="F136" s="25">
        <v>1.1000000000000001</v>
      </c>
      <c r="G136" s="25">
        <v>0.55000000000000004</v>
      </c>
      <c r="H136" s="26" t="s">
        <v>243</v>
      </c>
      <c r="I136" s="27">
        <f t="shared" si="56"/>
        <v>0.55000000000000004</v>
      </c>
      <c r="J136" s="28">
        <v>45663</v>
      </c>
      <c r="K136" s="29"/>
      <c r="L136" s="30">
        <f t="shared" si="55"/>
        <v>0.55000000000000004</v>
      </c>
      <c r="M136" s="30">
        <f>IF(B136="Texion Textil",0,IF(C136="Malha",'Custos insumos'!$B$24,IF(C136="Dublagem Cretone",'Custos insumos'!$D$7,IF(C136="Dublagem Spun",'Custos insumos'!$D$4,IF(C136="Espelhamento",'Custos insumos'!$B$11,IF(C136="Espelhamento 2x",2*'Custos insumos'!$B$11,IF(C136="Esp. + Pel.",'Custos insumos'!$B$11,IF(C136="Pel. + Spun",'Custos insumos'!$D$4,IF(C136="Dublagem Cretone PES",'Custos insumos'!$D$7,IF(C136="Dublagem Barreira",'Custos insumos'!$D$11,IF(C136="Dublagem - MO + Filme",'Custos insumos'!$D$4,IF(C136="Dublagem Cretone HM50",'Custos insumos'!$D$26,IF(C136="Dublagem Cretone HM70",'Custos insumos'!$F$10,)))))))))))))</f>
        <v>0</v>
      </c>
      <c r="N136" s="30">
        <f>IF(B136="Texion Textil",0,IF(B136="Três Elos",0,IF(C136="Malha",0,IF(C136="Dublagem Cretone",'Custos insumos'!$D$23,IF(C136="Dublagem Spun",'Custos insumos'!$D$19,IF(C136="Espelhamento",0,IF(C136="Espelhamento 2x",0,IF(C136="Esp. + Pel.",0,IF(C136="Pel. + Spun",'Custos insumos'!$D$19,IF(C136="Dublagem Cretone PES",'Custos insumos'!$F$25,IF(C136="Dublagem Barreira",'Custos insumos'!$D$22,)))))))))))</f>
        <v>0</v>
      </c>
      <c r="O136" s="18"/>
      <c r="P136" s="53">
        <f t="shared" si="34"/>
        <v>-0.12586531986531987</v>
      </c>
      <c r="Q136" s="50">
        <f t="shared" si="35"/>
        <v>148.5</v>
      </c>
      <c r="R136" s="50" cm="1">
        <f t="array" ref="R136">_xlfn.IFS(C136="Calandra",(350),C136="Peletização",(421),C136="Dublagem Spun",(250),C136="Dublagem Cretone PES",(180),C136="Felpagem",(270/E136),C136="Emborrachamento",(200),C136="Espelhamento",(250),C136="Malha",(1),C136="Dublagem Cretone",(180),C136="Malha",(1),C136="Dublagem Spun - MO",250,C136="Dublagem Cretone - MO",180,C136="Dublagem Cretone PES - MO",180,C136="Espelhamento - MO",250,C136="Emborrachamento",100,C136="Malha",0,C136="Dublagem Barreira",100,C136="Pel. + Cal.",350,C136="Fel. + Pel. + Cal.",270,C136="Pel. + Spun",250,C136="Espelhamento - L: 1,45m",200,C136="Espelhamento - L: 1,65m",200,C136="Estampagem",100,C136="Fel. + Cal.",270,C136="Dublagem Juta",180,C136="Dublagem Cretone - MO (Juta)",180,C136="Dublagem Tapete",150,C136="Esp. + Pel.",200,C136="Espelhamento 2x",100)</f>
        <v>270</v>
      </c>
      <c r="S136" s="50">
        <f t="shared" si="36"/>
        <v>167.191</v>
      </c>
      <c r="T136" s="18" cm="1">
        <f t="array" ref="T136">_xlfn.IFS(C136="Calandra",0.4,C136="Felpagem",0.3,C136="Dublagem Spun",0.8,C136="Dublagem Cretone",0.8,C136="Dublagem Cretone PES",0.8,C136="Espelhamento",0.8,C136="Peletização",0.5,C136="Dublagem Spun - MO",0.8,C136="Dublagem Cretone - MO",0.8,C136="Dublagem Cretone PES - MO",0.8,C136="Espelhamento - MO",0.8,C136="Emborrachamento",1,C136="Malha",0,C136="Dublagem Barreira",1,C136="Pel. + Cal.",0.4,C136="Fel. + Pel. + Cal.",0.5,C136="Pel. + Spun",0.8,C136="Espelhamento - L: 1,45m",0.8,C136="Espelhamento - L: 1,65m",0.8,C136="Estampagem",1,C136="Fel. + Cal.",0.4,C136="Dublagem Juta",0.8,C136="Dublagem Cretone - MO (Juta)",0.8,C136="Dublagem Tapete",0.8,C136="Esp. + Pel.",0.8,C136="Espelhamento 2x",0.8)</f>
        <v>0.3</v>
      </c>
      <c r="U136" s="18">
        <v>1</v>
      </c>
      <c r="V136" s="18">
        <v>1</v>
      </c>
      <c r="W136" s="18"/>
      <c r="X136" s="18">
        <v>39.67</v>
      </c>
      <c r="Y136" s="18">
        <v>38.51</v>
      </c>
      <c r="Z136" s="18">
        <v>116.78</v>
      </c>
      <c r="AA136" s="18"/>
    </row>
    <row r="137" spans="1:27" ht="14.25" customHeight="1" x14ac:dyDescent="0.35">
      <c r="A137" s="18"/>
      <c r="B137" s="22" t="s">
        <v>206</v>
      </c>
      <c r="C137" s="23" t="s">
        <v>429</v>
      </c>
      <c r="D137" s="23" t="s">
        <v>430</v>
      </c>
      <c r="E137" s="24">
        <v>1</v>
      </c>
      <c r="F137" s="25">
        <v>5.0999999999999996</v>
      </c>
      <c r="G137" s="25">
        <v>4</v>
      </c>
      <c r="H137" s="26" t="s">
        <v>243</v>
      </c>
      <c r="I137" s="27">
        <f t="shared" si="56"/>
        <v>4</v>
      </c>
      <c r="J137" s="28">
        <v>45663</v>
      </c>
      <c r="K137" s="29" t="s">
        <v>296</v>
      </c>
      <c r="L137" s="30">
        <f t="shared" si="55"/>
        <v>1.7692000000000001</v>
      </c>
      <c r="M137" s="30">
        <f>'Custos insumos'!$L$3</f>
        <v>0.73080000000000001</v>
      </c>
      <c r="N137" s="30">
        <f>'Custos insumos'!$L$25</f>
        <v>1.5</v>
      </c>
      <c r="O137" s="18"/>
      <c r="P137" s="53" t="e">
        <f t="shared" si="34"/>
        <v>#N/A</v>
      </c>
      <c r="Q137" s="50" t="e">
        <f t="shared" si="35"/>
        <v>#N/A</v>
      </c>
      <c r="R137" s="50" t="e" cm="1">
        <f t="array" ref="R137">_xlfn.IFS(C137="Calandra",(350),C137="Peletização",(421),C137="Dublagem Spun",(250),C137="Dublagem Cretone PES",(180),C137="Felpagem",(270/E137),C137="Emborrachamento",(200),C137="Espelhamento",(250),C137="Malha",(1),C137="Dublagem Cretone",(180),C137="Malha",(1),C137="Dublagem Spun - MO",250,C137="Dublagem Cretone - MO",180,C137="Dublagem Cretone PES - MO",180,C137="Espelhamento - MO",250,C137="Emborrachamento",100,C137="Malha",0,C137="Dublagem Barreira",100,C137="Pel. + Cal.",350,C137="Fel. + Pel. + Cal.",270,C137="Pel. + Spun",250,C137="Espelhamento - L: 1,45m",200,C137="Espelhamento - L: 1,65m",200,C137="Estampagem",100,C137="Fel. + Cal.",270,C137="Dublagem Juta",180,C137="Dublagem Cretone - MO (Juta)",180,C137="Dublagem Tapete",150,C137="Esp. + Pel.",200,C137="Espelhamento 2x",100)</f>
        <v>#N/A</v>
      </c>
      <c r="S137" s="50" t="e">
        <f t="shared" si="36"/>
        <v>#N/A</v>
      </c>
      <c r="T137" s="18" t="e" cm="1">
        <f t="array" ref="T137">_xlfn.IFS(C137="Calandra",0.4,C137="Felpagem",0.3,C137="Dublagem Spun",0.8,C137="Dublagem Cretone",0.8,C137="Dublagem Cretone PES",0.8,C137="Espelhamento",0.8,C137="Peletização",0.5,C137="Dublagem Spun - MO",0.8,C137="Dublagem Cretone - MO",0.8,C137="Dublagem Cretone PES - MO",0.8,C137="Espelhamento - MO",0.8,C137="Emborrachamento",1,C137="Malha",0,C137="Dublagem Barreira",1,C137="Pel. + Cal.",0.4,C137="Fel. + Pel. + Cal.",0.5,C137="Pel. + Spun",0.8,C137="Espelhamento - L: 1,45m",0.8,C137="Espelhamento - L: 1,65m",0.8,C137="Estampagem",1,C137="Fel. + Cal.",0.4,C137="Dublagem Juta",0.8,C137="Dublagem Cretone - MO (Juta)",0.8,C137="Dublagem Tapete",0.8,C137="Esp. + Pel.",0.8,C137="Espelhamento 2x",0.8)</f>
        <v>#N/A</v>
      </c>
      <c r="U137" s="18">
        <v>1</v>
      </c>
      <c r="V137" s="18">
        <v>1</v>
      </c>
      <c r="W137" s="18"/>
      <c r="X137" s="18">
        <v>39.67</v>
      </c>
      <c r="Y137" s="18">
        <v>38.51</v>
      </c>
      <c r="Z137" s="18">
        <v>116.78</v>
      </c>
      <c r="AA137" s="18"/>
    </row>
    <row r="138" spans="1:27" ht="14.25" customHeight="1" x14ac:dyDescent="0.35">
      <c r="A138" s="18"/>
      <c r="B138" s="22" t="s">
        <v>206</v>
      </c>
      <c r="C138" s="23" t="s">
        <v>144</v>
      </c>
      <c r="D138" s="23"/>
      <c r="E138" s="24">
        <v>1</v>
      </c>
      <c r="F138" s="25">
        <v>0.6</v>
      </c>
      <c r="G138" s="25">
        <f>F138</f>
        <v>0.6</v>
      </c>
      <c r="H138" s="26" t="s">
        <v>243</v>
      </c>
      <c r="I138" s="27">
        <f t="shared" si="56"/>
        <v>0.6</v>
      </c>
      <c r="J138" s="28">
        <v>45663</v>
      </c>
      <c r="K138" s="29" t="s">
        <v>307</v>
      </c>
      <c r="L138" s="30">
        <f t="shared" si="55"/>
        <v>0.6</v>
      </c>
      <c r="M138" s="30">
        <f>IF(B138="Texion Textil",0,IF(C138="Malha",'Custos insumos'!$B$24,IF(C138="Dublagem Cretone",'Custos insumos'!$D$7,IF(C138="Dublagem Spun",'Custos insumos'!$D$4,IF(C138="Espelhamento",'Custos insumos'!$B$11,IF(C138="Espelhamento 2x",2*'Custos insumos'!$B$11,IF(C138="Esp. + Pel.",'Custos insumos'!$B$11,IF(C138="Pel. + Spun",'Custos insumos'!$D$4,IF(C138="Dublagem Cretone PES",'Custos insumos'!$D$7,IF(C138="Dublagem Barreira",'Custos insumos'!$D$11,IF(C138="Dublagem - MO + Filme",'Custos insumos'!$D$4,IF(C138="Dublagem Cretone HM50",'Custos insumos'!$D$26,IF(C138="Dublagem Cretone HM70",'Custos insumos'!$F$10,)))))))))))))</f>
        <v>0</v>
      </c>
      <c r="N138" s="30">
        <f>IF(B138="Texion Textil",0,IF(B138="Três Elos",0,IF(C138="Malha",0,IF(C138="Dublagem Cretone",'Custos insumos'!$D$23,IF(C138="Dublagem Spun",'Custos insumos'!$D$16,IF(C138="Espelhamento",0,IF(C138="Espelhamento 2x",0,IF(C138="Esp. + Pel.",0,IF(C138="Pel. + Spun",'Custos insumos'!$D$16,IF(C138="Dublagem Cretone PES",'Custos insumos'!$F$25,IF(C138="Dublagem Barreira",'Custos insumos'!$D$22,)))))))))))</f>
        <v>0</v>
      </c>
      <c r="O138" s="18"/>
      <c r="P138" s="53">
        <f t="shared" si="34"/>
        <v>0.30671021377672208</v>
      </c>
      <c r="Q138" s="50">
        <f t="shared" si="35"/>
        <v>252.6</v>
      </c>
      <c r="R138" s="50" cm="1">
        <f t="array" ref="R138">_xlfn.IFS(C138="Calandra",(350),C138="Peletização",(421),C138="Dublagem Spun",(250),C138="Dublagem Cretone PES",(180),C138="Felpagem",(270/E138),C138="Emborrachamento",(200),C138="Espelhamento",(250),C138="Malha",(1),C138="Dublagem Cretone",(180),C138="Malha",(1),C138="Dublagem Spun - MO",250,C138="Dublagem Cretone - MO",180,C138="Dublagem Cretone PES - MO",180,C138="Espelhamento - MO",250,C138="Emborrachamento",100,C138="Malha",0,C138="Dublagem Barreira",100,C138="Pel. + Cal.",350,C138="Fel. + Pel. + Cal.",270,C138="Pel. + Spun",250,C138="Espelhamento - L: 1,45m",200,C138="Espelhamento - L: 1,65m",200,C138="Estampagem",100,C138="Fel. + Cal.",270,C138="Dublagem Juta",180,C138="Dublagem Cretone - MO (Juta)",180,C138="Dublagem Tapete",150,C138="Esp. + Pel.",200,C138="Espelhamento 2x",100)</f>
        <v>421</v>
      </c>
      <c r="S138" s="50">
        <f t="shared" si="36"/>
        <v>175.125</v>
      </c>
      <c r="T138" s="18" cm="1">
        <f t="array" ref="T138">_xlfn.IFS(C138="Calandra",0.4,C138="Felpagem",0.3,C138="Dublagem Spun",0.8,C138="Dublagem Cretone",0.8,C138="Dublagem Cretone PES",0.8,C138="Espelhamento",0.8,C138="Peletização",0.5,C138="Dublagem Spun - MO",0.8,C138="Dublagem Cretone - MO",0.8,C138="Dublagem Cretone PES - MO",0.8,C138="Espelhamento - MO",0.8,C138="Emborrachamento",1,C138="Malha",0,C138="Dublagem Barreira",1,C138="Pel. + Cal.",0.4,C138="Fel. + Pel. + Cal.",0.5,C138="Pel. + Spun",0.8,C138="Espelhamento - L: 1,45m",0.8,C138="Espelhamento - L: 1,65m",0.8,C138="Estampagem",1,C138="Fel. + Cal.",0.4,C138="Dublagem Juta",0.8,C138="Dublagem Cretone - MO (Juta)",0.8,C138="Dublagem Tapete",0.8,C138="Esp. + Pel.",0.8,C138="Espelhamento 2x",0.8)</f>
        <v>0.5</v>
      </c>
      <c r="U138" s="18">
        <v>1</v>
      </c>
      <c r="V138" s="18">
        <v>1</v>
      </c>
      <c r="W138" s="18"/>
      <c r="X138" s="18">
        <v>39.67</v>
      </c>
      <c r="Y138" s="18">
        <v>38.51</v>
      </c>
      <c r="Z138" s="18">
        <v>116.78</v>
      </c>
      <c r="AA138" s="18"/>
    </row>
    <row r="139" spans="1:27" ht="14.25" customHeight="1" x14ac:dyDescent="0.35">
      <c r="A139" s="18"/>
      <c r="B139" s="22" t="s">
        <v>206</v>
      </c>
      <c r="C139" s="23" t="s">
        <v>260</v>
      </c>
      <c r="D139" s="23"/>
      <c r="E139" s="24">
        <v>1</v>
      </c>
      <c r="F139" s="25">
        <v>1.1499999999999999</v>
      </c>
      <c r="G139" s="25">
        <f>F139</f>
        <v>1.1499999999999999</v>
      </c>
      <c r="H139" s="26" t="s">
        <v>243</v>
      </c>
      <c r="I139" s="27">
        <f t="shared" si="56"/>
        <v>1.1499999999999999</v>
      </c>
      <c r="J139" s="28">
        <v>45663</v>
      </c>
      <c r="K139" s="29" t="s">
        <v>307</v>
      </c>
      <c r="L139" s="30">
        <f t="shared" si="55"/>
        <v>1.1499999999999999</v>
      </c>
      <c r="M139" s="30">
        <f>IF(B139="Texion Textil",0,IF(C139="Malha",'Custos insumos'!$B$24,IF(C139="Dublagem Cretone",'Custos insumos'!$D$7,IF(C139="Dublagem Spun",'Custos insumos'!$D$4,IF(C139="Espelhamento",'Custos insumos'!$B$11,IF(C139="Espelhamento 2x",2*'Custos insumos'!$B$11,IF(C139="Esp. + Pel.",'Custos insumos'!$B$11,IF(C139="Pel. + Spun",'Custos insumos'!$D$4,IF(C139="Dublagem Cretone PES",'Custos insumos'!$D$7,IF(C139="Dublagem Barreira",'Custos insumos'!$D$11,IF(C139="Dublagem - MO + Filme",'Custos insumos'!$D$4,IF(C139="Dublagem Cretone HM50",'Custos insumos'!$D$26,IF(C139="Dublagem Cretone HM70",'Custos insumos'!$F$10,)))))))))))))</f>
        <v>0</v>
      </c>
      <c r="N139" s="30">
        <f>IF(B139="Texion Textil",0,IF(B139="Três Elos",0,IF(C139="Malha",0,IF(C139="Dublagem Cretone",'Custos insumos'!$D$23,IF(C139="Dublagem Spun",'Custos insumos'!$D$16,IF(C139="Espelhamento",0,IF(C139="Espelhamento 2x",0,IF(C139="Esp. + Pel.",0,IF(C139="Pel. + Spun",'Custos insumos'!$D$16,IF(C139="Dublagem Cretone PES",'Custos insumos'!$F$25,IF(C139="Dublagem Barreira",'Custos insumos'!$D$22,)))))))))))</f>
        <v>0</v>
      </c>
      <c r="O139" s="18"/>
      <c r="P139" s="53">
        <f t="shared" ref="P139:P140" si="57">(Q139-S139)/Q139</f>
        <v>0.34947478260869563</v>
      </c>
      <c r="Q139" s="50">
        <f t="shared" ref="Q139:Q140" si="58">G139*R139</f>
        <v>287.5</v>
      </c>
      <c r="R139" s="50" cm="1">
        <f t="array" ref="R139">_xlfn.IFS(C139="Calandra",(350),C139="Peletização",(421),C139="Dublagem Spun",(250),C139="Dublagem Cretone PES",(180),C139="Felpagem",(270/E139),C139="Emborrachamento",(200),C139="Espelhamento",(250),C139="Malha",(1),C139="Dublagem Cretone",(180),C139="Malha",(1),C139="Dublagem Spun - MO",250,C139="Dublagem Cretone - MO",180,C139="Dublagem Cretone PES - MO",180,C139="Espelhamento - MO",250,C139="Emborrachamento",100,C139="Malha",0,C139="Dublagem Barreira",100,C139="Pel. + Cal.",350,C139="Fel. + Pel. + Cal.",270,C139="Pel. + Spun",250,C139="Espelhamento - L: 1,45m",200,C139="Espelhamento - L: 1,65m",200,C139="Estampagem",100,C139="Fel. + Cal.",270,C139="Dublagem Juta",180,C139="Dublagem Cretone - MO (Juta)",180,C139="Dublagem Tapete",150,C139="Esp. + Pel.",200,C139="Espelhamento 2x",100)</f>
        <v>250</v>
      </c>
      <c r="S139" s="50">
        <f t="shared" ref="S139:S140" si="59">(T139*X139)+(U139*Y139)+(V139*Z139)+((M139+N139)*(R139))</f>
        <v>187.02600000000001</v>
      </c>
      <c r="T139" s="18" cm="1">
        <f t="array" ref="T139">_xlfn.IFS(C139="Calandra",0.4,C139="Felpagem",0.3,C139="Dublagem Spun",0.8,C139="Dublagem Cretone",0.8,C139="Dublagem Cretone PES",0.8,C139="Espelhamento",0.8,C139="Peletização",0.5,C139="Dublagem Spun - MO",0.8,C139="Dublagem Cretone - MO",0.8,C139="Dublagem Cretone PES - MO",0.8,C139="Espelhamento - MO",0.8,C139="Emborrachamento",1,C139="Malha",0,C139="Dublagem Barreira",1,C139="Pel. + Cal.",0.4,C139="Fel. + Pel. + Cal.",0.5,C139="Pel. + Spun",0.8,C139="Espelhamento - L: 1,45m",0.8,C139="Espelhamento - L: 1,65m",0.8,C139="Estampagem",1,C139="Fel. + Cal.",0.4,C139="Dublagem Juta",0.8,C139="Dublagem Cretone - MO (Juta)",0.8,C139="Dublagem Tapete",0.8,C139="Esp. + Pel.",0.8,C139="Espelhamento 2x",0.8)</f>
        <v>0.8</v>
      </c>
      <c r="U139" s="18">
        <v>1</v>
      </c>
      <c r="V139" s="18">
        <v>1</v>
      </c>
      <c r="W139" s="18"/>
      <c r="X139" s="18">
        <v>39.67</v>
      </c>
      <c r="Y139" s="18">
        <v>38.51</v>
      </c>
      <c r="Z139" s="18">
        <v>116.78</v>
      </c>
      <c r="AA139" s="18"/>
    </row>
    <row r="140" spans="1:27" ht="14.25" customHeight="1" x14ac:dyDescent="0.35">
      <c r="A140" s="18"/>
      <c r="B140" s="22" t="s">
        <v>206</v>
      </c>
      <c r="C140" s="23" t="s">
        <v>98</v>
      </c>
      <c r="D140" s="23" t="s">
        <v>428</v>
      </c>
      <c r="E140" s="24">
        <v>1</v>
      </c>
      <c r="F140" s="25">
        <v>1.1499999999999999</v>
      </c>
      <c r="G140" s="25">
        <v>3.55</v>
      </c>
      <c r="H140" s="26" t="s">
        <v>243</v>
      </c>
      <c r="I140" s="27">
        <f t="shared" si="56"/>
        <v>3.55</v>
      </c>
      <c r="J140" s="28">
        <v>45663</v>
      </c>
      <c r="K140" s="29" t="s">
        <v>307</v>
      </c>
      <c r="L140" s="30">
        <f t="shared" si="55"/>
        <v>2.1112000000000002</v>
      </c>
      <c r="M140" s="30">
        <v>0.73080000000000001</v>
      </c>
      <c r="N140" s="30">
        <v>0.70799999999999996</v>
      </c>
      <c r="O140" s="18"/>
      <c r="P140" s="53" t="e">
        <f t="shared" si="57"/>
        <v>#N/A</v>
      </c>
      <c r="Q140" s="50" t="e">
        <f t="shared" si="58"/>
        <v>#N/A</v>
      </c>
      <c r="R140" s="50" t="e" cm="1">
        <f t="array" ref="R140">_xlfn.IFS(C140="Calandra",(350),C140="Peletização",(421),C140="Dublagem Spun",(250),C140="Dublagem Cretone PES",(180),C140="Felpagem",(270/E140),C140="Emborrachamento",(200),C140="Espelhamento",(250),C140="Malha",(1),C140="Dublagem Cretone",(180),C140="Malha",(1),C140="Dublagem Spun - MO",250,C140="Dublagem Cretone - MO",180,C140="Dublagem Cretone PES - MO",180,C140="Espelhamento - MO",250,C140="Emborrachamento",100,C140="Malha",0,C140="Dublagem Barreira",100,C140="Pel. + Cal.",350,C140="Fel. + Pel. + Cal.",270,C140="Pel. + Spun",250,C140="Espelhamento - L: 1,45m",200,C140="Espelhamento - L: 1,65m",200,C140="Estampagem",100,C140="Fel. + Cal.",270,C140="Dublagem Juta",180,C140="Dublagem Cretone - MO (Juta)",180,C140="Dublagem Tapete",150,C140="Esp. + Pel.",200,C140="Espelhamento 2x",100)</f>
        <v>#N/A</v>
      </c>
      <c r="S140" s="50" t="e">
        <f t="shared" si="59"/>
        <v>#N/A</v>
      </c>
      <c r="T140" s="18" t="e" cm="1">
        <f t="array" ref="T140">_xlfn.IFS(C140="Calandra",0.4,C140="Felpagem",0.3,C140="Dublagem Spun",0.8,C140="Dublagem Cretone",0.8,C140="Dublagem Cretone PES",0.8,C140="Espelhamento",0.8,C140="Peletização",0.5,C140="Dublagem Spun - MO",0.8,C140="Dublagem Cretone - MO",0.8,C140="Dublagem Cretone PES - MO",0.8,C140="Espelhamento - MO",0.8,C140="Emborrachamento",1,C140="Malha",0,C140="Dublagem Barreira",1,C140="Pel. + Cal.",0.4,C140="Fel. + Pel. + Cal.",0.5,C140="Pel. + Spun",0.8,C140="Espelhamento - L: 1,45m",0.8,C140="Espelhamento - L: 1,65m",0.8,C140="Estampagem",1,C140="Fel. + Cal.",0.4,C140="Dublagem Juta",0.8,C140="Dublagem Cretone - MO (Juta)",0.8,C140="Dublagem Tapete",0.8,C140="Esp. + Pel.",0.8,C140="Espelhamento 2x",0.8)</f>
        <v>#N/A</v>
      </c>
      <c r="U140" s="18">
        <v>1</v>
      </c>
      <c r="V140" s="18">
        <v>1</v>
      </c>
      <c r="W140" s="18"/>
      <c r="X140" s="18">
        <v>39.67</v>
      </c>
      <c r="Y140" s="18">
        <v>38.51</v>
      </c>
      <c r="Z140" s="18">
        <v>116.78</v>
      </c>
      <c r="AA140" s="18"/>
    </row>
    <row r="141" spans="1:27" ht="14.25" customHeight="1" x14ac:dyDescent="0.35">
      <c r="A141" s="18"/>
      <c r="B141" s="22" t="s">
        <v>206</v>
      </c>
      <c r="C141" s="23" t="s">
        <v>98</v>
      </c>
      <c r="D141" s="23"/>
      <c r="E141" s="24">
        <v>1</v>
      </c>
      <c r="F141" s="25">
        <v>1.1499999999999999</v>
      </c>
      <c r="G141" s="25">
        <v>4.5</v>
      </c>
      <c r="H141" s="26" t="s">
        <v>243</v>
      </c>
      <c r="I141" s="27">
        <f t="shared" si="56"/>
        <v>4.5</v>
      </c>
      <c r="J141" s="28">
        <v>45663</v>
      </c>
      <c r="K141" s="29" t="s">
        <v>307</v>
      </c>
      <c r="L141" s="30">
        <f t="shared" si="55"/>
        <v>3.1210800000000001</v>
      </c>
      <c r="M141" s="30">
        <f>'Custos insumos'!N3</f>
        <v>0.6611999999999999</v>
      </c>
      <c r="N141" s="30">
        <v>0.71771999999999991</v>
      </c>
      <c r="O141" s="18"/>
      <c r="P141" s="53" t="e">
        <f t="shared" si="34"/>
        <v>#N/A</v>
      </c>
      <c r="Q141" s="50" t="e">
        <f t="shared" si="35"/>
        <v>#N/A</v>
      </c>
      <c r="R141" s="50" t="e" cm="1">
        <f t="array" ref="R141">_xlfn.IFS(C141="Calandra",(350),C141="Peletização",(421),C141="Dublagem Spun",(250),C141="Dublagem Cretone PES",(180),C141="Felpagem",(270/E141),C141="Emborrachamento",(200),C141="Espelhamento",(250),C141="Malha",(1),C141="Dublagem Cretone",(180),C141="Malha",(1),C141="Dublagem Spun - MO",250,C141="Dublagem Cretone - MO",180,C141="Dublagem Cretone PES - MO",180,C141="Espelhamento - MO",250,C141="Emborrachamento",100,C141="Malha",0,C141="Dublagem Barreira",100,C141="Pel. + Cal.",350,C141="Fel. + Pel. + Cal.",270,C141="Pel. + Spun",250,C141="Espelhamento - L: 1,45m",200,C141="Espelhamento - L: 1,65m",200,C141="Estampagem",100,C141="Fel. + Cal.",270,C141="Dublagem Juta",180,C141="Dublagem Cretone - MO (Juta)",180,C141="Dublagem Tapete",150,C141="Esp. + Pel.",200,C141="Espelhamento 2x",100)</f>
        <v>#N/A</v>
      </c>
      <c r="S141" s="50" t="e">
        <f t="shared" si="36"/>
        <v>#N/A</v>
      </c>
      <c r="T141" s="18" t="e" cm="1">
        <f t="array" ref="T141">_xlfn.IFS(C141="Calandra",0.4,C141="Felpagem",0.3,C141="Dublagem Spun",0.8,C141="Dublagem Cretone",0.8,C141="Dublagem Cretone PES",0.8,C141="Espelhamento",0.8,C141="Peletização",0.5,C141="Dublagem Spun - MO",0.8,C141="Dublagem Cretone - MO",0.8,C141="Dublagem Cretone PES - MO",0.8,C141="Espelhamento - MO",0.8,C141="Emborrachamento",1,C141="Malha",0,C141="Dublagem Barreira",1,C141="Pel. + Cal.",0.4,C141="Fel. + Pel. + Cal.",0.5,C141="Pel. + Spun",0.8,C141="Espelhamento - L: 1,45m",0.8,C141="Espelhamento - L: 1,65m",0.8,C141="Estampagem",1,C141="Fel. + Cal.",0.4,C141="Dublagem Juta",0.8,C141="Dublagem Cretone - MO (Juta)",0.8,C141="Dublagem Tapete",0.8,C141="Esp. + Pel.",0.8,C141="Espelhamento 2x",0.8)</f>
        <v>#N/A</v>
      </c>
      <c r="U141" s="18">
        <v>1</v>
      </c>
      <c r="V141" s="18">
        <v>1</v>
      </c>
      <c r="W141" s="18"/>
      <c r="X141" s="18">
        <v>39.67</v>
      </c>
      <c r="Y141" s="18">
        <v>38.51</v>
      </c>
      <c r="Z141" s="18">
        <v>116.78</v>
      </c>
      <c r="AA141" s="18"/>
    </row>
    <row r="142" spans="1:27" ht="14.25" customHeight="1" x14ac:dyDescent="0.35">
      <c r="A142" s="18"/>
      <c r="B142" s="22" t="s">
        <v>206</v>
      </c>
      <c r="C142" s="23" t="s">
        <v>257</v>
      </c>
      <c r="D142" s="23"/>
      <c r="E142" s="24">
        <v>1</v>
      </c>
      <c r="F142" s="25">
        <v>1.1499999999999999</v>
      </c>
      <c r="G142" s="25">
        <f t="shared" ref="G142:G151" si="60">F142</f>
        <v>1.1499999999999999</v>
      </c>
      <c r="H142" s="26" t="s">
        <v>243</v>
      </c>
      <c r="I142" s="27">
        <f t="shared" si="56"/>
        <v>1.1499999999999999</v>
      </c>
      <c r="J142" s="28">
        <v>45663</v>
      </c>
      <c r="K142" s="29" t="s">
        <v>307</v>
      </c>
      <c r="L142" s="30">
        <f t="shared" si="55"/>
        <v>1.1499999999999999</v>
      </c>
      <c r="M142" s="30">
        <f>IF(B142="Texion Textil",0,IF(C142="Malha",'Custos insumos'!$B$24,IF(C142="Dublagem Cretone",'Custos insumos'!$D$7,IF(C142="Dublagem Spun",'Custos insumos'!$D$4,IF(C142="Espelhamento",'Custos insumos'!$B$11,IF(C142="Espelhamento 2x",2*'Custos insumos'!$B$11,IF(C142="Esp. + Pel.",'Custos insumos'!$B$11,IF(C142="Pel. + Spun",'Custos insumos'!$D$4,IF(C142="Dublagem Cretone PES",'Custos insumos'!$D$7,IF(C142="Dublagem Barreira",'Custos insumos'!$D$11,IF(C142="Dublagem - MO + Filme",'Custos insumos'!$D$4,IF(C142="Dublagem Cretone HM50",'Custos insumos'!$D$26,IF(C142="Dublagem Cretone HM70",'Custos insumos'!$F$10,)))))))))))))</f>
        <v>0</v>
      </c>
      <c r="N142" s="30">
        <f>IF(B142="Texion Textil",0,IF(B142="Três Elos",0,IF(C142="Malha",0,IF(C142="Dublagem Cretone",'Custos insumos'!$D$23,IF(C142="Dublagem Spun",'Custos insumos'!$D$16,IF(C142="Espelhamento",0,IF(C142="Espelhamento 2x",0,IF(C142="Esp. + Pel.",0,IF(C142="Pel. + Spun",'Custos insumos'!$D$16,IF(C142="Dublagem Cretone PES",'Custos insumos'!$F$25,IF(C142="Dublagem Barreira",'Custos insumos'!$D$22,)))))))))))</f>
        <v>0</v>
      </c>
      <c r="O142" s="18"/>
      <c r="P142" s="53">
        <f t="shared" si="34"/>
        <v>0.34947478260869563</v>
      </c>
      <c r="Q142" s="50">
        <f t="shared" si="35"/>
        <v>287.5</v>
      </c>
      <c r="R142" s="50" cm="1">
        <f t="array" ref="R142">_xlfn.IFS(C142="Calandra",(350),C142="Peletização",(421),C142="Dublagem Spun",(250),C142="Dublagem Cretone PES",(180),C142="Felpagem",(270/E142),C142="Emborrachamento",(200),C142="Espelhamento",(250),C142="Malha",(1),C142="Dublagem Cretone",(180),C142="Malha",(1),C142="Dublagem Spun - MO",250,C142="Dublagem Cretone - MO",180,C142="Dublagem Cretone PES - MO",180,C142="Espelhamento - MO",250,C142="Emborrachamento",100,C142="Malha",0,C142="Dublagem Barreira",100,C142="Pel. + Cal.",350,C142="Fel. + Pel. + Cal.",270,C142="Pel. + Spun",250,C142="Espelhamento - L: 1,45m",200,C142="Espelhamento - L: 1,65m",200,C142="Estampagem",100,C142="Fel. + Cal.",270,C142="Dublagem Juta",180,C142="Dublagem Cretone - MO (Juta)",180,C142="Dublagem Tapete",150,C142="Esp. + Pel.",200,C142="Espelhamento 2x",100)</f>
        <v>250</v>
      </c>
      <c r="S142" s="50">
        <f t="shared" si="36"/>
        <v>187.02600000000001</v>
      </c>
      <c r="T142" s="18" cm="1">
        <f t="array" ref="T142">_xlfn.IFS(C142="Calandra",0.4,C142="Felpagem",0.3,C142="Dublagem Spun",0.8,C142="Dublagem Cretone",0.8,C142="Dublagem Cretone PES",0.8,C142="Espelhamento",0.8,C142="Peletização",0.5,C142="Dublagem Spun - MO",0.8,C142="Dublagem Cretone - MO",0.8,C142="Dublagem Cretone PES - MO",0.8,C142="Espelhamento - MO",0.8,C142="Emborrachamento",1,C142="Malha",0,C142="Dublagem Barreira",1,C142="Pel. + Cal.",0.4,C142="Fel. + Pel. + Cal.",0.5,C142="Pel. + Spun",0.8,C142="Espelhamento - L: 1,45m",0.8,C142="Espelhamento - L: 1,65m",0.8,C142="Estampagem",1,C142="Fel. + Cal.",0.4,C142="Dublagem Juta",0.8,C142="Dublagem Cretone - MO (Juta)",0.8,C142="Dublagem Tapete",0.8,C142="Esp. + Pel.",0.8,C142="Espelhamento 2x",0.8)</f>
        <v>0.8</v>
      </c>
      <c r="U142" s="18">
        <v>1</v>
      </c>
      <c r="V142" s="18">
        <v>1</v>
      </c>
      <c r="W142" s="18"/>
      <c r="X142" s="18">
        <v>39.67</v>
      </c>
      <c r="Y142" s="18">
        <v>38.51</v>
      </c>
      <c r="Z142" s="18">
        <v>116.78</v>
      </c>
      <c r="AA142" s="18"/>
    </row>
    <row r="143" spans="1:27" ht="14.25" customHeight="1" x14ac:dyDescent="0.35">
      <c r="A143" s="18"/>
      <c r="B143" s="22" t="s">
        <v>206</v>
      </c>
      <c r="C143" s="23" t="s">
        <v>106</v>
      </c>
      <c r="D143" s="23"/>
      <c r="E143" s="24">
        <v>1</v>
      </c>
      <c r="F143" s="25">
        <v>2.4</v>
      </c>
      <c r="G143" s="25">
        <f t="shared" si="60"/>
        <v>2.4</v>
      </c>
      <c r="H143" s="26" t="s">
        <v>243</v>
      </c>
      <c r="I143" s="27">
        <f t="shared" si="56"/>
        <v>2.4</v>
      </c>
      <c r="J143" s="28">
        <v>45663</v>
      </c>
      <c r="K143" s="29"/>
      <c r="L143" s="30">
        <f t="shared" si="55"/>
        <v>1.3414997101449273</v>
      </c>
      <c r="M143" s="30">
        <f>IF(B143="Texion Textil",0,IF(C143="Malha",'Custos insumos'!$B$24,IF(C143="Dublagem Cretone",'Custos insumos'!$D$7,IF(C143="Dublagem Spun",'Custos insumos'!$D$4,IF(C143="Espelhamento",'Custos insumos'!$B$11,IF(C143="Espelhamento 2x",2*'Custos insumos'!$B$11,IF(C143="Esp. + Pel.",'Custos insumos'!$B$11,IF(C143="Pel. + Spun",'Custos insumos'!$D$4,IF(C143="Dublagem Cretone PES",'Custos insumos'!$D$7,IF(C143="Dublagem Barreira",'Custos insumos'!$D$11,IF(C143="Dublagem - MO + Filme",'Custos insumos'!$D$4,IF(C143="Dublagem Cretone HM50",'Custos insumos'!$D$26,IF(C143="Dublagem Cretone HM70",'Custos insumos'!$F$10,)))))))))))))</f>
        <v>1.0585002898550726</v>
      </c>
      <c r="N143" s="30">
        <f>IF(B143="Texion Textil",0,IF(B143="Três Elos",0,IF(C143="Malha",0,IF(C143="Dublagem Cretone",'Custos insumos'!$D$23,IF(C143="Dublagem Spun",'Custos insumos'!$D$16,IF(C143="Espelhamento",0,IF(C143="Espelhamento 2x",0,IF(C143="Esp. + Pel.",0,IF(C143="Pel. + Spun",'Custos insumos'!$D$16,IF(C143="Dublagem Cretone PES",'Custos insumos'!$F$25,IF(C143="Dublagem Barreira",'Custos insumos'!$D$22,)))))))))))</f>
        <v>0</v>
      </c>
      <c r="O143" s="18"/>
      <c r="P143" s="53">
        <f t="shared" si="34"/>
        <v>0.24724821256038637</v>
      </c>
      <c r="Q143" s="50">
        <f t="shared" si="35"/>
        <v>600</v>
      </c>
      <c r="R143" s="50" cm="1">
        <f t="array" ref="R143">_xlfn.IFS(C143="Calandra",(350),C143="Peletização",(421),C143="Dublagem Spun",(250),C143="Dublagem Cretone PES",(180),C143="Felpagem",(270/E143),C143="Emborrachamento",(200),C143="Espelhamento",(250),C143="Malha",(1),C143="Dublagem Cretone",(180),C143="Malha",(1),C143="Dublagem Spun - MO",250,C143="Dublagem Cretone - MO",180,C143="Dublagem Cretone PES - MO",180,C143="Espelhamento - MO",250,C143="Emborrachamento",100,C143="Malha",0,C143="Dublagem Barreira",100,C143="Pel. + Cal.",350,C143="Fel. + Pel. + Cal.",270,C143="Pel. + Spun",250,C143="Espelhamento - L: 1,45m",200,C143="Espelhamento - L: 1,65m",200,C143="Estampagem",100,C143="Fel. + Cal.",270,C143="Dublagem Juta",180,C143="Dublagem Cretone - MO (Juta)",180,C143="Dublagem Tapete",150,C143="Esp. + Pel.",200,C143="Espelhamento 2x",100)</f>
        <v>250</v>
      </c>
      <c r="S143" s="50">
        <f t="shared" si="36"/>
        <v>451.65107246376817</v>
      </c>
      <c r="T143" s="18" cm="1">
        <f t="array" ref="T143">_xlfn.IFS(C143="Calandra",0.4,C143="Felpagem",0.3,C143="Dublagem Spun",0.8,C143="Dublagem Cretone",0.8,C143="Dublagem Cretone PES",0.8,C143="Espelhamento",0.8,C143="Peletização",0.5,C143="Dublagem Spun - MO",0.8,C143="Dublagem Cretone - MO",0.8,C143="Dublagem Cretone PES - MO",0.8,C143="Espelhamento - MO",0.8,C143="Emborrachamento",1,C143="Malha",0,C143="Dublagem Barreira",1,C143="Pel. + Cal.",0.4,C143="Fel. + Pel. + Cal.",0.5,C143="Pel. + Spun",0.8,C143="Espelhamento - L: 1,45m",0.8,C143="Espelhamento - L: 1,65m",0.8,C143="Estampagem",1,C143="Fel. + Cal.",0.4,C143="Dublagem Juta",0.8,C143="Dublagem Cretone - MO (Juta)",0.8,C143="Dublagem Tapete",0.8,C143="Esp. + Pel.",0.8,C143="Espelhamento 2x",0.8)</f>
        <v>0.8</v>
      </c>
      <c r="U143" s="18">
        <v>1</v>
      </c>
      <c r="V143" s="18">
        <v>1</v>
      </c>
      <c r="W143" s="18"/>
      <c r="X143" s="18">
        <v>39.67</v>
      </c>
      <c r="Y143" s="18">
        <v>38.51</v>
      </c>
      <c r="Z143" s="18">
        <v>116.78</v>
      </c>
      <c r="AA143" s="18"/>
    </row>
    <row r="144" spans="1:27" ht="14.25" customHeight="1" x14ac:dyDescent="0.35">
      <c r="A144" s="18"/>
      <c r="B144" s="22" t="s">
        <v>206</v>
      </c>
      <c r="C144" s="23" t="s">
        <v>308</v>
      </c>
      <c r="D144" s="23"/>
      <c r="E144" s="24">
        <v>1</v>
      </c>
      <c r="F144" s="25">
        <f>(3.5*1.5*1.2)+1.8</f>
        <v>8.1</v>
      </c>
      <c r="G144" s="25">
        <f t="shared" si="60"/>
        <v>8.1</v>
      </c>
      <c r="H144" s="26" t="s">
        <v>243</v>
      </c>
      <c r="I144" s="27"/>
      <c r="J144" s="28">
        <v>45663</v>
      </c>
      <c r="K144" s="29"/>
      <c r="L144" s="30">
        <f t="shared" si="55"/>
        <v>8.1</v>
      </c>
      <c r="M144" s="30">
        <f>IF(B144="Texion Textil",0,IF(C144="Malha",'Custos insumos'!$B$24,IF(C144="Dublagem Cretone",'Custos insumos'!$D$7,IF(C144="Dublagem Spun",'Custos insumos'!$D$4,IF(C144="Espelhamento",'Custos insumos'!$B$11,IF(C144="Espelhamento 2x",2*'Custos insumos'!$B$11,IF(C144="Esp. + Pel.",'Custos insumos'!$B$11,IF(C144="Pel. + Spun",'Custos insumos'!$D$4,IF(C144="Dublagem Cretone PES",'Custos insumos'!$D$7,IF(C144="Dublagem Barreira",'Custos insumos'!$D$11,IF(C144="Dublagem - MO + Filme",'Custos insumos'!$D$4,IF(C144="Dublagem Cretone HM50",'Custos insumos'!$D$26,IF(C144="Dublagem Cretone HM70",'Custos insumos'!$F$10,)))))))))))))</f>
        <v>0</v>
      </c>
      <c r="N144" s="30"/>
      <c r="O144" s="18"/>
      <c r="P144" s="53" t="e">
        <f t="shared" si="34"/>
        <v>#N/A</v>
      </c>
      <c r="Q144" s="50" t="e">
        <f t="shared" si="35"/>
        <v>#N/A</v>
      </c>
      <c r="R144" s="50" t="e" cm="1">
        <f t="array" ref="R144">_xlfn.IFS(C144="Calandra",(350),C144="Peletização",(421),C144="Dublagem Spun",(250),C144="Dublagem Cretone PES",(180),C144="Felpagem",(270/E144),C144="Emborrachamento",(200),C144="Espelhamento",(250),C144="Malha",(1),C144="Dublagem Cretone",(180),C144="Malha",(1),C144="Dublagem Spun - MO",250,C144="Dublagem Cretone - MO",180,C144="Dublagem Cretone PES - MO",180,C144="Espelhamento - MO",250,C144="Emborrachamento",100,C144="Malha",0,C144="Dublagem Barreira",100,C144="Pel. + Cal.",350,C144="Fel. + Pel. + Cal.",270,C144="Pel. + Spun",250,C144="Espelhamento - L: 1,45m",200,C144="Espelhamento - L: 1,65m",200,C144="Estampagem",100,C144="Fel. + Cal.",270,C144="Dublagem Juta",180,C144="Dublagem Cretone - MO (Juta)",180,C144="Dublagem Tapete",150,C144="Esp. + Pel.",200,C144="Espelhamento 2x",100)</f>
        <v>#N/A</v>
      </c>
      <c r="S144" s="50" t="e">
        <f t="shared" si="36"/>
        <v>#N/A</v>
      </c>
      <c r="T144" s="18" t="e" cm="1">
        <f t="array" ref="T144">_xlfn.IFS(C144="Calandra",0.4,C144="Felpagem",0.3,C144="Dublagem Spun",0.8,C144="Dublagem Cretone",0.8,C144="Dublagem Cretone PES",0.8,C144="Espelhamento",0.8,C144="Peletização",0.5,C144="Dublagem Spun - MO",0.8,C144="Dublagem Cretone - MO",0.8,C144="Dublagem Cretone PES - MO",0.8,C144="Espelhamento - MO",0.8,C144="Emborrachamento",1,C144="Malha",0,C144="Dublagem Barreira",1,C144="Pel. + Cal.",0.4,C144="Fel. + Pel. + Cal.",0.5,C144="Pel. + Spun",0.8,C144="Espelhamento - L: 1,45m",0.8,C144="Espelhamento - L: 1,65m",0.8,C144="Estampagem",1,C144="Fel. + Cal.",0.4,C144="Dublagem Juta",0.8,C144="Dublagem Cretone - MO (Juta)",0.8,C144="Dublagem Tapete",0.8,C144="Esp. + Pel.",0.8,C144="Espelhamento 2x",0.8)</f>
        <v>#N/A</v>
      </c>
      <c r="U144" s="18">
        <v>1</v>
      </c>
      <c r="V144" s="18">
        <v>1</v>
      </c>
      <c r="W144" s="18"/>
      <c r="X144" s="18">
        <v>39.67</v>
      </c>
      <c r="Y144" s="18">
        <v>38.51</v>
      </c>
      <c r="Z144" s="18">
        <v>116.78</v>
      </c>
      <c r="AA144" s="18"/>
    </row>
    <row r="145" spans="1:27" ht="14.25" customHeight="1" x14ac:dyDescent="0.35">
      <c r="A145" s="18"/>
      <c r="B145" s="22" t="s">
        <v>309</v>
      </c>
      <c r="C145" s="23" t="s">
        <v>254</v>
      </c>
      <c r="D145" s="23"/>
      <c r="E145" s="24">
        <v>1</v>
      </c>
      <c r="F145" s="27">
        <v>0.8</v>
      </c>
      <c r="G145" s="25">
        <f t="shared" si="60"/>
        <v>0.8</v>
      </c>
      <c r="H145" s="26"/>
      <c r="I145" s="27"/>
      <c r="J145" s="28">
        <v>45663</v>
      </c>
      <c r="K145" s="29"/>
      <c r="L145" s="30">
        <f t="shared" ref="L145:L176" si="61">G145-M145-N145</f>
        <v>0.8</v>
      </c>
      <c r="M145" s="30">
        <f>IF(B145="Texion Textil",0,IF(C145="Malha",'Custos insumos'!$B$24,IF(C145="Dublagem Cretone",'Custos insumos'!$D$7,IF(C145="Dublagem Spun",'Custos insumos'!$D$4,IF(C145="Espelhamento",'Custos insumos'!$B$11,IF(C145="Espelhamento 2x",2*'Custos insumos'!$B$11,IF(C145="Esp. + Pel.",'Custos insumos'!$B$11,IF(C145="Pel. + Spun",'Custos insumos'!$D$4,IF(C145="Dublagem Cretone PES",'Custos insumos'!$D$7,IF(C145="Dublagem Barreira",'Custos insumos'!$D$11,IF(C145="Dublagem - MO + Filme",'Custos insumos'!$D$4,IF(C145="Dublagem Cretone HM50",'Custos insumos'!$D$26,IF(C145="Dublagem Cretone HM70",'Custos insumos'!$F$10,)))))))))))))</f>
        <v>0</v>
      </c>
      <c r="N145" s="30">
        <f>IF(B145="Texion Textil",0,IF(B145="Três Elos",0,IF(C145="Malha",0,IF(C145="Dublagem Cretone",'Custos insumos'!$D$23,IF(C145="Dublagem Spun",'Custos insumos'!$D$16,IF(C145="Espelhamento",0,IF(C145="Espelhamento 2x",0,IF(C145="Esp. + Pel.",0,IF(C145="Pel. + Spun",'Custos insumos'!$D$16,IF(C145="Dublagem Cretone PES",'Custos insumos'!$F$25,IF(C145="Dublagem Barreira",'Custos insumos'!$D$22,)))))))))))</f>
        <v>0</v>
      </c>
      <c r="O145" s="18"/>
      <c r="P145" s="53">
        <f t="shared" si="34"/>
        <v>0.22596759259259258</v>
      </c>
      <c r="Q145" s="50">
        <f t="shared" si="35"/>
        <v>216</v>
      </c>
      <c r="R145" s="50" cm="1">
        <f t="array" ref="R145">_xlfn.IFS(C145="Calandra",(350),C145="Peletização",(421),C145="Dublagem Spun",(250),C145="Dublagem Cretone PES",(180),C145="Felpagem",(270/E145),C145="Emborrachamento",(200),C145="Espelhamento",(250),C145="Malha",(1),C145="Dublagem Cretone",(180),C145="Malha",(1),C145="Dublagem Spun - MO",250,C145="Dublagem Cretone - MO",180,C145="Dublagem Cretone PES - MO",180,C145="Espelhamento - MO",250,C145="Emborrachamento",100,C145="Malha",0,C145="Dublagem Barreira",100,C145="Pel. + Cal.",350,C145="Fel. + Pel. + Cal.",270,C145="Pel. + Spun",250,C145="Espelhamento - L: 1,45m",200,C145="Espelhamento - L: 1,65m",200,C145="Estampagem",100,C145="Fel. + Cal.",270,C145="Dublagem Juta",180,C145="Dublagem Cretone - MO (Juta)",180,C145="Dublagem Tapete",150,C145="Esp. + Pel.",200,C145="Espelhamento 2x",100)</f>
        <v>270</v>
      </c>
      <c r="S145" s="50">
        <f t="shared" si="36"/>
        <v>167.191</v>
      </c>
      <c r="T145" s="18" cm="1">
        <f t="array" ref="T145">_xlfn.IFS(C145="Calandra",0.4,C145="Felpagem",0.3,C145="Dublagem Spun",0.8,C145="Dublagem Cretone",0.8,C145="Dublagem Cretone PES",0.8,C145="Espelhamento",0.8,C145="Peletização",0.5,C145="Dublagem Spun - MO",0.8,C145="Dublagem Cretone - MO",0.8,C145="Dublagem Cretone PES - MO",0.8,C145="Espelhamento - MO",0.8,C145="Emborrachamento",1,C145="Malha",0,C145="Dublagem Barreira",1,C145="Pel. + Cal.",0.4,C145="Fel. + Pel. + Cal.",0.5,C145="Pel. + Spun",0.8,C145="Espelhamento - L: 1,45m",0.8,C145="Espelhamento - L: 1,65m",0.8,C145="Estampagem",1,C145="Fel. + Cal.",0.4,C145="Dublagem Juta",0.8,C145="Dublagem Cretone - MO (Juta)",0.8,C145="Dublagem Tapete",0.8,C145="Esp. + Pel.",0.8,C145="Espelhamento 2x",0.8)</f>
        <v>0.3</v>
      </c>
      <c r="U145" s="18">
        <v>1</v>
      </c>
      <c r="V145" s="18">
        <v>1</v>
      </c>
      <c r="W145" s="18"/>
      <c r="X145" s="18">
        <v>39.67</v>
      </c>
      <c r="Y145" s="18">
        <v>38.51</v>
      </c>
      <c r="Z145" s="18">
        <v>116.78</v>
      </c>
      <c r="AA145" s="18"/>
    </row>
    <row r="146" spans="1:27" ht="14.25" customHeight="1" x14ac:dyDescent="0.35">
      <c r="A146" s="18"/>
      <c r="B146" s="22" t="s">
        <v>309</v>
      </c>
      <c r="C146" s="23" t="s">
        <v>144</v>
      </c>
      <c r="D146" s="23"/>
      <c r="E146" s="24">
        <v>1</v>
      </c>
      <c r="F146" s="27">
        <v>0.7</v>
      </c>
      <c r="G146" s="25">
        <f t="shared" si="60"/>
        <v>0.7</v>
      </c>
      <c r="H146" s="26"/>
      <c r="I146" s="27"/>
      <c r="J146" s="28">
        <v>45663</v>
      </c>
      <c r="K146" s="29"/>
      <c r="L146" s="30">
        <f t="shared" si="61"/>
        <v>0.7</v>
      </c>
      <c r="M146" s="30">
        <f>IF(B146="Texion Textil",0,IF(C146="Malha",'Custos insumos'!$B$24,IF(C146="Dublagem Cretone",'Custos insumos'!$D$7,IF(C146="Dublagem Spun",'Custos insumos'!$D$4,IF(C146="Espelhamento",'Custos insumos'!$B$11,IF(C146="Espelhamento 2x",2*'Custos insumos'!$B$11,IF(C146="Esp. + Pel.",'Custos insumos'!$B$11,IF(C146="Pel. + Spun",'Custos insumos'!$D$4,IF(C146="Dublagem Cretone PES",'Custos insumos'!$D$7,IF(C146="Dublagem Barreira",'Custos insumos'!$D$11,IF(C146="Dublagem - MO + Filme",'Custos insumos'!$D$4,IF(C146="Dublagem Cretone HM50",'Custos insumos'!$D$26,IF(C146="Dublagem Cretone HM70",'Custos insumos'!$F$10,)))))))))))))</f>
        <v>0</v>
      </c>
      <c r="N146" s="30">
        <f>IF(B146="Texion Textil",0,IF(B146="Três Elos",0,IF(C146="Malha",0,IF(C146="Dublagem Cretone",'Custos insumos'!$D$23,IF(C146="Dublagem Spun",'Custos insumos'!$D$16,IF(C146="Espelhamento",0,IF(C146="Espelhamento 2x",0,IF(C146="Esp. + Pel.",0,IF(C146="Pel. + Spun",'Custos insumos'!$D$16,IF(C146="Dublagem Cretone PES",'Custos insumos'!$F$25,IF(C146="Dublagem Barreira",'Custos insumos'!$D$22,)))))))))))</f>
        <v>0</v>
      </c>
      <c r="O146" s="18"/>
      <c r="P146" s="53">
        <f t="shared" si="34"/>
        <v>0.40575161180861891</v>
      </c>
      <c r="Q146" s="50">
        <f t="shared" si="35"/>
        <v>294.7</v>
      </c>
      <c r="R146" s="50" cm="1">
        <f t="array" ref="R146">_xlfn.IFS(C146="Calandra",(350),C146="Peletização",(421),C146="Dublagem Spun",(250),C146="Dublagem Cretone PES",(180),C146="Felpagem",(270/E146),C146="Emborrachamento",(200),C146="Espelhamento",(250),C146="Malha",(1),C146="Dublagem Cretone",(180),C146="Malha",(1),C146="Dublagem Spun - MO",250,C146="Dublagem Cretone - MO",180,C146="Dublagem Cretone PES - MO",180,C146="Espelhamento - MO",250,C146="Emborrachamento",100,C146="Malha",0,C146="Dublagem Barreira",100,C146="Pel. + Cal.",350,C146="Fel. + Pel. + Cal.",270,C146="Pel. + Spun",250,C146="Espelhamento - L: 1,45m",200,C146="Espelhamento - L: 1,65m",200,C146="Estampagem",100,C146="Fel. + Cal.",270,C146="Dublagem Juta",180,C146="Dublagem Cretone - MO (Juta)",180,C146="Dublagem Tapete",150,C146="Esp. + Pel.",200,C146="Espelhamento 2x",100)</f>
        <v>421</v>
      </c>
      <c r="S146" s="50">
        <f t="shared" si="36"/>
        <v>175.125</v>
      </c>
      <c r="T146" s="18" cm="1">
        <f t="array" ref="T146">_xlfn.IFS(C146="Calandra",0.4,C146="Felpagem",0.3,C146="Dublagem Spun",0.8,C146="Dublagem Cretone",0.8,C146="Dublagem Cretone PES",0.8,C146="Espelhamento",0.8,C146="Peletização",0.5,C146="Dublagem Spun - MO",0.8,C146="Dublagem Cretone - MO",0.8,C146="Dublagem Cretone PES - MO",0.8,C146="Espelhamento - MO",0.8,C146="Emborrachamento",1,C146="Malha",0,C146="Dublagem Barreira",1,C146="Pel. + Cal.",0.4,C146="Fel. + Pel. + Cal.",0.5,C146="Pel. + Spun",0.8,C146="Espelhamento - L: 1,45m",0.8,C146="Espelhamento - L: 1,65m",0.8,C146="Estampagem",1,C146="Fel. + Cal.",0.4,C146="Dublagem Juta",0.8,C146="Dublagem Cretone - MO (Juta)",0.8,C146="Dublagem Tapete",0.8,C146="Esp. + Pel.",0.8,C146="Espelhamento 2x",0.8)</f>
        <v>0.5</v>
      </c>
      <c r="U146" s="18">
        <v>1</v>
      </c>
      <c r="V146" s="18">
        <v>1</v>
      </c>
      <c r="W146" s="18"/>
      <c r="X146" s="18">
        <v>39.67</v>
      </c>
      <c r="Y146" s="18">
        <v>38.51</v>
      </c>
      <c r="Z146" s="18">
        <v>116.78</v>
      </c>
      <c r="AA146" s="18"/>
    </row>
    <row r="147" spans="1:27" ht="14.25" customHeight="1" x14ac:dyDescent="0.35">
      <c r="A147" s="18"/>
      <c r="B147" s="22" t="s">
        <v>309</v>
      </c>
      <c r="C147" s="23" t="s">
        <v>142</v>
      </c>
      <c r="D147" s="23"/>
      <c r="E147" s="24">
        <v>1</v>
      </c>
      <c r="F147" s="27">
        <v>0.7</v>
      </c>
      <c r="G147" s="25">
        <f t="shared" si="60"/>
        <v>0.7</v>
      </c>
      <c r="H147" s="26"/>
      <c r="I147" s="27"/>
      <c r="J147" s="28">
        <v>45663</v>
      </c>
      <c r="K147" s="29"/>
      <c r="L147" s="30">
        <f t="shared" si="61"/>
        <v>0.7</v>
      </c>
      <c r="M147" s="30">
        <f>IF(B147="Texion Textil",0,IF(C147="Malha",'Custos insumos'!$B$24,IF(C147="Dublagem Cretone",'Custos insumos'!$D$7,IF(C147="Dublagem Spun",'Custos insumos'!$D$4,IF(C147="Espelhamento",'Custos insumos'!$B$11,IF(C147="Espelhamento 2x",2*'Custos insumos'!$B$11,IF(C147="Esp. + Pel.",'Custos insumos'!$B$11,IF(C147="Pel. + Spun",'Custos insumos'!$D$4,IF(C147="Dublagem Cretone PES",'Custos insumos'!$D$7,IF(C147="Dublagem Barreira",'Custos insumos'!$D$11,IF(C147="Dublagem - MO + Filme",'Custos insumos'!$D$4,IF(C147="Dublagem Cretone HM50",'Custos insumos'!$D$26,IF(C147="Dublagem Cretone HM70",'Custos insumos'!$F$10,)))))))))))))</f>
        <v>0</v>
      </c>
      <c r="N147" s="30">
        <f>IF(B147="Texion Textil",0,IF(B147="Três Elos",0,IF(C147="Malha",0,IF(C147="Dublagem Cretone",'Custos insumos'!$D$23,IF(C147="Dublagem Spun",'Custos insumos'!$D$16,IF(C147="Espelhamento",0,IF(C147="Espelhamento 2x",0,IF(C147="Esp. + Pel.",0,IF(C147="Pel. + Spun",'Custos insumos'!$D$16,IF(C147="Dublagem Cretone PES",'Custos insumos'!$F$25,IF(C147="Dublagem Barreira",'Custos insumos'!$D$22,)))))))))))</f>
        <v>0</v>
      </c>
      <c r="O147" s="18"/>
      <c r="P147" s="53">
        <f t="shared" si="34"/>
        <v>0.3013959183673468</v>
      </c>
      <c r="Q147" s="50">
        <f t="shared" si="35"/>
        <v>244.99999999999997</v>
      </c>
      <c r="R147" s="50" cm="1">
        <f t="array" ref="R147">_xlfn.IFS(C147="Calandra",(350),C147="Peletização",(421),C147="Dublagem Spun",(250),C147="Dublagem Cretone PES",(180),C147="Felpagem",(270/E147),C147="Emborrachamento",(200),C147="Espelhamento",(250),C147="Malha",(1),C147="Dublagem Cretone",(180),C147="Malha",(1),C147="Dublagem Spun - MO",250,C147="Dublagem Cretone - MO",180,C147="Dublagem Cretone PES - MO",180,C147="Espelhamento - MO",250,C147="Emborrachamento",100,C147="Malha",0,C147="Dublagem Barreira",100,C147="Pel. + Cal.",350,C147="Fel. + Pel. + Cal.",270,C147="Pel. + Spun",250,C147="Espelhamento - L: 1,45m",200,C147="Espelhamento - L: 1,65m",200,C147="Estampagem",100,C147="Fel. + Cal.",270,C147="Dublagem Juta",180,C147="Dublagem Cretone - MO (Juta)",180,C147="Dublagem Tapete",150,C147="Esp. + Pel.",200,C147="Espelhamento 2x",100)</f>
        <v>350</v>
      </c>
      <c r="S147" s="50">
        <f t="shared" si="36"/>
        <v>171.15800000000002</v>
      </c>
      <c r="T147" s="18" cm="1">
        <f t="array" ref="T147">_xlfn.IFS(C147="Calandra",0.4,C147="Felpagem",0.3,C147="Dublagem Spun",0.8,C147="Dublagem Cretone",0.8,C147="Dublagem Cretone PES",0.8,C147="Espelhamento",0.8,C147="Peletização",0.5,C147="Dublagem Spun - MO",0.8,C147="Dublagem Cretone - MO",0.8,C147="Dublagem Cretone PES - MO",0.8,C147="Espelhamento - MO",0.8,C147="Emborrachamento",1,C147="Malha",0,C147="Dublagem Barreira",1,C147="Pel. + Cal.",0.4,C147="Fel. + Pel. + Cal.",0.5,C147="Pel. + Spun",0.8,C147="Espelhamento - L: 1,45m",0.8,C147="Espelhamento - L: 1,65m",0.8,C147="Estampagem",1,C147="Fel. + Cal.",0.4,C147="Dublagem Juta",0.8,C147="Dublagem Cretone - MO (Juta)",0.8,C147="Dublagem Tapete",0.8,C147="Esp. + Pel.",0.8,C147="Espelhamento 2x",0.8)</f>
        <v>0.4</v>
      </c>
      <c r="U147" s="18">
        <v>1</v>
      </c>
      <c r="V147" s="18">
        <v>1</v>
      </c>
      <c r="W147" s="18"/>
      <c r="X147" s="18">
        <v>39.67</v>
      </c>
      <c r="Y147" s="18">
        <v>38.51</v>
      </c>
      <c r="Z147" s="18">
        <v>116.78</v>
      </c>
      <c r="AA147" s="18"/>
    </row>
    <row r="148" spans="1:27" ht="14.25" customHeight="1" x14ac:dyDescent="0.35">
      <c r="A148" s="18"/>
      <c r="B148" s="22" t="s">
        <v>309</v>
      </c>
      <c r="C148" s="23" t="s">
        <v>106</v>
      </c>
      <c r="D148" s="23" t="s">
        <v>310</v>
      </c>
      <c r="E148" s="24">
        <v>1</v>
      </c>
      <c r="F148" s="25">
        <v>2.4</v>
      </c>
      <c r="G148" s="25">
        <f t="shared" si="60"/>
        <v>2.4</v>
      </c>
      <c r="H148" s="26"/>
      <c r="I148" s="27"/>
      <c r="J148" s="28">
        <v>45663</v>
      </c>
      <c r="K148" s="29"/>
      <c r="L148" s="30">
        <f t="shared" si="61"/>
        <v>1.3414997101449273</v>
      </c>
      <c r="M148" s="30">
        <f>IF(B148="Texion Textil",0,IF(C148="Malha",'Custos insumos'!$B$24,IF(C148="Dublagem Cretone",'Custos insumos'!$D$7,IF(C148="Dublagem Spun",'Custos insumos'!$D$4,IF(C148="Espelhamento",'Custos insumos'!$B$11,IF(C148="Espelhamento 2x",2*'Custos insumos'!$B$11,IF(C148="Esp. + Pel.",'Custos insumos'!$B$11,IF(C148="Pel. + Spun",'Custos insumos'!$D$4,IF(C148="Dublagem Cretone PES",'Custos insumos'!$D$7,IF(C148="Dublagem Barreira",'Custos insumos'!$D$11,IF(C148="Dublagem - MO + Filme",'Custos insumos'!$D$4,IF(C148="Dublagem Cretone HM50",'Custos insumos'!$D$26,IF(C148="Dublagem Cretone HM70",'Custos insumos'!$F$10,)))))))))))))</f>
        <v>1.0585002898550726</v>
      </c>
      <c r="N148" s="30">
        <f>IF(B148="Texion Textil",0,IF(B148="Três Elos",0,IF(C148="Malha",0,IF(C148="Dublagem Cretone",'Custos insumos'!$D$23,IF(C148="Dublagem Spun",'Custos insumos'!$D$16,IF(C148="Espelhamento",0,IF(C148="Espelhamento 2x",0,IF(C148="Esp. + Pel.",0,IF(C148="Pel. + Spun",'Custos insumos'!$D$16,IF(C148="Dublagem Cretone PES",'Custos insumos'!$F$25,IF(C148="Dublagem Barreira",'Custos insumos'!$D$22,)))))))))))</f>
        <v>0</v>
      </c>
      <c r="O148" s="18"/>
      <c r="P148" s="53">
        <f t="shared" si="34"/>
        <v>0.24724821256038637</v>
      </c>
      <c r="Q148" s="50">
        <f t="shared" si="35"/>
        <v>600</v>
      </c>
      <c r="R148" s="50" cm="1">
        <f t="array" ref="R148">_xlfn.IFS(C148="Calandra",(350),C148="Peletização",(421),C148="Dublagem Spun",(250),C148="Dublagem Cretone PES",(180),C148="Felpagem",(270/E148),C148="Emborrachamento",(200),C148="Espelhamento",(250),C148="Malha",(1),C148="Dublagem Cretone",(180),C148="Malha",(1),C148="Dublagem Spun - MO",250,C148="Dublagem Cretone - MO",180,C148="Dublagem Cretone PES - MO",180,C148="Espelhamento - MO",250,C148="Emborrachamento",100,C148="Malha",0,C148="Dublagem Barreira",100,C148="Pel. + Cal.",350,C148="Fel. + Pel. + Cal.",270,C148="Pel. + Spun",250,C148="Espelhamento - L: 1,45m",200,C148="Espelhamento - L: 1,65m",200,C148="Estampagem",100,C148="Fel. + Cal.",270,C148="Dublagem Juta",180,C148="Dublagem Cretone - MO (Juta)",180,C148="Dublagem Tapete",150,C148="Esp. + Pel.",200,C148="Espelhamento 2x",100)</f>
        <v>250</v>
      </c>
      <c r="S148" s="50">
        <f t="shared" si="36"/>
        <v>451.65107246376817</v>
      </c>
      <c r="T148" s="18" cm="1">
        <f t="array" ref="T148">_xlfn.IFS(C148="Calandra",0.4,C148="Felpagem",0.3,C148="Dublagem Spun",0.8,C148="Dublagem Cretone",0.8,C148="Dublagem Cretone PES",0.8,C148="Espelhamento",0.8,C148="Peletização",0.5,C148="Dublagem Spun - MO",0.8,C148="Dublagem Cretone - MO",0.8,C148="Dublagem Cretone PES - MO",0.8,C148="Espelhamento - MO",0.8,C148="Emborrachamento",1,C148="Malha",0,C148="Dublagem Barreira",1,C148="Pel. + Cal.",0.4,C148="Fel. + Pel. + Cal.",0.5,C148="Pel. + Spun",0.8,C148="Espelhamento - L: 1,45m",0.8,C148="Espelhamento - L: 1,65m",0.8,C148="Estampagem",1,C148="Fel. + Cal.",0.4,C148="Dublagem Juta",0.8,C148="Dublagem Cretone - MO (Juta)",0.8,C148="Dublagem Tapete",0.8,C148="Esp. + Pel.",0.8,C148="Espelhamento 2x",0.8)</f>
        <v>0.8</v>
      </c>
      <c r="U148" s="18">
        <v>1</v>
      </c>
      <c r="V148" s="18">
        <v>1</v>
      </c>
      <c r="W148" s="18"/>
      <c r="X148" s="18">
        <v>39.67</v>
      </c>
      <c r="Y148" s="18">
        <v>38.51</v>
      </c>
      <c r="Z148" s="18">
        <v>116.78</v>
      </c>
      <c r="AA148" s="18"/>
    </row>
    <row r="149" spans="1:27" ht="14.25" customHeight="1" x14ac:dyDescent="0.35">
      <c r="A149" s="18"/>
      <c r="B149" s="22" t="s">
        <v>309</v>
      </c>
      <c r="C149" s="23" t="s">
        <v>249</v>
      </c>
      <c r="D149" s="23" t="s">
        <v>311</v>
      </c>
      <c r="E149" s="24">
        <v>1</v>
      </c>
      <c r="F149" s="27">
        <v>4.5</v>
      </c>
      <c r="G149" s="25">
        <f t="shared" si="60"/>
        <v>4.5</v>
      </c>
      <c r="H149" s="26"/>
      <c r="I149" s="27"/>
      <c r="J149" s="28">
        <v>45663</v>
      </c>
      <c r="K149" s="29"/>
      <c r="L149" s="30">
        <f t="shared" si="61"/>
        <v>2.6590800000000003</v>
      </c>
      <c r="M149" s="30">
        <f>IF(B149="Texion Textil",0,IF(C149="Malha",'Custos insumos'!$B$24,IF(C149="Dublagem Cretone",'Custos insumos'!$D$7,IF(C149="Dublagem Spun",'Custos insumos'!$D$4,IF(C149="Espelhamento",'Custos insumos'!$B$11,IF(C149="Espelhamento 2x",2*'Custos insumos'!$B$11,IF(C149="Esp. + Pel.",'Custos insumos'!$B$11,IF(C149="Pel. + Spun",'Custos insumos'!$D$4,IF(C149="Dublagem Cretone PES",'Custos insumos'!$D$7,IF(C149="Dublagem Barreira",'Custos insumos'!$D$11,IF(C149="Dublagem - MO + Filme",'Custos insumos'!$D$4,IF(C149="Dublagem Cretone HM50",'Custos insumos'!$D$26,IF(C149="Dublagem Cretone HM70",'Custos insumos'!$F$10,)))))))))))))</f>
        <v>1.1232</v>
      </c>
      <c r="N149" s="30">
        <f>IF(B149="Texion Textil",0,IF(B149="Três Elos",0,IF(C149="Malha",0,IF(C149="Dublagem Cretone",'Custos insumos'!$D$23,IF(C149="Dublagem Spun",'Custos insumos'!$D$16,IF(C149="Espelhamento",0,IF(C149="Espelhamento 2x",0,IF(C149="Esp. + Pel.",0,IF(C149="Pel. + Spun",'Custos insumos'!$D$16,IF(C149="Dublagem Cretone PES",'Custos insumos'!$F$25,IF(C149="Dublagem Barreira",'Custos insumos'!$D$22,)))))))))))</f>
        <v>0.71771999999999991</v>
      </c>
      <c r="O149" s="18"/>
      <c r="P149" s="53">
        <f t="shared" si="34"/>
        <v>0.42466133333333334</v>
      </c>
      <c r="Q149" s="50">
        <f t="shared" si="35"/>
        <v>1125</v>
      </c>
      <c r="R149" s="50" cm="1">
        <f t="array" ref="R149">_xlfn.IFS(C149="Calandra",(350),C149="Peletização",(421),C149="Dublagem Spun",(250),C149="Dublagem Cretone PES",(180),C149="Felpagem",(270/E149),C149="Emborrachamento",(200),C149="Espelhamento",(250),C149="Malha",(1),C149="Dublagem Cretone",(180),C149="Malha",(1),C149="Dublagem Spun - MO",250,C149="Dublagem Cretone - MO",180,C149="Dublagem Cretone PES - MO",180,C149="Espelhamento - MO",250,C149="Emborrachamento",100,C149="Malha",0,C149="Dublagem Barreira",100,C149="Pel. + Cal.",350,C149="Fel. + Pel. + Cal.",270,C149="Pel. + Spun",250,C149="Espelhamento - L: 1,45m",200,C149="Espelhamento - L: 1,65m",200,C149="Estampagem",100,C149="Fel. + Cal.",270,C149="Dublagem Juta",180,C149="Dublagem Cretone - MO (Juta)",180,C149="Dublagem Tapete",150,C149="Esp. + Pel.",200,C149="Espelhamento 2x",100)</f>
        <v>250</v>
      </c>
      <c r="S149" s="50">
        <f t="shared" si="36"/>
        <v>647.25599999999997</v>
      </c>
      <c r="T149" s="18" cm="1">
        <f t="array" ref="T149">_xlfn.IFS(C149="Calandra",0.4,C149="Felpagem",0.3,C149="Dublagem Spun",0.8,C149="Dublagem Cretone",0.8,C149="Dublagem Cretone PES",0.8,C149="Espelhamento",0.8,C149="Peletização",0.5,C149="Dublagem Spun - MO",0.8,C149="Dublagem Cretone - MO",0.8,C149="Dublagem Cretone PES - MO",0.8,C149="Espelhamento - MO",0.8,C149="Emborrachamento",1,C149="Malha",0,C149="Dublagem Barreira",1,C149="Pel. + Cal.",0.4,C149="Fel. + Pel. + Cal.",0.5,C149="Pel. + Spun",0.8,C149="Espelhamento - L: 1,45m",0.8,C149="Espelhamento - L: 1,65m",0.8,C149="Estampagem",1,C149="Fel. + Cal.",0.4,C149="Dublagem Juta",0.8,C149="Dublagem Cretone - MO (Juta)",0.8,C149="Dublagem Tapete",0.8,C149="Esp. + Pel.",0.8,C149="Espelhamento 2x",0.8)</f>
        <v>0.8</v>
      </c>
      <c r="U149" s="18">
        <v>1</v>
      </c>
      <c r="V149" s="18">
        <v>1</v>
      </c>
      <c r="W149" s="18"/>
      <c r="X149" s="18">
        <v>39.67</v>
      </c>
      <c r="Y149" s="18">
        <v>38.51</v>
      </c>
      <c r="Z149" s="18">
        <v>116.78</v>
      </c>
      <c r="AA149" s="18"/>
    </row>
    <row r="150" spans="1:27" ht="14.25" customHeight="1" x14ac:dyDescent="0.35">
      <c r="A150" s="18"/>
      <c r="B150" s="22" t="s">
        <v>309</v>
      </c>
      <c r="C150" s="23" t="s">
        <v>247</v>
      </c>
      <c r="D150" s="23" t="s">
        <v>312</v>
      </c>
      <c r="E150" s="24">
        <v>1</v>
      </c>
      <c r="F150" s="27">
        <v>5.9</v>
      </c>
      <c r="G150" s="25">
        <f t="shared" si="60"/>
        <v>5.9</v>
      </c>
      <c r="H150" s="26"/>
      <c r="I150" s="27"/>
      <c r="J150" s="28">
        <v>45663</v>
      </c>
      <c r="K150" s="29"/>
      <c r="L150" s="30">
        <f t="shared" si="61"/>
        <v>1.6100000000000008</v>
      </c>
      <c r="M150" s="30">
        <f>IF(B150="Texion Textil",0,IF(C150="Malha",'Custos insumos'!$B$24,IF(C150="Dublagem Cretone",'Custos insumos'!$D$7,IF(C150="Dublagem Spun",'Custos insumos'!$D$4,IF(C150="Espelhamento",'Custos insumos'!$B$11,IF(C150="Espelhamento 2x",2*'Custos insumos'!$B$11,IF(C150="Esp. + Pel.",'Custos insumos'!$B$11,IF(C150="Pel. + Spun",'Custos insumos'!$D$4,IF(C150="Dublagem Cretone PES",'Custos insumos'!$D$7,IF(C150="Dublagem Barreira",'Custos insumos'!$D$11,IF(C150="Dublagem - MO + Filme",'Custos insumos'!$D$4,IF(C150="Dublagem Cretone HM50",'Custos insumos'!$D$26,IF(C150="Dublagem Cretone HM70",'Custos insumos'!$F$10,)))))))))))))</f>
        <v>1.962</v>
      </c>
      <c r="N150" s="30">
        <f>IF(B150="Texion Textil",0,IF(B150="Três Elos",0,IF(C150="Malha",0,IF(C150="Dublagem Cretone",'Custos insumos'!$D$23,IF(C150="Dublagem Spun",'Custos insumos'!$D$16,IF(C150="Espelhamento",0,IF(C150="Espelhamento 2x",0,IF(C150="Esp. + Pel.",0,IF(C150="Pel. + Spun",'Custos insumos'!$D$16,IF(C150="Dublagem Cretone PES",'Custos insumos'!$F$25,IF(C150="Dublagem Barreira",'Custos insumos'!$D$22,)))))))))))</f>
        <v>2.3279999999999998</v>
      </c>
      <c r="O150" s="18"/>
      <c r="P150" s="53">
        <f t="shared" si="34"/>
        <v>9.6774011299434928E-2</v>
      </c>
      <c r="Q150" s="50">
        <f t="shared" si="35"/>
        <v>1062</v>
      </c>
      <c r="R150" s="50" cm="1">
        <f t="array" ref="R150">_xlfn.IFS(C150="Calandra",(350),C150="Peletização",(421),C150="Dublagem Spun",(250),C150="Dublagem Cretone PES",(180),C150="Felpagem",(270/E150),C150="Emborrachamento",(200),C150="Espelhamento",(250),C150="Malha",(1),C150="Dublagem Cretone",(180),C150="Malha",(1),C150="Dublagem Spun - MO",250,C150="Dublagem Cretone - MO",180,C150="Dublagem Cretone PES - MO",180,C150="Espelhamento - MO",250,C150="Emborrachamento",100,C150="Malha",0,C150="Dublagem Barreira",100,C150="Pel. + Cal.",350,C150="Fel. + Pel. + Cal.",270,C150="Pel. + Spun",250,C150="Espelhamento - L: 1,45m",200,C150="Espelhamento - L: 1,65m",200,C150="Estampagem",100,C150="Fel. + Cal.",270,C150="Dublagem Juta",180,C150="Dublagem Cretone - MO (Juta)",180,C150="Dublagem Tapete",150,C150="Esp. + Pel.",200,C150="Espelhamento 2x",100)</f>
        <v>180</v>
      </c>
      <c r="S150" s="50">
        <f t="shared" si="36"/>
        <v>959.22600000000011</v>
      </c>
      <c r="T150" s="18" cm="1">
        <f t="array" ref="T150">_xlfn.IFS(C150="Calandra",0.4,C150="Felpagem",0.3,C150="Dublagem Spun",0.8,C150="Dublagem Cretone",0.8,C150="Dublagem Cretone PES",0.8,C150="Espelhamento",0.8,C150="Peletização",0.5,C150="Dublagem Spun - MO",0.8,C150="Dublagem Cretone - MO",0.8,C150="Dublagem Cretone PES - MO",0.8,C150="Espelhamento - MO",0.8,C150="Emborrachamento",1,C150="Malha",0,C150="Dublagem Barreira",1,C150="Pel. + Cal.",0.4,C150="Fel. + Pel. + Cal.",0.5,C150="Pel. + Spun",0.8,C150="Espelhamento - L: 1,45m",0.8,C150="Espelhamento - L: 1,65m",0.8,C150="Estampagem",1,C150="Fel. + Cal.",0.4,C150="Dublagem Juta",0.8,C150="Dublagem Cretone - MO (Juta)",0.8,C150="Dublagem Tapete",0.8,C150="Esp. + Pel.",0.8,C150="Espelhamento 2x",0.8)</f>
        <v>0.8</v>
      </c>
      <c r="U150" s="18">
        <v>1</v>
      </c>
      <c r="V150" s="18">
        <v>1</v>
      </c>
      <c r="W150" s="18"/>
      <c r="X150" s="18">
        <v>39.67</v>
      </c>
      <c r="Y150" s="18">
        <v>38.51</v>
      </c>
      <c r="Z150" s="18">
        <v>116.78</v>
      </c>
      <c r="AA150" s="18"/>
    </row>
    <row r="151" spans="1:27" ht="14.25" customHeight="1" x14ac:dyDescent="0.35">
      <c r="A151" s="18"/>
      <c r="B151" s="22" t="s">
        <v>309</v>
      </c>
      <c r="C151" s="23" t="s">
        <v>251</v>
      </c>
      <c r="D151" s="23" t="s">
        <v>313</v>
      </c>
      <c r="E151" s="24">
        <v>1</v>
      </c>
      <c r="F151" s="27">
        <v>5.9</v>
      </c>
      <c r="G151" s="25">
        <f t="shared" si="60"/>
        <v>5.9</v>
      </c>
      <c r="H151" s="26"/>
      <c r="I151" s="27"/>
      <c r="J151" s="28">
        <v>45663</v>
      </c>
      <c r="K151" s="29"/>
      <c r="L151" s="30">
        <f t="shared" si="61"/>
        <v>1.6100000000000008</v>
      </c>
      <c r="M151" s="30">
        <f>IF(B151="Texion Textil",0,IF(C151="Malha",'Custos insumos'!$B$24,IF(C151="Dublagem Cretone",'Custos insumos'!$D$7,IF(C151="Dublagem Spun",'Custos insumos'!$D$4,IF(C151="Espelhamento",'Custos insumos'!$B$11,IF(C151="Espelhamento 2x",2*'Custos insumos'!$B$11,IF(C151="Esp. + Pel.",'Custos insumos'!$B$11,IF(C151="Pel. + Spun",'Custos insumos'!$D$4,IF(C151="Dublagem Cretone PES",'Custos insumos'!$D$7,IF(C151="Dublagem Barreira",'Custos insumos'!$D$11,IF(C151="Dublagem - MO + Filme",'Custos insumos'!$D$4,IF(C151="Dublagem Cretone HM50",'Custos insumos'!$D$26,IF(C151="Dublagem Cretone HM70",'Custos insumos'!$F$10,)))))))))))))</f>
        <v>1.962</v>
      </c>
      <c r="N151" s="30">
        <f>IF(B151="Texion Textil",0,IF(B151="Três Elos",0,IF(C151="Malha",0,IF(C151="Dublagem Cretone",'Custos insumos'!$D$23,IF(C151="Dublagem Spun",'Custos insumos'!$D$16,IF(C151="Espelhamento",0,IF(C151="Espelhamento 2x",0,IF(C151="Esp. + Pel.",0,IF(C151="Pel. + Spun",'Custos insumos'!$D$16,IF(C151="Dublagem Cretone PES",'Custos insumos'!$F$25,IF(C151="Dublagem Barreira",'Custos insumos'!$D$22,)))))))))))</f>
        <v>2.3279999999999998</v>
      </c>
      <c r="O151" s="18"/>
      <c r="P151" s="53">
        <f t="shared" si="34"/>
        <v>9.6774011299434928E-2</v>
      </c>
      <c r="Q151" s="50">
        <f t="shared" si="35"/>
        <v>1062</v>
      </c>
      <c r="R151" s="50" cm="1">
        <f t="array" ref="R151">_xlfn.IFS(C151="Calandra",(350),C151="Peletização",(421),C151="Dublagem Spun",(250),C151="Dublagem Cretone PES",(180),C151="Felpagem",(270/E151),C151="Emborrachamento",(200),C151="Espelhamento",(250),C151="Malha",(1),C151="Dublagem Cretone",(180),C151="Malha",(1),C151="Dublagem Spun - MO",250,C151="Dublagem Cretone - MO",180,C151="Dublagem Cretone PES - MO",180,C151="Espelhamento - MO",250,C151="Emborrachamento",100,C151="Malha",0,C151="Dublagem Barreira",100,C151="Pel. + Cal.",350,C151="Fel. + Pel. + Cal.",270,C151="Pel. + Spun",250,C151="Espelhamento - L: 1,45m",200,C151="Espelhamento - L: 1,65m",200,C151="Estampagem",100,C151="Fel. + Cal.",270,C151="Dublagem Juta",180,C151="Dublagem Cretone - MO (Juta)",180,C151="Dublagem Tapete",150,C151="Esp. + Pel.",200,C151="Espelhamento 2x",100)</f>
        <v>180</v>
      </c>
      <c r="S151" s="50">
        <f t="shared" si="36"/>
        <v>959.22600000000011</v>
      </c>
      <c r="T151" s="18" cm="1">
        <f t="array" ref="T151">_xlfn.IFS(C151="Calandra",0.4,C151="Felpagem",0.3,C151="Dublagem Spun",0.8,C151="Dublagem Cretone",0.8,C151="Dublagem Cretone PES",0.8,C151="Espelhamento",0.8,C151="Peletização",0.5,C151="Dublagem Spun - MO",0.8,C151="Dublagem Cretone - MO",0.8,C151="Dublagem Cretone PES - MO",0.8,C151="Espelhamento - MO",0.8,C151="Emborrachamento",1,C151="Malha",0,C151="Dublagem Barreira",1,C151="Pel. + Cal.",0.4,C151="Fel. + Pel. + Cal.",0.5,C151="Pel. + Spun",0.8,C151="Espelhamento - L: 1,45m",0.8,C151="Espelhamento - L: 1,65m",0.8,C151="Estampagem",1,C151="Fel. + Cal.",0.4,C151="Dublagem Juta",0.8,C151="Dublagem Cretone - MO (Juta)",0.8,C151="Dublagem Tapete",0.8,C151="Esp. + Pel.",0.8,C151="Espelhamento 2x",0.8)</f>
        <v>0.8</v>
      </c>
      <c r="U151" s="18">
        <v>1</v>
      </c>
      <c r="V151" s="18">
        <v>1</v>
      </c>
      <c r="W151" s="18"/>
      <c r="X151" s="18">
        <v>39.67</v>
      </c>
      <c r="Y151" s="18">
        <v>38.51</v>
      </c>
      <c r="Z151" s="18">
        <v>116.78</v>
      </c>
      <c r="AA151" s="18"/>
    </row>
    <row r="152" spans="1:27" ht="14.25" customHeight="1" x14ac:dyDescent="0.35">
      <c r="A152" s="18"/>
      <c r="B152" s="62" t="s">
        <v>210</v>
      </c>
      <c r="C152" s="63" t="s">
        <v>144</v>
      </c>
      <c r="D152" s="23"/>
      <c r="E152" s="24">
        <v>1</v>
      </c>
      <c r="F152" s="25">
        <v>0.55000000000000004</v>
      </c>
      <c r="G152" s="25">
        <v>0.65</v>
      </c>
      <c r="H152" s="26" t="s">
        <v>243</v>
      </c>
      <c r="I152" s="27">
        <f t="shared" ref="I152:I157" si="62">G152/E152</f>
        <v>0.65</v>
      </c>
      <c r="J152" s="28">
        <v>45663</v>
      </c>
      <c r="K152" s="29" t="s">
        <v>307</v>
      </c>
      <c r="L152" s="30">
        <f t="shared" si="61"/>
        <v>0.65</v>
      </c>
      <c r="M152" s="30">
        <f>IF(B152="Texion Textil",0,IF(C152="Malha",'Custos insumos'!$B$24,IF(C152="Dublagem Cretone",'Custos insumos'!$D$7,IF(C152="Dublagem Spun",'Custos insumos'!$D$4,IF(C152="Espelhamento",'Custos insumos'!$B$11,IF(C152="Espelhamento 2x",2*'Custos insumos'!$B$11,IF(C152="Esp. + Pel.",'Custos insumos'!$B$11,IF(C152="Pel. + Spun",'Custos insumos'!$D$4,IF(C152="Dublagem Cretone PES",'Custos insumos'!$D$7,IF(C152="Dublagem Barreira",'Custos insumos'!$D$11,IF(C152="Dublagem - MO + Filme",'Custos insumos'!$D$4,IF(C152="Dublagem Cretone HM50",'Custos insumos'!$D$26,IF(C152="Dublagem Cretone HM70",'Custos insumos'!$F$10,)))))))))))))</f>
        <v>0</v>
      </c>
      <c r="N152" s="30">
        <f>IF(B152="Texion Textil",0,IF(B152="Três Elos",0,IF(C152="Malha",0,IF(C152="Dublagem Cretone",'Custos insumos'!$D$23,IF(C152="Dublagem Spun",'Custos insumos'!$D$16,IF(C152="Espelhamento",0,IF(C152="Espelhamento 2x",0,IF(C152="Esp. + Pel.",0,IF(C152="Pel. + Spun",'Custos insumos'!$D$16,IF(C152="Dublagem Cretone PES",'Custos insumos'!$F$25,IF(C152="Dublagem Barreira",'Custos insumos'!$D$22,)))))))))))</f>
        <v>0</v>
      </c>
      <c r="O152" s="18"/>
      <c r="P152" s="53">
        <f t="shared" si="34"/>
        <v>0.36004019733235892</v>
      </c>
      <c r="Q152" s="50">
        <f t="shared" si="35"/>
        <v>273.65000000000003</v>
      </c>
      <c r="R152" s="50" cm="1">
        <f t="array" ref="R152">_xlfn.IFS(C152="Calandra",(350),C152="Peletização",(421),C152="Dublagem Spun",(250),C152="Dublagem Cretone PES",(180),C152="Felpagem",(270/E152),C152="Emborrachamento",(200),C152="Espelhamento",(250),C152="Malha",(1),C152="Dublagem Cretone",(180),C152="Malha",(1),C152="Dublagem Spun - MO",250,C152="Dublagem Cretone - MO",180,C152="Dublagem Cretone PES - MO",180,C152="Espelhamento - MO",250,C152="Emborrachamento",100,C152="Malha",0,C152="Dublagem Barreira",100,C152="Pel. + Cal.",350,C152="Fel. + Pel. + Cal.",270,C152="Pel. + Spun",250,C152="Espelhamento - L: 1,45m",200,C152="Espelhamento - L: 1,65m",200,C152="Estampagem",100,C152="Fel. + Cal.",270,C152="Dublagem Juta",180,C152="Dublagem Cretone - MO (Juta)",180,C152="Dublagem Tapete",150,C152="Esp. + Pel.",200,C152="Espelhamento 2x",100)</f>
        <v>421</v>
      </c>
      <c r="S152" s="50">
        <f t="shared" si="36"/>
        <v>175.125</v>
      </c>
      <c r="T152" s="18" cm="1">
        <f t="array" ref="T152">_xlfn.IFS(C152="Calandra",0.4,C152="Felpagem",0.3,C152="Dublagem Spun",0.8,C152="Dublagem Cretone",0.8,C152="Dublagem Cretone PES",0.8,C152="Espelhamento",0.8,C152="Peletização",0.5,C152="Dublagem Spun - MO",0.8,C152="Dublagem Cretone - MO",0.8,C152="Dublagem Cretone PES - MO",0.8,C152="Espelhamento - MO",0.8,C152="Emborrachamento",1,C152="Malha",0,C152="Dublagem Barreira",1,C152="Pel. + Cal.",0.4,C152="Fel. + Pel. + Cal.",0.5,C152="Pel. + Spun",0.8,C152="Espelhamento - L: 1,45m",0.8,C152="Espelhamento - L: 1,65m",0.8,C152="Estampagem",1,C152="Fel. + Cal.",0.4,C152="Dublagem Juta",0.8,C152="Dublagem Cretone - MO (Juta)",0.8,C152="Dublagem Tapete",0.8,C152="Esp. + Pel.",0.8,C152="Espelhamento 2x",0.8)</f>
        <v>0.5</v>
      </c>
      <c r="U152" s="18">
        <v>1</v>
      </c>
      <c r="V152" s="18">
        <v>1</v>
      </c>
      <c r="W152" s="18"/>
      <c r="X152" s="18">
        <v>39.67</v>
      </c>
      <c r="Y152" s="18">
        <v>38.51</v>
      </c>
      <c r="Z152" s="18">
        <v>116.78</v>
      </c>
      <c r="AA152" s="18"/>
    </row>
    <row r="153" spans="1:27" ht="14.25" customHeight="1" x14ac:dyDescent="0.35">
      <c r="A153" s="18"/>
      <c r="B153" s="22" t="s">
        <v>211</v>
      </c>
      <c r="C153" s="32" t="s">
        <v>144</v>
      </c>
      <c r="D153" s="23"/>
      <c r="E153" s="24">
        <v>1</v>
      </c>
      <c r="F153" s="34">
        <f>1.1*E153</f>
        <v>1.1000000000000001</v>
      </c>
      <c r="G153" s="25">
        <v>0.65</v>
      </c>
      <c r="H153" s="26" t="s">
        <v>243</v>
      </c>
      <c r="I153" s="27">
        <f t="shared" si="62"/>
        <v>0.65</v>
      </c>
      <c r="J153" s="28">
        <v>45663</v>
      </c>
      <c r="K153" s="29" t="s">
        <v>307</v>
      </c>
      <c r="L153" s="30">
        <f t="shared" ref="L153" si="63">G153-M153-N153</f>
        <v>0.65</v>
      </c>
      <c r="M153" s="30">
        <f>IF(B153="Texion Textil",0,IF(C153="Malha",'Custos insumos'!$B$24,IF(C153="Dublagem Cretone",'Custos insumos'!$D$7,IF(C153="Dublagem Spun",'Custos insumos'!$D$4,IF(C153="Espelhamento",'Custos insumos'!$B$11,IF(C153="Espelhamento 2x",2*'Custos insumos'!$B$11,IF(C153="Esp. + Pel.",'Custos insumos'!$B$11,IF(C153="Pel. + Spun",'Custos insumos'!$D$4,IF(C153="Dublagem Cretone PES",'Custos insumos'!$D$7,IF(C153="Dublagem Barreira",'Custos insumos'!$D$11,IF(C153="Dublagem - MO + Filme",'Custos insumos'!$D$4,IF(C153="Dublagem Cretone HM50",'Custos insumos'!$D$26,IF(C153="Dublagem Cretone HM70",'Custos insumos'!$F$10,)))))))))))))</f>
        <v>0</v>
      </c>
      <c r="N153" s="30">
        <f>IF(B153="Texion Textil",0,IF(B153="Três Elos",0,IF(C153="Malha",0,IF(C153="Dublagem Cretone",'Custos insumos'!$D$23,IF(C153="Dublagem Spun",'Custos insumos'!$D$16,IF(C153="Espelhamento",0,IF(C153="Espelhamento 2x",0,IF(C153="Esp. + Pel.",0,IF(C153="Pel. + Spun",'Custos insumos'!$D$16,IF(C153="Dublagem Cretone PES",'Custos insumos'!$F$25,IF(C153="Dublagem Barreira",'Custos insumos'!$D$22,)))))))))))</f>
        <v>0</v>
      </c>
      <c r="O153" s="18"/>
      <c r="P153" s="53">
        <f t="shared" ref="P153" si="64">(Q153-S153)/Q153</f>
        <v>0.36004019733235892</v>
      </c>
      <c r="Q153" s="50">
        <f t="shared" ref="Q153" si="65">G153*R153</f>
        <v>273.65000000000003</v>
      </c>
      <c r="R153" s="50" cm="1">
        <f t="array" ref="R153">_xlfn.IFS(C153="Calandra",(350),C153="Peletização",(421),C153="Dublagem Spun",(250),C153="Dublagem Cretone PES",(180),C153="Felpagem",(270/E153),C153="Emborrachamento",(200),C153="Espelhamento",(250),C153="Malha",(1),C153="Dublagem Cretone",(180),C153="Malha",(1),C153="Dublagem Spun - MO",250,C153="Dublagem Cretone - MO",180,C153="Dublagem Cretone PES - MO",180,C153="Espelhamento - MO",250,C153="Emborrachamento",100,C153="Malha",0,C153="Dublagem Barreira",100,C153="Pel. + Cal.",350,C153="Fel. + Pel. + Cal.",270,C153="Pel. + Spun",250,C153="Espelhamento - L: 1,45m",200,C153="Espelhamento - L: 1,65m",200,C153="Estampagem",100,C153="Fel. + Cal.",270,C153="Dublagem Juta",180,C153="Dublagem Cretone - MO (Juta)",180,C153="Dublagem Tapete",150,C153="Esp. + Pel.",200,C153="Espelhamento 2x",100)</f>
        <v>421</v>
      </c>
      <c r="S153" s="50">
        <f t="shared" ref="S153" si="66">(T153*X153)+(U153*Y153)+(V153*Z153)+((M153+N153)*(R153))</f>
        <v>175.125</v>
      </c>
      <c r="T153" s="18" cm="1">
        <f t="array" ref="T153">_xlfn.IFS(C153="Calandra",0.4,C153="Felpagem",0.3,C153="Dublagem Spun",0.8,C153="Dublagem Cretone",0.8,C153="Dublagem Cretone PES",0.8,C153="Espelhamento",0.8,C153="Peletização",0.5,C153="Dublagem Spun - MO",0.8,C153="Dublagem Cretone - MO",0.8,C153="Dublagem Cretone PES - MO",0.8,C153="Espelhamento - MO",0.8,C153="Emborrachamento",1,C153="Malha",0,C153="Dublagem Barreira",1,C153="Pel. + Cal.",0.4,C153="Fel. + Pel. + Cal.",0.5,C153="Pel. + Spun",0.8,C153="Espelhamento - L: 1,45m",0.8,C153="Espelhamento - L: 1,65m",0.8,C153="Estampagem",1,C153="Fel. + Cal.",0.4,C153="Dublagem Juta",0.8,C153="Dublagem Cretone - MO (Juta)",0.8,C153="Dublagem Tapete",0.8,C153="Esp. + Pel.",0.8,C153="Espelhamento 2x",0.8)</f>
        <v>0.5</v>
      </c>
      <c r="U153" s="18">
        <v>1</v>
      </c>
      <c r="V153" s="18">
        <v>1</v>
      </c>
      <c r="W153" s="18"/>
      <c r="X153" s="18">
        <v>39.67</v>
      </c>
      <c r="Y153" s="18">
        <v>38.51</v>
      </c>
      <c r="Z153" s="18">
        <v>116.78</v>
      </c>
      <c r="AA153" s="18"/>
    </row>
    <row r="154" spans="1:27" ht="14.25" customHeight="1" x14ac:dyDescent="0.35">
      <c r="A154" s="18"/>
      <c r="B154" s="22" t="s">
        <v>211</v>
      </c>
      <c r="C154" s="32" t="s">
        <v>254</v>
      </c>
      <c r="D154" s="23"/>
      <c r="E154" s="24">
        <v>1</v>
      </c>
      <c r="F154" s="34">
        <f>1.1*E154</f>
        <v>1.1000000000000001</v>
      </c>
      <c r="G154" s="25">
        <f>F154</f>
        <v>1.1000000000000001</v>
      </c>
      <c r="H154" s="26" t="s">
        <v>243</v>
      </c>
      <c r="I154" s="27">
        <f t="shared" si="62"/>
        <v>1.1000000000000001</v>
      </c>
      <c r="J154" s="28">
        <v>45663</v>
      </c>
      <c r="K154" s="29" t="s">
        <v>307</v>
      </c>
      <c r="L154" s="30">
        <f t="shared" si="61"/>
        <v>1.1000000000000001</v>
      </c>
      <c r="M154" s="30">
        <f>IF(B154="Texion Textil",0,IF(C154="Malha",'Custos insumos'!$B$24,IF(C154="Dublagem Cretone",'Custos insumos'!$D$7,IF(C154="Dublagem Spun",'Custos insumos'!$D$4,IF(C154="Espelhamento",'Custos insumos'!$B$11,IF(C154="Espelhamento 2x",2*'Custos insumos'!$B$11,IF(C154="Esp. + Pel.",'Custos insumos'!$B$11,IF(C154="Pel. + Spun",'Custos insumos'!$D$4,IF(C154="Dublagem Cretone PES",'Custos insumos'!$D$7,IF(C154="Dublagem Barreira",'Custos insumos'!$D$11,IF(C154="Dublagem - MO + Filme",'Custos insumos'!$D$4,IF(C154="Dublagem Cretone HM50",'Custos insumos'!$D$26,IF(C154="Dublagem Cretone HM70",'Custos insumos'!$F$10,)))))))))))))</f>
        <v>0</v>
      </c>
      <c r="N154" s="30">
        <f>IF(B154="Texion Textil",0,IF(B154="Três Elos",0,IF(C154="Malha",0,IF(C154="Dublagem Cretone",'Custos insumos'!$D$23,IF(C154="Dublagem Spun",'Custos insumos'!$D$16,IF(C154="Espelhamento",0,IF(C154="Espelhamento 2x",0,IF(C154="Esp. + Pel.",0,IF(C154="Pel. + Spun",'Custos insumos'!$D$16,IF(C154="Dublagem Cretone PES",'Custos insumos'!$F$25,IF(C154="Dublagem Barreira",'Custos insumos'!$D$22,)))))))))))</f>
        <v>0</v>
      </c>
      <c r="O154" s="18"/>
      <c r="P154" s="53">
        <f t="shared" si="34"/>
        <v>0.43706734006734005</v>
      </c>
      <c r="Q154" s="50">
        <f t="shared" si="35"/>
        <v>297</v>
      </c>
      <c r="R154" s="50" cm="1">
        <f t="array" ref="R154">_xlfn.IFS(C154="Calandra",(350),C154="Peletização",(421),C154="Dublagem Spun",(250),C154="Dublagem Cretone PES",(180),C154="Felpagem",(270/E154),C154="Emborrachamento",(200),C154="Espelhamento",(250),C154="Malha",(1),C154="Dublagem Cretone",(180),C154="Malha",(1),C154="Dublagem Spun - MO",250,C154="Dublagem Cretone - MO",180,C154="Dublagem Cretone PES - MO",180,C154="Espelhamento - MO",250,C154="Emborrachamento",100,C154="Malha",0,C154="Dublagem Barreira",100,C154="Pel. + Cal.",350,C154="Fel. + Pel. + Cal.",270,C154="Pel. + Spun",250,C154="Espelhamento - L: 1,45m",200,C154="Espelhamento - L: 1,65m",200,C154="Estampagem",100,C154="Fel. + Cal.",270,C154="Dublagem Juta",180,C154="Dublagem Cretone - MO (Juta)",180,C154="Dublagem Tapete",150,C154="Esp. + Pel.",200,C154="Espelhamento 2x",100)</f>
        <v>270</v>
      </c>
      <c r="S154" s="50">
        <f t="shared" si="36"/>
        <v>167.191</v>
      </c>
      <c r="T154" s="18" cm="1">
        <f t="array" ref="T154">_xlfn.IFS(C154="Calandra",0.4,C154="Felpagem",0.3,C154="Dublagem Spun",0.8,C154="Dublagem Cretone",0.8,C154="Dublagem Cretone PES",0.8,C154="Espelhamento",0.8,C154="Peletização",0.5,C154="Dublagem Spun - MO",0.8,C154="Dublagem Cretone - MO",0.8,C154="Dublagem Cretone PES - MO",0.8,C154="Espelhamento - MO",0.8,C154="Emborrachamento",1,C154="Malha",0,C154="Dublagem Barreira",1,C154="Pel. + Cal.",0.4,C154="Fel. + Pel. + Cal.",0.5,C154="Pel. + Spun",0.8,C154="Espelhamento - L: 1,45m",0.8,C154="Espelhamento - L: 1,65m",0.8,C154="Estampagem",1,C154="Fel. + Cal.",0.4,C154="Dublagem Juta",0.8,C154="Dublagem Cretone - MO (Juta)",0.8,C154="Dublagem Tapete",0.8,C154="Esp. + Pel.",0.8,C154="Espelhamento 2x",0.8)</f>
        <v>0.3</v>
      </c>
      <c r="U154" s="18">
        <v>1</v>
      </c>
      <c r="V154" s="18">
        <v>1</v>
      </c>
      <c r="W154" s="18"/>
      <c r="X154" s="18">
        <v>39.67</v>
      </c>
      <c r="Y154" s="18">
        <v>38.51</v>
      </c>
      <c r="Z154" s="18">
        <v>116.78</v>
      </c>
      <c r="AA154" s="18"/>
    </row>
    <row r="155" spans="1:27" ht="14.25" customHeight="1" x14ac:dyDescent="0.35">
      <c r="A155" s="18"/>
      <c r="B155" s="22" t="s">
        <v>211</v>
      </c>
      <c r="C155" s="32" t="s">
        <v>257</v>
      </c>
      <c r="D155" s="23"/>
      <c r="E155" s="24">
        <v>1</v>
      </c>
      <c r="F155" s="34">
        <f>1.1*E155</f>
        <v>1.1000000000000001</v>
      </c>
      <c r="G155" s="25">
        <f>F155</f>
        <v>1.1000000000000001</v>
      </c>
      <c r="H155" s="26" t="s">
        <v>243</v>
      </c>
      <c r="I155" s="27">
        <f t="shared" si="62"/>
        <v>1.1000000000000001</v>
      </c>
      <c r="J155" s="28">
        <v>45663</v>
      </c>
      <c r="K155" s="29" t="s">
        <v>307</v>
      </c>
      <c r="L155" s="30">
        <f t="shared" si="61"/>
        <v>1.1000000000000001</v>
      </c>
      <c r="M155" s="30">
        <f>IF(B155="Texion Textil",0,IF(C155="Malha",'Custos insumos'!$B$24,IF(C155="Dublagem Cretone",'Custos insumos'!$D$7,IF(C155="Dublagem Spun",'Custos insumos'!$D$4,IF(C155="Espelhamento",'Custos insumos'!$B$11,IF(C155="Espelhamento 2x",2*'Custos insumos'!$B$11,IF(C155="Esp. + Pel.",'Custos insumos'!$B$11,IF(C155="Pel. + Spun",'Custos insumos'!$D$4,IF(C155="Dublagem Cretone PES",'Custos insumos'!$D$7,IF(C155="Dublagem Barreira",'Custos insumos'!$D$11,IF(C155="Dublagem - MO + Filme",'Custos insumos'!$D$4,IF(C155="Dublagem Cretone HM50",'Custos insumos'!$D$26,IF(C155="Dublagem Cretone HM70",'Custos insumos'!$F$10,)))))))))))))</f>
        <v>0</v>
      </c>
      <c r="N155" s="30">
        <f>IF(B155="Texion Textil",0,IF(B155="Três Elos",0,IF(C155="Malha",0,IF(C155="Dublagem Cretone",'Custos insumos'!$D$23,IF(C155="Dublagem Spun",'Custos insumos'!$D$16,IF(C155="Espelhamento",0,IF(C155="Espelhamento 2x",0,IF(C155="Esp. + Pel.",0,IF(C155="Pel. + Spun",'Custos insumos'!$D$16,IF(C155="Dublagem Cretone PES",'Custos insumos'!$F$25,IF(C155="Dublagem Barreira",'Custos insumos'!$D$22,)))))))))))</f>
        <v>0</v>
      </c>
      <c r="O155" s="18"/>
      <c r="P155" s="53">
        <f t="shared" si="34"/>
        <v>0.31990545454545449</v>
      </c>
      <c r="Q155" s="50">
        <f t="shared" si="35"/>
        <v>275</v>
      </c>
      <c r="R155" s="50" cm="1">
        <f t="array" ref="R155">_xlfn.IFS(C155="Calandra",(350),C155="Peletização",(421),C155="Dublagem Spun",(250),C155="Dublagem Cretone PES",(180),C155="Felpagem",(270/E155),C155="Emborrachamento",(200),C155="Espelhamento",(250),C155="Malha",(1),C155="Dublagem Cretone",(180),C155="Malha",(1),C155="Dublagem Spun - MO",250,C155="Dublagem Cretone - MO",180,C155="Dublagem Cretone PES - MO",180,C155="Espelhamento - MO",250,C155="Emborrachamento",100,C155="Malha",0,C155="Dublagem Barreira",100,C155="Pel. + Cal.",350,C155="Fel. + Pel. + Cal.",270,C155="Pel. + Spun",250,C155="Espelhamento - L: 1,45m",200,C155="Espelhamento - L: 1,65m",200,C155="Estampagem",100,C155="Fel. + Cal.",270,C155="Dublagem Juta",180,C155="Dublagem Cretone - MO (Juta)",180,C155="Dublagem Tapete",150,C155="Esp. + Pel.",200,C155="Espelhamento 2x",100)</f>
        <v>250</v>
      </c>
      <c r="S155" s="50">
        <f t="shared" si="36"/>
        <v>187.02600000000001</v>
      </c>
      <c r="T155" s="18" cm="1">
        <f t="array" ref="T155">_xlfn.IFS(C155="Calandra",0.4,C155="Felpagem",0.3,C155="Dublagem Spun",0.8,C155="Dublagem Cretone",0.8,C155="Dublagem Cretone PES",0.8,C155="Espelhamento",0.8,C155="Peletização",0.5,C155="Dublagem Spun - MO",0.8,C155="Dublagem Cretone - MO",0.8,C155="Dublagem Cretone PES - MO",0.8,C155="Espelhamento - MO",0.8,C155="Emborrachamento",1,C155="Malha",0,C155="Dublagem Barreira",1,C155="Pel. + Cal.",0.4,C155="Fel. + Pel. + Cal.",0.5,C155="Pel. + Spun",0.8,C155="Espelhamento - L: 1,45m",0.8,C155="Espelhamento - L: 1,65m",0.8,C155="Estampagem",1,C155="Fel. + Cal.",0.4,C155="Dublagem Juta",0.8,C155="Dublagem Cretone - MO (Juta)",0.8,C155="Dublagem Tapete",0.8,C155="Esp. + Pel.",0.8,C155="Espelhamento 2x",0.8)</f>
        <v>0.8</v>
      </c>
      <c r="U155" s="18">
        <v>1</v>
      </c>
      <c r="V155" s="18">
        <v>1</v>
      </c>
      <c r="W155" s="18"/>
      <c r="X155" s="18">
        <v>39.67</v>
      </c>
      <c r="Y155" s="18">
        <v>38.51</v>
      </c>
      <c r="Z155" s="18">
        <v>116.78</v>
      </c>
      <c r="AA155" s="18"/>
    </row>
    <row r="156" spans="1:27" ht="14.25" customHeight="1" x14ac:dyDescent="0.35">
      <c r="A156" s="18"/>
      <c r="B156" s="22" t="s">
        <v>211</v>
      </c>
      <c r="C156" s="32" t="s">
        <v>142</v>
      </c>
      <c r="D156" s="23"/>
      <c r="E156" s="24">
        <v>1</v>
      </c>
      <c r="F156" s="34">
        <f>1.1*E156</f>
        <v>1.1000000000000001</v>
      </c>
      <c r="G156" s="25">
        <f>F156</f>
        <v>1.1000000000000001</v>
      </c>
      <c r="H156" s="26" t="s">
        <v>243</v>
      </c>
      <c r="I156" s="27">
        <f t="shared" si="62"/>
        <v>1.1000000000000001</v>
      </c>
      <c r="J156" s="28">
        <v>45663</v>
      </c>
      <c r="K156" s="29" t="s">
        <v>307</v>
      </c>
      <c r="L156" s="30">
        <f t="shared" si="61"/>
        <v>1.1000000000000001</v>
      </c>
      <c r="M156" s="30">
        <f>IF(B156="Texion Textil",0,IF(C156="Malha",'Custos insumos'!$B$24,IF(C156="Dublagem Cretone",'Custos insumos'!$D$7,IF(C156="Dublagem Spun",'Custos insumos'!$D$4,IF(C156="Espelhamento",'Custos insumos'!$B$11,IF(C156="Espelhamento 2x",2*'Custos insumos'!$B$11,IF(C156="Esp. + Pel.",'Custos insumos'!$B$11,IF(C156="Pel. + Spun",'Custos insumos'!$D$4,IF(C156="Dublagem Cretone PES",'Custos insumos'!$D$7,IF(C156="Dublagem Barreira",'Custos insumos'!$D$11,IF(C156="Dublagem - MO + Filme",'Custos insumos'!$D$4,IF(C156="Dublagem Cretone HM50",'Custos insumos'!$D$26,IF(C156="Dublagem Cretone HM70",'Custos insumos'!$F$10,)))))))))))))</f>
        <v>0</v>
      </c>
      <c r="N156" s="30">
        <f>IF(B156="Texion Textil",0,IF(B156="Três Elos",0,IF(C156="Malha",0,IF(C156="Dublagem Cretone",'Custos insumos'!$D$23,IF(C156="Dublagem Spun",'Custos insumos'!$D$16,IF(C156="Espelhamento",0,IF(C156="Espelhamento 2x",0,IF(C156="Esp. + Pel.",0,IF(C156="Pel. + Spun",'Custos insumos'!$D$16,IF(C156="Dublagem Cretone PES",'Custos insumos'!$F$25,IF(C156="Dublagem Barreira",'Custos insumos'!$D$22,)))))))))))</f>
        <v>0</v>
      </c>
      <c r="O156" s="18"/>
      <c r="P156" s="53">
        <f t="shared" si="34"/>
        <v>0.55543376623376628</v>
      </c>
      <c r="Q156" s="50">
        <f t="shared" si="35"/>
        <v>385.00000000000006</v>
      </c>
      <c r="R156" s="50" cm="1">
        <f t="array" ref="R156">_xlfn.IFS(C156="Calandra",(350),C156="Peletização",(421),C156="Dublagem Spun",(250),C156="Dublagem Cretone PES",(180),C156="Felpagem",(270/E156),C156="Emborrachamento",(200),C156="Espelhamento",(250),C156="Malha",(1),C156="Dublagem Cretone",(180),C156="Malha",(1),C156="Dublagem Spun - MO",250,C156="Dublagem Cretone - MO",180,C156="Dublagem Cretone PES - MO",180,C156="Espelhamento - MO",250,C156="Emborrachamento",100,C156="Malha",0,C156="Dublagem Barreira",100,C156="Pel. + Cal.",350,C156="Fel. + Pel. + Cal.",270,C156="Pel. + Spun",250,C156="Espelhamento - L: 1,45m",200,C156="Espelhamento - L: 1,65m",200,C156="Estampagem",100,C156="Fel. + Cal.",270,C156="Dublagem Juta",180,C156="Dublagem Cretone - MO (Juta)",180,C156="Dublagem Tapete",150,C156="Esp. + Pel.",200,C156="Espelhamento 2x",100)</f>
        <v>350</v>
      </c>
      <c r="S156" s="50">
        <f t="shared" si="36"/>
        <v>171.15800000000002</v>
      </c>
      <c r="T156" s="18" cm="1">
        <f t="array" ref="T156">_xlfn.IFS(C156="Calandra",0.4,C156="Felpagem",0.3,C156="Dublagem Spun",0.8,C156="Dublagem Cretone",0.8,C156="Dublagem Cretone PES",0.8,C156="Espelhamento",0.8,C156="Peletização",0.5,C156="Dublagem Spun - MO",0.8,C156="Dublagem Cretone - MO",0.8,C156="Dublagem Cretone PES - MO",0.8,C156="Espelhamento - MO",0.8,C156="Emborrachamento",1,C156="Malha",0,C156="Dublagem Barreira",1,C156="Pel. + Cal.",0.4,C156="Fel. + Pel. + Cal.",0.5,C156="Pel. + Spun",0.8,C156="Espelhamento - L: 1,45m",0.8,C156="Espelhamento - L: 1,65m",0.8,C156="Estampagem",1,C156="Fel. + Cal.",0.4,C156="Dublagem Juta",0.8,C156="Dublagem Cretone - MO (Juta)",0.8,C156="Dublagem Tapete",0.8,C156="Esp. + Pel.",0.8,C156="Espelhamento 2x",0.8)</f>
        <v>0.4</v>
      </c>
      <c r="U156" s="18">
        <v>1</v>
      </c>
      <c r="V156" s="18">
        <v>1</v>
      </c>
      <c r="W156" s="18"/>
      <c r="X156" s="18">
        <v>39.67</v>
      </c>
      <c r="Y156" s="18">
        <v>38.51</v>
      </c>
      <c r="Z156" s="18">
        <v>116.78</v>
      </c>
      <c r="AA156" s="18"/>
    </row>
    <row r="157" spans="1:27" ht="14.25" customHeight="1" x14ac:dyDescent="0.35">
      <c r="A157" s="18"/>
      <c r="B157" s="22" t="s">
        <v>212</v>
      </c>
      <c r="C157" s="32" t="s">
        <v>261</v>
      </c>
      <c r="D157" s="23"/>
      <c r="E157" s="24">
        <v>1</v>
      </c>
      <c r="F157" s="25">
        <f>1.1*E157</f>
        <v>1.1000000000000001</v>
      </c>
      <c r="G157" s="25">
        <f>F157</f>
        <v>1.1000000000000001</v>
      </c>
      <c r="H157" s="26" t="s">
        <v>243</v>
      </c>
      <c r="I157" s="27">
        <f t="shared" si="62"/>
        <v>1.1000000000000001</v>
      </c>
      <c r="J157" s="28">
        <v>45663</v>
      </c>
      <c r="K157" s="29" t="s">
        <v>307</v>
      </c>
      <c r="L157" s="30">
        <f t="shared" si="61"/>
        <v>1.1000000000000001</v>
      </c>
      <c r="M157" s="30">
        <f>IF(B157="Texion Textil",0,IF(C157="Malha",'Custos insumos'!$B$24,IF(C157="Dublagem Cretone",'Custos insumos'!$D$7,IF(C157="Dublagem Spun",'Custos insumos'!$D$4,IF(C157="Espelhamento",'Custos insumos'!$B$11,IF(C157="Espelhamento 2x",2*'Custos insumos'!$B$11,IF(C157="Esp. + Pel.",'Custos insumos'!$B$11,IF(C157="Pel. + Spun",'Custos insumos'!$D$4,IF(C157="Dublagem Cretone PES",'Custos insumos'!$D$7,IF(C157="Dublagem Barreira",'Custos insumos'!$D$11,IF(C157="Dublagem - MO + Filme",'Custos insumos'!$D$4,IF(C157="Dublagem Cretone HM50",'Custos insumos'!$D$26,IF(C157="Dublagem Cretone HM70",'Custos insumos'!$F$10,)))))))))))))</f>
        <v>0</v>
      </c>
      <c r="N157" s="30">
        <f>IF(B157="Texion Textil",0,IF(B157="Três Elos",0,IF(C157="Malha",0,IF(C157="Dublagem Cretone",'Custos insumos'!$D$23,IF(C157="Dublagem Spun",'Custos insumos'!$D$16,IF(C157="Espelhamento",0,IF(C157="Espelhamento 2x",0,IF(C157="Esp. + Pel.",0,IF(C157="Pel. + Spun",'Custos insumos'!$D$16,IF(C157="Dublagem Cretone PES",'Custos insumos'!$F$25,IF(C157="Dublagem Barreira",'Custos insumos'!$D$22,)))))))))))</f>
        <v>0</v>
      </c>
      <c r="O157" s="18"/>
      <c r="P157" s="53">
        <f t="shared" si="34"/>
        <v>5.5424242424242508E-2</v>
      </c>
      <c r="Q157" s="50">
        <f t="shared" si="35"/>
        <v>198.00000000000003</v>
      </c>
      <c r="R157" s="50" cm="1">
        <f t="array" ref="R157">_xlfn.IFS(C157="Calandra",(350),C157="Peletização",(421),C157="Dublagem Spun",(250),C157="Dublagem Cretone PES",(180),C157="Felpagem",(270/E157),C157="Emborrachamento",(200),C157="Espelhamento",(250),C157="Malha",(1),C157="Dublagem Cretone",(180),C157="Malha",(1),C157="Dublagem Spun - MO",250,C157="Dublagem Cretone - MO",180,C157="Dublagem Cretone PES - MO",180,C157="Espelhamento - MO",250,C157="Emborrachamento",100,C157="Malha",0,C157="Dublagem Barreira",100,C157="Pel. + Cal.",350,C157="Fel. + Pel. + Cal.",270,C157="Pel. + Spun",250,C157="Espelhamento - L: 1,45m",200,C157="Espelhamento - L: 1,65m",200,C157="Estampagem",100,C157="Fel. + Cal.",270,C157="Dublagem Juta",180,C157="Dublagem Cretone - MO (Juta)",180,C157="Dublagem Tapete",150,C157="Esp. + Pel.",200,C157="Espelhamento 2x",100)</f>
        <v>180</v>
      </c>
      <c r="S157" s="50">
        <f t="shared" si="36"/>
        <v>187.02600000000001</v>
      </c>
      <c r="T157" s="18" cm="1">
        <f t="array" ref="T157">_xlfn.IFS(C157="Calandra",0.4,C157="Felpagem",0.3,C157="Dublagem Spun",0.8,C157="Dublagem Cretone",0.8,C157="Dublagem Cretone PES",0.8,C157="Espelhamento",0.8,C157="Peletização",0.5,C157="Dublagem Spun - MO",0.8,C157="Dublagem Cretone - MO",0.8,C157="Dublagem Cretone PES - MO",0.8,C157="Espelhamento - MO",0.8,C157="Emborrachamento",1,C157="Malha",0,C157="Dublagem Barreira",1,C157="Pel. + Cal.",0.4,C157="Fel. + Pel. + Cal.",0.5,C157="Pel. + Spun",0.8,C157="Espelhamento - L: 1,45m",0.8,C157="Espelhamento - L: 1,65m",0.8,C157="Estampagem",1,C157="Fel. + Cal.",0.4,C157="Dublagem Juta",0.8,C157="Dublagem Cretone - MO (Juta)",0.8,C157="Dublagem Tapete",0.8,C157="Esp. + Pel.",0.8,C157="Espelhamento 2x",0.8)</f>
        <v>0.8</v>
      </c>
      <c r="U157" s="18">
        <v>1</v>
      </c>
      <c r="V157" s="18">
        <v>1</v>
      </c>
      <c r="W157" s="18"/>
      <c r="X157" s="18">
        <v>39.67</v>
      </c>
      <c r="Y157" s="18">
        <v>38.51</v>
      </c>
      <c r="Z157" s="18">
        <v>116.78</v>
      </c>
      <c r="AA157" s="18"/>
    </row>
    <row r="158" spans="1:27" ht="14.25" customHeight="1" x14ac:dyDescent="0.35">
      <c r="A158" s="18"/>
      <c r="B158" s="22" t="s">
        <v>212</v>
      </c>
      <c r="C158" s="32" t="s">
        <v>437</v>
      </c>
      <c r="D158" s="23"/>
      <c r="E158" s="24"/>
      <c r="F158" s="68"/>
      <c r="G158" s="25">
        <v>2.4500000000000002</v>
      </c>
      <c r="H158" s="26"/>
      <c r="I158" s="27"/>
      <c r="J158" s="28"/>
      <c r="K158" s="29"/>
      <c r="L158" s="30">
        <f t="shared" si="61"/>
        <v>2.4500000000000002</v>
      </c>
      <c r="M158" s="30"/>
      <c r="N158" s="30"/>
      <c r="O158" s="18"/>
      <c r="P158" s="53"/>
      <c r="Q158" s="50"/>
      <c r="R158" s="50"/>
      <c r="S158" s="50"/>
      <c r="T158" s="18"/>
      <c r="U158" s="18"/>
      <c r="V158" s="18"/>
      <c r="W158" s="18"/>
      <c r="X158" s="18"/>
      <c r="Y158" s="18"/>
      <c r="Z158" s="18"/>
      <c r="AA158" s="18"/>
    </row>
    <row r="159" spans="1:27" ht="14.25" customHeight="1" x14ac:dyDescent="0.35">
      <c r="A159" s="18"/>
      <c r="B159" s="22" t="s">
        <v>212</v>
      </c>
      <c r="C159" s="32" t="s">
        <v>438</v>
      </c>
      <c r="D159" s="23"/>
      <c r="E159" s="24"/>
      <c r="F159" s="68"/>
      <c r="G159" s="25">
        <v>3.9</v>
      </c>
      <c r="H159" s="26"/>
      <c r="I159" s="27"/>
      <c r="J159" s="28"/>
      <c r="K159" s="29"/>
      <c r="L159" s="30">
        <f t="shared" si="61"/>
        <v>2.4611999999999998</v>
      </c>
      <c r="M159" s="30">
        <f>'Custos insumos'!L3</f>
        <v>0.73080000000000001</v>
      </c>
      <c r="N159" s="30">
        <f>'Custos insumos'!L18</f>
        <v>0.70799999999999996</v>
      </c>
      <c r="O159" s="18"/>
      <c r="P159" s="53"/>
      <c r="Q159" s="50"/>
      <c r="R159" s="50"/>
      <c r="S159" s="50"/>
      <c r="T159" s="18"/>
      <c r="U159" s="18"/>
      <c r="V159" s="18"/>
      <c r="W159" s="18"/>
      <c r="X159" s="18"/>
      <c r="Y159" s="18"/>
      <c r="Z159" s="18"/>
      <c r="AA159" s="18"/>
    </row>
    <row r="160" spans="1:27" ht="14.25" customHeight="1" x14ac:dyDescent="0.35">
      <c r="A160" s="18"/>
      <c r="B160" s="22" t="s">
        <v>212</v>
      </c>
      <c r="C160" s="32" t="s">
        <v>260</v>
      </c>
      <c r="D160" s="23"/>
      <c r="E160" s="24">
        <v>1</v>
      </c>
      <c r="F160" s="34">
        <f>1.1*E160</f>
        <v>1.1000000000000001</v>
      </c>
      <c r="G160" s="25">
        <f t="shared" ref="G160:G172" si="67">F160</f>
        <v>1.1000000000000001</v>
      </c>
      <c r="H160" s="26" t="s">
        <v>243</v>
      </c>
      <c r="I160" s="27">
        <f t="shared" ref="I160:I176" si="68">G160/E160</f>
        <v>1.1000000000000001</v>
      </c>
      <c r="J160" s="28">
        <v>45663</v>
      </c>
      <c r="K160" s="29" t="s">
        <v>307</v>
      </c>
      <c r="L160" s="30">
        <f t="shared" si="61"/>
        <v>1.1000000000000001</v>
      </c>
      <c r="M160" s="30">
        <f>IF(B160="Texion Textil",0,IF(C160="Malha",'Custos insumos'!$B$24,IF(C160="Dublagem Cretone",'Custos insumos'!$D$7,IF(C160="Dublagem Spun",'Custos insumos'!$D$4,IF(C160="Espelhamento",'Custos insumos'!$B$11,IF(C160="Espelhamento 2x",2*'Custos insumos'!$B$11,IF(C160="Esp. + Pel.",'Custos insumos'!$B$11,IF(C160="Pel. + Spun",'Custos insumos'!$D$4,IF(C160="Dublagem Cretone PES",'Custos insumos'!$D$7,IF(C160="Dublagem Barreira",'Custos insumos'!$D$11,IF(C160="Dublagem - MO + Filme",'Custos insumos'!$D$4,IF(C160="Dublagem Cretone HM50",'Custos insumos'!$D$26,IF(C160="Dublagem Cretone HM70",'Custos insumos'!$F$10,)))))))))))))</f>
        <v>0</v>
      </c>
      <c r="N160" s="30">
        <f>IF(B160="Texion Textil",0,IF(B160="Três Elos",0,IF(C160="Malha",0,IF(C160="Dublagem Cretone",'Custos insumos'!$D$23,IF(C160="Dublagem Spun",'Custos insumos'!$D$16,IF(C160="Espelhamento",0,IF(C160="Espelhamento 2x",0,IF(C160="Esp. + Pel.",0,IF(C160="Pel. + Spun",'Custos insumos'!$D$16,IF(C160="Dublagem Cretone PES",'Custos insumos'!$F$25,IF(C160="Dublagem Barreira",'Custos insumos'!$D$22,)))))))))))</f>
        <v>0</v>
      </c>
      <c r="O160" s="18"/>
      <c r="P160" s="53">
        <f t="shared" si="34"/>
        <v>0.31990545454545449</v>
      </c>
      <c r="Q160" s="50">
        <f t="shared" si="35"/>
        <v>275</v>
      </c>
      <c r="R160" s="50" cm="1">
        <f t="array" ref="R160">_xlfn.IFS(C160="Calandra",(350),C160="Peletização",(421),C160="Dublagem Spun",(250),C160="Dublagem Cretone PES",(180),C160="Felpagem",(270/E160),C160="Emborrachamento",(200),C160="Espelhamento",(250),C160="Malha",(1),C160="Dublagem Cretone",(180),C160="Malha",(1),C160="Dublagem Spun - MO",250,C160="Dublagem Cretone - MO",180,C160="Dublagem Cretone PES - MO",180,C160="Espelhamento - MO",250,C160="Emborrachamento",100,C160="Malha",0,C160="Dublagem Barreira",100,C160="Pel. + Cal.",350,C160="Fel. + Pel. + Cal.",270,C160="Pel. + Spun",250,C160="Espelhamento - L: 1,45m",200,C160="Espelhamento - L: 1,65m",200,C160="Estampagem",100,C160="Fel. + Cal.",270,C160="Dublagem Juta",180,C160="Dublagem Cretone - MO (Juta)",180,C160="Dublagem Tapete",150,C160="Esp. + Pel.",200,C160="Espelhamento 2x",100)</f>
        <v>250</v>
      </c>
      <c r="S160" s="50">
        <f t="shared" si="36"/>
        <v>187.02600000000001</v>
      </c>
      <c r="T160" s="18" cm="1">
        <f t="array" ref="T160">_xlfn.IFS(C160="Calandra",0.4,C160="Felpagem",0.3,C160="Dublagem Spun",0.8,C160="Dublagem Cretone",0.8,C160="Dublagem Cretone PES",0.8,C160="Espelhamento",0.8,C160="Peletização",0.5,C160="Dublagem Spun - MO",0.8,C160="Dublagem Cretone - MO",0.8,C160="Dublagem Cretone PES - MO",0.8,C160="Espelhamento - MO",0.8,C160="Emborrachamento",1,C160="Malha",0,C160="Dublagem Barreira",1,C160="Pel. + Cal.",0.4,C160="Fel. + Pel. + Cal.",0.5,C160="Pel. + Spun",0.8,C160="Espelhamento - L: 1,45m",0.8,C160="Espelhamento - L: 1,65m",0.8,C160="Estampagem",1,C160="Fel. + Cal.",0.4,C160="Dublagem Juta",0.8,C160="Dublagem Cretone - MO (Juta)",0.8,C160="Dublagem Tapete",0.8,C160="Esp. + Pel.",0.8,C160="Espelhamento 2x",0.8)</f>
        <v>0.8</v>
      </c>
      <c r="U160" s="18">
        <v>1</v>
      </c>
      <c r="V160" s="18">
        <v>1</v>
      </c>
      <c r="W160" s="18"/>
      <c r="X160" s="18">
        <v>39.67</v>
      </c>
      <c r="Y160" s="18">
        <v>38.51</v>
      </c>
      <c r="Z160" s="18">
        <v>116.78</v>
      </c>
      <c r="AA160" s="18"/>
    </row>
    <row r="161" spans="1:27" ht="14.25" customHeight="1" x14ac:dyDescent="0.35">
      <c r="A161" s="18"/>
      <c r="B161" s="22" t="s">
        <v>217</v>
      </c>
      <c r="C161" s="32" t="s">
        <v>144</v>
      </c>
      <c r="D161" s="23"/>
      <c r="E161" s="24">
        <v>1</v>
      </c>
      <c r="F161" s="34">
        <v>0.45</v>
      </c>
      <c r="G161" s="25">
        <f t="shared" si="67"/>
        <v>0.45</v>
      </c>
      <c r="H161" s="26" t="s">
        <v>243</v>
      </c>
      <c r="I161" s="27">
        <f t="shared" si="68"/>
        <v>0.45</v>
      </c>
      <c r="J161" s="28">
        <v>45663</v>
      </c>
      <c r="K161" s="29"/>
      <c r="L161" s="30">
        <f t="shared" si="61"/>
        <v>0.45</v>
      </c>
      <c r="M161" s="30">
        <f>IF(B161="Texion Textil",0,IF(C161="Malha",'Custos insumos'!$B$24,IF(C161="Dublagem Cretone",'Custos insumos'!$D$7,IF(C161="Dublagem Spun",'Custos insumos'!$D$4,IF(C161="Espelhamento",'Custos insumos'!$B$11,IF(C161="Espelhamento 2x",2*'Custos insumos'!$B$11,IF(C161="Esp. + Pel.",'Custos insumos'!$B$11,IF(C161="Pel. + Spun",'Custos insumos'!$D$4,IF(C161="Dublagem Cretone PES",'Custos insumos'!$D$7,IF(C161="Dublagem Barreira",'Custos insumos'!$D$11,IF(C161="Dublagem - MO + Filme",'Custos insumos'!$D$4,IF(C161="Dublagem Cretone HM50",'Custos insumos'!$D$26,IF(C161="Dublagem Cretone HM70",'Custos insumos'!$F$10,)))))))))))))</f>
        <v>0</v>
      </c>
      <c r="N161" s="30">
        <f>IF(B161="Texion Textil",0,IF(B161="Três Elos",0,IF(C161="Malha",0,IF(C161="Dublagem Cretone",'Custos insumos'!$D$23,IF(C161="Dublagem Spun",'Custos insumos'!$D$16,IF(C161="Espelhamento",0,IF(C161="Espelhamento 2x",0,IF(C161="Esp. + Pel.",0,IF(C161="Pel. + Spun",'Custos insumos'!$D$16,IF(C161="Dublagem Cretone PES",'Custos insumos'!$F$25,IF(C161="Dublagem Barreira",'Custos insumos'!$D$22,)))))))))))</f>
        <v>0</v>
      </c>
      <c r="O161" s="18"/>
      <c r="P161" s="53">
        <f t="shared" si="34"/>
        <v>7.5613618368962868E-2</v>
      </c>
      <c r="Q161" s="50">
        <f t="shared" si="35"/>
        <v>189.45000000000002</v>
      </c>
      <c r="R161" s="50" cm="1">
        <f t="array" ref="R161">_xlfn.IFS(C161="Calandra",(350),C161="Peletização",(421),C161="Dublagem Spun",(250),C161="Dublagem Cretone PES",(180),C161="Felpagem",(270/E161),C161="Emborrachamento",(200),C161="Espelhamento",(250),C161="Malha",(1),C161="Dublagem Cretone",(180),C161="Malha",(1),C161="Dublagem Spun - MO",250,C161="Dublagem Cretone - MO",180,C161="Dublagem Cretone PES - MO",180,C161="Espelhamento - MO",250,C161="Emborrachamento",100,C161="Malha",0,C161="Dublagem Barreira",100,C161="Pel. + Cal.",350,C161="Fel. + Pel. + Cal.",270,C161="Pel. + Spun",250,C161="Espelhamento - L: 1,45m",200,C161="Espelhamento - L: 1,65m",200,C161="Estampagem",100,C161="Fel. + Cal.",270,C161="Dublagem Juta",180,C161="Dublagem Cretone - MO (Juta)",180,C161="Dublagem Tapete",150,C161="Esp. + Pel.",200,C161="Espelhamento 2x",100)</f>
        <v>421</v>
      </c>
      <c r="S161" s="50">
        <f t="shared" si="36"/>
        <v>175.125</v>
      </c>
      <c r="T161" s="18" cm="1">
        <f t="array" ref="T161">_xlfn.IFS(C161="Calandra",0.4,C161="Felpagem",0.3,C161="Dublagem Spun",0.8,C161="Dublagem Cretone",0.8,C161="Dublagem Cretone PES",0.8,C161="Espelhamento",0.8,C161="Peletização",0.5,C161="Dublagem Spun - MO",0.8,C161="Dublagem Cretone - MO",0.8,C161="Dublagem Cretone PES - MO",0.8,C161="Espelhamento - MO",0.8,C161="Emborrachamento",1,C161="Malha",0,C161="Dublagem Barreira",1,C161="Pel. + Cal.",0.4,C161="Fel. + Pel. + Cal.",0.5,C161="Pel. + Spun",0.8,C161="Espelhamento - L: 1,45m",0.8,C161="Espelhamento - L: 1,65m",0.8,C161="Estampagem",1,C161="Fel. + Cal.",0.4,C161="Dublagem Juta",0.8,C161="Dublagem Cretone - MO (Juta)",0.8,C161="Dublagem Tapete",0.8,C161="Esp. + Pel.",0.8,C161="Espelhamento 2x",0.8)</f>
        <v>0.5</v>
      </c>
      <c r="U161" s="18">
        <v>1</v>
      </c>
      <c r="V161" s="18">
        <v>1</v>
      </c>
      <c r="W161" s="18"/>
      <c r="X161" s="18">
        <v>39.67</v>
      </c>
      <c r="Y161" s="18">
        <v>38.51</v>
      </c>
      <c r="Z161" s="18">
        <v>116.78</v>
      </c>
      <c r="AA161" s="18"/>
    </row>
    <row r="162" spans="1:27" ht="14.25" customHeight="1" x14ac:dyDescent="0.35">
      <c r="A162" s="18"/>
      <c r="B162" s="22" t="s">
        <v>217</v>
      </c>
      <c r="C162" s="32" t="s">
        <v>314</v>
      </c>
      <c r="D162" s="23" t="s">
        <v>220</v>
      </c>
      <c r="E162" s="24">
        <v>1</v>
      </c>
      <c r="F162" s="41">
        <v>1.4</v>
      </c>
      <c r="G162" s="25">
        <f t="shared" si="67"/>
        <v>1.4</v>
      </c>
      <c r="H162" s="26" t="s">
        <v>243</v>
      </c>
      <c r="I162" s="27">
        <f t="shared" si="68"/>
        <v>1.4</v>
      </c>
      <c r="J162" s="28">
        <v>45663</v>
      </c>
      <c r="K162" s="29" t="s">
        <v>315</v>
      </c>
      <c r="L162" s="30">
        <f t="shared" si="61"/>
        <v>1.4</v>
      </c>
      <c r="M162" s="30">
        <f>IF(B162="Texion Textil",0,IF(C162="Malha",'Custos insumos'!$B$24,IF(C162="Dublagem Cretone",'Custos insumos'!$D$7,IF(C162="Dublagem Spun",'Custos insumos'!$D$4,IF(C162="Espelhamento",'Custos insumos'!$B$11,IF(C162="Espelhamento 2x",2*'Custos insumos'!$B$11,IF(C162="Esp. + Pel.",'Custos insumos'!$B$11,IF(C162="Pel. + Spun",'Custos insumos'!$D$4,IF(C162="Dublagem Cretone PES",'Custos insumos'!$D$7,IF(C162="Dublagem Barreira",'Custos insumos'!$D$11,IF(C162="Dublagem - MO + Filme",'Custos insumos'!$D$4,IF(C162="Dublagem Cretone HM50",'Custos insumos'!$D$26,IF(C162="Dublagem Cretone HM70",'Custos insumos'!$F$10,)))))))))))))</f>
        <v>0</v>
      </c>
      <c r="N162" s="30">
        <f>IF(B162="Texion Textil",0,IF(B162="Três Elos",0,IF(C162="Malha",0,IF(C162="Dublagem Cretone",'Custos insumos'!$D$23,IF(C162="Dublagem Spun",'Custos insumos'!$D$16,IF(C162="Espelhamento",0,IF(C162="Espelhamento 2x",0,IF(C162="Esp. + Pel.",0,IF(C162="Pel. + Spun",'Custos insumos'!$D$16,IF(C162="Dublagem Cretone PES",'Custos insumos'!$F$25,IF(C162="Dublagem Barreira",'Custos insumos'!$D$22,)))))))))))</f>
        <v>0</v>
      </c>
      <c r="O162" s="18"/>
      <c r="P162" s="53">
        <f t="shared" si="34"/>
        <v>0.53670634920634919</v>
      </c>
      <c r="Q162" s="50">
        <f t="shared" si="35"/>
        <v>378</v>
      </c>
      <c r="R162" s="50" cm="1">
        <f t="array" ref="R162">_xlfn.IFS(C162="Calandra",(350),C162="Peletização",(421),C162="Dublagem Spun",(250),C162="Dublagem Cretone PES",(180),C162="Felpagem",(270/E162),C162="Emborrachamento",(200),C162="Espelhamento",(250),C162="Malha",(1),C162="Dublagem Cretone",(180),C162="Malha",(1),C162="Dublagem Spun - MO",250,C162="Dublagem Cretone - MO",180,C162="Dublagem Cretone PES - MO",180,C162="Espelhamento - MO",250,C162="Emborrachamento",100,C162="Malha",0,C162="Dublagem Barreira",100,C162="Pel. + Cal.",350,C162="Fel. + Pel. + Cal.",270,C162="Pel. + Spun",250,C162="Espelhamento - L: 1,45m",200,C162="Espelhamento - L: 1,65m",200,C162="Estampagem",100,C162="Fel. + Cal.",270,C162="Dublagem Juta",180,C162="Dublagem Cretone - MO (Juta)",180,C162="Dublagem Tapete",150,C162="Esp. + Pel.",200,C162="Espelhamento 2x",100)</f>
        <v>270</v>
      </c>
      <c r="S162" s="50">
        <f t="shared" si="36"/>
        <v>175.125</v>
      </c>
      <c r="T162" s="18" cm="1">
        <f t="array" ref="T162">_xlfn.IFS(C162="Calandra",0.4,C162="Felpagem",0.3,C162="Dublagem Spun",0.8,C162="Dublagem Cretone",0.8,C162="Dublagem Cretone PES",0.8,C162="Espelhamento",0.8,C162="Peletização",0.5,C162="Dublagem Spun - MO",0.8,C162="Dublagem Cretone - MO",0.8,C162="Dublagem Cretone PES - MO",0.8,C162="Espelhamento - MO",0.8,C162="Emborrachamento",1,C162="Malha",0,C162="Dublagem Barreira",1,C162="Pel. + Cal.",0.4,C162="Fel. + Pel. + Cal.",0.5,C162="Pel. + Spun",0.8,C162="Espelhamento - L: 1,45m",0.8,C162="Espelhamento - L: 1,65m",0.8,C162="Estampagem",1,C162="Fel. + Cal.",0.4,C162="Dublagem Juta",0.8,C162="Dublagem Cretone - MO (Juta)",0.8,C162="Dublagem Tapete",0.8,C162="Esp. + Pel.",0.8,C162="Espelhamento 2x",0.8)</f>
        <v>0.5</v>
      </c>
      <c r="U162" s="18">
        <v>1</v>
      </c>
      <c r="V162" s="18">
        <v>1</v>
      </c>
      <c r="W162" s="18"/>
      <c r="X162" s="18">
        <v>39.67</v>
      </c>
      <c r="Y162" s="18">
        <v>38.51</v>
      </c>
      <c r="Z162" s="18">
        <v>116.78</v>
      </c>
      <c r="AA162" s="18"/>
    </row>
    <row r="163" spans="1:27" ht="14.25" customHeight="1" x14ac:dyDescent="0.35">
      <c r="A163" s="18"/>
      <c r="B163" s="22" t="s">
        <v>217</v>
      </c>
      <c r="C163" s="23" t="s">
        <v>316</v>
      </c>
      <c r="D163" s="23" t="s">
        <v>317</v>
      </c>
      <c r="E163" s="24">
        <v>1</v>
      </c>
      <c r="F163" s="25">
        <v>1.35</v>
      </c>
      <c r="G163" s="25">
        <f t="shared" si="67"/>
        <v>1.35</v>
      </c>
      <c r="H163" s="26" t="s">
        <v>243</v>
      </c>
      <c r="I163" s="27">
        <f t="shared" si="68"/>
        <v>1.35</v>
      </c>
      <c r="J163" s="28">
        <v>45663</v>
      </c>
      <c r="K163" s="29"/>
      <c r="L163" s="30">
        <f t="shared" si="61"/>
        <v>1.35</v>
      </c>
      <c r="M163" s="30">
        <f>IF(B163="Texion Textil",0,IF(C163="Malha",'Custos insumos'!$B$24,IF(C163="Dublagem Cretone",'Custos insumos'!$D$7,IF(C163="Dublagem Spun",'Custos insumos'!$D$4,IF(C163="Espelhamento",'Custos insumos'!$B$11,IF(C163="Espelhamento 2x",2*'Custos insumos'!$B$11,IF(C163="Esp. + Pel.",'Custos insumos'!$B$11,IF(C163="Pel. + Spun",'Custos insumos'!$D$4,IF(C163="Dublagem Cretone PES",'Custos insumos'!$D$7,IF(C163="Dublagem Barreira",'Custos insumos'!$D$11,IF(C163="Dublagem - MO + Filme",'Custos insumos'!$D$4,IF(C163="Dublagem Cretone HM50",'Custos insumos'!$D$26,IF(C163="Dublagem Cretone HM70",'Custos insumos'!$F$10,)))))))))))))</f>
        <v>0</v>
      </c>
      <c r="N163" s="30">
        <f>IF(B163="Texion Textil",0,IF(B163="Três Elos",0,IF(C163="Malha",0,IF(C163="Dublagem Cretone",'Custos insumos'!$D$23,IF(C163="Dublagem Spun",'Custos insumos'!$D$16,IF(C163="Espelhamento",0,IF(C163="Espelhamento 2x",0,IF(C163="Esp. + Pel.",0,IF(C163="Pel. + Spun",'Custos insumos'!$D$16,IF(C163="Dublagem Cretone PES",'Custos insumos'!$F$25,IF(C163="Dublagem Barreira",'Custos insumos'!$D$22,)))))))))))</f>
        <v>0</v>
      </c>
      <c r="O163" s="18"/>
      <c r="P163" s="53">
        <f t="shared" si="34"/>
        <v>0.44584888888888885</v>
      </c>
      <c r="Q163" s="50">
        <f t="shared" si="35"/>
        <v>337.5</v>
      </c>
      <c r="R163" s="50" cm="1">
        <f t="array" ref="R163">_xlfn.IFS(C163="Calandra",(350),C163="Peletização",(421),C163="Dublagem Spun",(250),C163="Dublagem Cretone PES",(180),C163="Felpagem",(270/E163),C163="Emborrachamento",(200),C163="Espelhamento",(250),C163="Malha",(1),C163="Dublagem Cretone",(180),C163="Malha",(1),C163="Dublagem Spun - MO",250,C163="Dublagem Cretone - MO",180,C163="Dublagem Cretone PES - MO",180,C163="Espelhamento - MO",250,C163="Emborrachamento",100,C163="Malha",0,C163="Dublagem Barreira",100,C163="Pel. + Cal.",350,C163="Fel. + Pel. + Cal.",270,C163="Pel. + Spun",250,C163="Espelhamento - L: 1,45m",200,C163="Espelhamento - L: 1,65m",200,C163="Estampagem",100,C163="Fel. + Cal.",270,C163="Dublagem Juta",180,C163="Dublagem Cretone - MO (Juta)",180,C163="Dublagem Tapete",150,C163="Esp. + Pel.",200,C163="Espelhamento 2x",100)</f>
        <v>250</v>
      </c>
      <c r="S163" s="50">
        <f t="shared" si="36"/>
        <v>187.02600000000001</v>
      </c>
      <c r="T163" s="18" cm="1">
        <f t="array" ref="T163">_xlfn.IFS(C163="Calandra",0.4,C163="Felpagem",0.3,C163="Dublagem Spun",0.8,C163="Dublagem Cretone",0.8,C163="Dublagem Cretone PES",0.8,C163="Espelhamento",0.8,C163="Peletização",0.5,C163="Dublagem Spun - MO",0.8,C163="Dublagem Cretone - MO",0.8,C163="Dublagem Cretone PES - MO",0.8,C163="Espelhamento - MO",0.8,C163="Emborrachamento",1,C163="Malha",0,C163="Dublagem Barreira",1,C163="Pel. + Cal.",0.4,C163="Fel. + Pel. + Cal.",0.5,C163="Pel. + Spun",0.8,C163="Espelhamento - L: 1,45m",0.8,C163="Espelhamento - L: 1,65m",0.8,C163="Estampagem",1,C163="Fel. + Cal.",0.4,C163="Dublagem Juta",0.8,C163="Dublagem Cretone - MO (Juta)",0.8,C163="Dublagem Tapete",0.8,C163="Esp. + Pel.",0.8,C163="Espelhamento 2x",0.8)</f>
        <v>0.8</v>
      </c>
      <c r="U163" s="18">
        <v>1</v>
      </c>
      <c r="V163" s="18">
        <v>1</v>
      </c>
      <c r="W163" s="18"/>
      <c r="X163" s="18">
        <v>39.67</v>
      </c>
      <c r="Y163" s="18">
        <v>38.51</v>
      </c>
      <c r="Z163" s="18">
        <v>116.78</v>
      </c>
      <c r="AA163" s="18"/>
    </row>
    <row r="164" spans="1:27" ht="14.25" customHeight="1" x14ac:dyDescent="0.35">
      <c r="A164" s="18"/>
      <c r="B164" s="22" t="s">
        <v>217</v>
      </c>
      <c r="C164" s="23" t="s">
        <v>142</v>
      </c>
      <c r="D164" s="23"/>
      <c r="E164" s="24">
        <v>1</v>
      </c>
      <c r="F164" s="25">
        <v>0.65</v>
      </c>
      <c r="G164" s="25">
        <f t="shared" si="67"/>
        <v>0.65</v>
      </c>
      <c r="H164" s="26" t="s">
        <v>243</v>
      </c>
      <c r="I164" s="27">
        <f t="shared" si="68"/>
        <v>0.65</v>
      </c>
      <c r="J164" s="28">
        <v>45663</v>
      </c>
      <c r="K164" s="29"/>
      <c r="L164" s="30">
        <f t="shared" si="61"/>
        <v>0.65</v>
      </c>
      <c r="M164" s="30">
        <f>IF(B164="Texion Textil",0,IF(C164="Malha",'Custos insumos'!$B$24,IF(C164="Dublagem Cretone",'Custos insumos'!$D$7,IF(C164="Dublagem Spun",'Custos insumos'!$D$4,IF(C164="Espelhamento",'Custos insumos'!$B$11,IF(C164="Espelhamento 2x",2*'Custos insumos'!$B$11,IF(C164="Esp. + Pel.",'Custos insumos'!$B$11,IF(C164="Pel. + Spun",'Custos insumos'!$D$4,IF(C164="Dublagem Cretone PES",'Custos insumos'!$D$7,IF(C164="Dublagem Barreira",'Custos insumos'!$D$11,IF(C164="Dublagem - MO + Filme",'Custos insumos'!$D$4,IF(C164="Dublagem Cretone HM50",'Custos insumos'!$D$26,IF(C164="Dublagem Cretone HM70",'Custos insumos'!$F$10,)))))))))))))</f>
        <v>0</v>
      </c>
      <c r="N164" s="30">
        <f>IF(B164="Texion Textil",0,IF(B164="Três Elos",0,IF(C164="Malha",0,IF(C164="Dublagem Cretone",'Custos insumos'!$D$23,IF(C164="Dublagem Spun",'Custos insumos'!$D$16,IF(C164="Espelhamento",0,IF(C164="Espelhamento 2x",0,IF(C164="Esp. + Pel.",0,IF(C164="Pel. + Spun",'Custos insumos'!$D$16,IF(C164="Dublagem Cretone PES",'Custos insumos'!$F$25,IF(C164="Dublagem Barreira",'Custos insumos'!$D$22,)))))))))))</f>
        <v>0</v>
      </c>
      <c r="O164" s="18"/>
      <c r="P164" s="53">
        <f t="shared" si="34"/>
        <v>0.2476571428571428</v>
      </c>
      <c r="Q164" s="50">
        <f t="shared" si="35"/>
        <v>227.5</v>
      </c>
      <c r="R164" s="50" cm="1">
        <f t="array" ref="R164">_xlfn.IFS(C164="Calandra",(350),C164="Peletização",(421),C164="Dublagem Spun",(250),C164="Dublagem Cretone PES",(180),C164="Felpagem",(270/E164),C164="Emborrachamento",(200),C164="Espelhamento",(250),C164="Malha",(1),C164="Dublagem Cretone",(180),C164="Malha",(1),C164="Dublagem Spun - MO",250,C164="Dublagem Cretone - MO",180,C164="Dublagem Cretone PES - MO",180,C164="Espelhamento - MO",250,C164="Emborrachamento",100,C164="Malha",0,C164="Dublagem Barreira",100,C164="Pel. + Cal.",350,C164="Fel. + Pel. + Cal.",270,C164="Pel. + Spun",250,C164="Espelhamento - L: 1,45m",200,C164="Espelhamento - L: 1,65m",200,C164="Estampagem",100,C164="Fel. + Cal.",270,C164="Dublagem Juta",180,C164="Dublagem Cretone - MO (Juta)",180,C164="Dublagem Tapete",150,C164="Esp. + Pel.",200,C164="Espelhamento 2x",100)</f>
        <v>350</v>
      </c>
      <c r="S164" s="50">
        <f t="shared" si="36"/>
        <v>171.15800000000002</v>
      </c>
      <c r="T164" s="18" cm="1">
        <f t="array" ref="T164">_xlfn.IFS(C164="Calandra",0.4,C164="Felpagem",0.3,C164="Dublagem Spun",0.8,C164="Dublagem Cretone",0.8,C164="Dublagem Cretone PES",0.8,C164="Espelhamento",0.8,C164="Peletização",0.5,C164="Dublagem Spun - MO",0.8,C164="Dublagem Cretone - MO",0.8,C164="Dublagem Cretone PES - MO",0.8,C164="Espelhamento - MO",0.8,C164="Emborrachamento",1,C164="Malha",0,C164="Dublagem Barreira",1,C164="Pel. + Cal.",0.4,C164="Fel. + Pel. + Cal.",0.5,C164="Pel. + Spun",0.8,C164="Espelhamento - L: 1,45m",0.8,C164="Espelhamento - L: 1,65m",0.8,C164="Estampagem",1,C164="Fel. + Cal.",0.4,C164="Dublagem Juta",0.8,C164="Dublagem Cretone - MO (Juta)",0.8,C164="Dublagem Tapete",0.8,C164="Esp. + Pel.",0.8,C164="Espelhamento 2x",0.8)</f>
        <v>0.4</v>
      </c>
      <c r="U164" s="18">
        <v>1</v>
      </c>
      <c r="V164" s="18">
        <v>1</v>
      </c>
      <c r="W164" s="18"/>
      <c r="X164" s="18">
        <v>39.67</v>
      </c>
      <c r="Y164" s="18">
        <v>38.51</v>
      </c>
      <c r="Z164" s="18">
        <v>116.78</v>
      </c>
      <c r="AA164" s="18"/>
    </row>
    <row r="165" spans="1:27" ht="14.25" customHeight="1" x14ac:dyDescent="0.35">
      <c r="A165" s="18"/>
      <c r="B165" s="22" t="s">
        <v>217</v>
      </c>
      <c r="C165" s="23" t="s">
        <v>251</v>
      </c>
      <c r="D165" s="23" t="s">
        <v>222</v>
      </c>
      <c r="E165" s="24">
        <v>1</v>
      </c>
      <c r="F165" s="25">
        <v>0.9</v>
      </c>
      <c r="G165" s="25">
        <f t="shared" si="67"/>
        <v>0.9</v>
      </c>
      <c r="H165" s="26" t="s">
        <v>243</v>
      </c>
      <c r="I165" s="27">
        <f t="shared" si="68"/>
        <v>0.9</v>
      </c>
      <c r="J165" s="28">
        <v>45663</v>
      </c>
      <c r="K165" s="29"/>
      <c r="L165" s="30">
        <f t="shared" si="61"/>
        <v>0.9</v>
      </c>
      <c r="M165" s="30">
        <f>IF(B165="Texion Textil",0,IF(C165="Malha",'Custos insumos'!$B$24,IF(C165="Dublagem Cretone",'Custos insumos'!$D$7,IF(C165="Dublagem Spun",'Custos insumos'!$D$4,IF(C165="Espelhamento",'Custos insumos'!$B$11,IF(C165="Espelhamento 2x",2*'Custos insumos'!$B$11,IF(C165="Esp. + Pel.",'Custos insumos'!$B$11,IF(C165="Pel. + Spun",'Custos insumos'!$D$4,IF(C165="Dublagem Cretone PES",'Custos insumos'!$D$7,IF(C165="Dublagem Barreira",'Custos insumos'!$D$11,IF(C165="Dublagem - MO + Filme",'Custos insumos'!$D$4,IF(C165="Dublagem Cretone HM50",'Custos insumos'!$D$26,IF(C165="Dublagem Cretone HM70",'Custos insumos'!$F$10,)))))))))))))</f>
        <v>0</v>
      </c>
      <c r="N165" s="30">
        <f>IF(B165="Texion Textil",0,IF(B165="Três Elos",0,IF(C165="Malha",0,IF(C165="Dublagem Cretone",'Custos insumos'!$D$23,IF(C165="Dublagem Spun",'Custos insumos'!$D$16,IF(C165="Espelhamento",0,IF(C165="Espelhamento 2x",0,IF(C165="Esp. + Pel.",0,IF(C165="Pel. + Spun",'Custos insumos'!$D$16,IF(C165="Dublagem Cretone PES",'Custos insumos'!$F$25,IF(C165="Dublagem Barreira",'Custos insumos'!$D$22,)))))))))))</f>
        <v>0</v>
      </c>
      <c r="O165" s="18"/>
      <c r="P165" s="53">
        <f t="shared" si="34"/>
        <v>-0.15448148148148155</v>
      </c>
      <c r="Q165" s="50">
        <f t="shared" si="35"/>
        <v>162</v>
      </c>
      <c r="R165" s="50" cm="1">
        <f t="array" ref="R165">_xlfn.IFS(C165="Calandra",(350),C165="Peletização",(421),C165="Dublagem Spun",(250),C165="Dublagem Cretone PES",(180),C165="Felpagem",(270/E165),C165="Emborrachamento",(200),C165="Espelhamento",(250),C165="Malha",(1),C165="Dublagem Cretone",(180),C165="Malha",(1),C165="Dublagem Spun - MO",250,C165="Dublagem Cretone - MO",180,C165="Dublagem Cretone PES - MO",180,C165="Espelhamento - MO",250,C165="Emborrachamento",100,C165="Malha",0,C165="Dublagem Barreira",100,C165="Pel. + Cal.",350,C165="Fel. + Pel. + Cal.",270,C165="Pel. + Spun",250,C165="Espelhamento - L: 1,45m",200,C165="Espelhamento - L: 1,65m",200,C165="Estampagem",100,C165="Fel. + Cal.",270,C165="Dublagem Juta",180,C165="Dublagem Cretone - MO (Juta)",180,C165="Dublagem Tapete",150,C165="Esp. + Pel.",200,C165="Espelhamento 2x",100)</f>
        <v>180</v>
      </c>
      <c r="S165" s="50">
        <f t="shared" si="36"/>
        <v>187.02600000000001</v>
      </c>
      <c r="T165" s="18" cm="1">
        <f t="array" ref="T165">_xlfn.IFS(C165="Calandra",0.4,C165="Felpagem",0.3,C165="Dublagem Spun",0.8,C165="Dublagem Cretone",0.8,C165="Dublagem Cretone PES",0.8,C165="Espelhamento",0.8,C165="Peletização",0.5,C165="Dublagem Spun - MO",0.8,C165="Dublagem Cretone - MO",0.8,C165="Dublagem Cretone PES - MO",0.8,C165="Espelhamento - MO",0.8,C165="Emborrachamento",1,C165="Malha",0,C165="Dublagem Barreira",1,C165="Pel. + Cal.",0.4,C165="Fel. + Pel. + Cal.",0.5,C165="Pel. + Spun",0.8,C165="Espelhamento - L: 1,45m",0.8,C165="Espelhamento - L: 1,65m",0.8,C165="Estampagem",1,C165="Fel. + Cal.",0.4,C165="Dublagem Juta",0.8,C165="Dublagem Cretone - MO (Juta)",0.8,C165="Dublagem Tapete",0.8,C165="Esp. + Pel.",0.8,C165="Espelhamento 2x",0.8)</f>
        <v>0.8</v>
      </c>
      <c r="U165" s="18">
        <v>1</v>
      </c>
      <c r="V165" s="18">
        <v>1</v>
      </c>
      <c r="W165" s="18"/>
      <c r="X165" s="18">
        <v>39.67</v>
      </c>
      <c r="Y165" s="18">
        <v>38.51</v>
      </c>
      <c r="Z165" s="18">
        <v>116.78</v>
      </c>
      <c r="AA165" s="18"/>
    </row>
    <row r="166" spans="1:27" ht="14.25" customHeight="1" x14ac:dyDescent="0.35">
      <c r="A166" s="18"/>
      <c r="B166" s="22" t="s">
        <v>217</v>
      </c>
      <c r="C166" s="23" t="s">
        <v>249</v>
      </c>
      <c r="D166" s="23" t="s">
        <v>86</v>
      </c>
      <c r="E166" s="24">
        <v>1</v>
      </c>
      <c r="F166" s="25">
        <v>0.9</v>
      </c>
      <c r="G166" s="25">
        <f t="shared" si="67"/>
        <v>0.9</v>
      </c>
      <c r="H166" s="26" t="s">
        <v>243</v>
      </c>
      <c r="I166" s="27">
        <f t="shared" si="68"/>
        <v>0.9</v>
      </c>
      <c r="J166" s="28">
        <v>45663</v>
      </c>
      <c r="K166" s="29"/>
      <c r="L166" s="30">
        <f t="shared" si="61"/>
        <v>0.9</v>
      </c>
      <c r="M166" s="30">
        <f>IF(B166="Texion Textil",0,IF(C166="Malha",'Custos insumos'!$B$24,IF(C166="Dublagem Cretone",'Custos insumos'!$D$7,IF(C166="Dublagem Spun",'Custos insumos'!$D$4,IF(C166="Espelhamento",'Custos insumos'!$B$11,IF(C166="Espelhamento 2x",2*'Custos insumos'!$B$11,IF(C166="Esp. + Pel.",'Custos insumos'!$B$11,IF(C166="Pel. + Spun",'Custos insumos'!$D$4,IF(C166="Dublagem Cretone PES",'Custos insumos'!$D$7,IF(C166="Dublagem Barreira",'Custos insumos'!$D$11,IF(C166="Dublagem - MO + Filme",'Custos insumos'!$D$4,IF(C166="Dublagem Cretone HM50",'Custos insumos'!$D$26,IF(C166="Dublagem Cretone HM70",'Custos insumos'!$F$10,)))))))))))))</f>
        <v>0</v>
      </c>
      <c r="N166" s="30">
        <f>IF(B166="Texion Textil",0,IF(B166="Três Elos",0,IF(C166="Malha",0,IF(C166="Dublagem Cretone",'Custos insumos'!$D$23,IF(C166="Dublagem Spun",'Custos insumos'!$D$16,IF(C166="Espelhamento",0,IF(C166="Espelhamento 2x",0,IF(C166="Esp. + Pel.",0,IF(C166="Pel. + Spun",'Custos insumos'!$D$16,IF(C166="Dublagem Cretone PES",'Custos insumos'!$F$25,IF(C166="Dublagem Barreira",'Custos insumos'!$D$22,)))))))))))</f>
        <v>0</v>
      </c>
      <c r="O166" s="18"/>
      <c r="P166" s="53">
        <f t="shared" si="34"/>
        <v>0.16877333333333328</v>
      </c>
      <c r="Q166" s="50">
        <f t="shared" si="35"/>
        <v>225</v>
      </c>
      <c r="R166" s="50" cm="1">
        <f t="array" ref="R166">_xlfn.IFS(C166="Calandra",(350),C166="Peletização",(421),C166="Dublagem Spun",(250),C166="Dublagem Cretone PES",(180),C166="Felpagem",(270/E166),C166="Emborrachamento",(200),C166="Espelhamento",(250),C166="Malha",(1),C166="Dublagem Cretone",(180),C166="Malha",(1),C166="Dublagem Spun - MO",250,C166="Dublagem Cretone - MO",180,C166="Dublagem Cretone PES - MO",180,C166="Espelhamento - MO",250,C166="Emborrachamento",100,C166="Malha",0,C166="Dublagem Barreira",100,C166="Pel. + Cal.",350,C166="Fel. + Pel. + Cal.",270,C166="Pel. + Spun",250,C166="Espelhamento - L: 1,45m",200,C166="Espelhamento - L: 1,65m",200,C166="Estampagem",100,C166="Fel. + Cal.",270,C166="Dublagem Juta",180,C166="Dublagem Cretone - MO (Juta)",180,C166="Dublagem Tapete",150,C166="Esp. + Pel.",200,C166="Espelhamento 2x",100)</f>
        <v>250</v>
      </c>
      <c r="S166" s="50">
        <f t="shared" si="36"/>
        <v>187.02600000000001</v>
      </c>
      <c r="T166" s="18" cm="1">
        <f t="array" ref="T166">_xlfn.IFS(C166="Calandra",0.4,C166="Felpagem",0.3,C166="Dublagem Spun",0.8,C166="Dublagem Cretone",0.8,C166="Dublagem Cretone PES",0.8,C166="Espelhamento",0.8,C166="Peletização",0.5,C166="Dublagem Spun - MO",0.8,C166="Dublagem Cretone - MO",0.8,C166="Dublagem Cretone PES - MO",0.8,C166="Espelhamento - MO",0.8,C166="Emborrachamento",1,C166="Malha",0,C166="Dublagem Barreira",1,C166="Pel. + Cal.",0.4,C166="Fel. + Pel. + Cal.",0.5,C166="Pel. + Spun",0.8,C166="Espelhamento - L: 1,45m",0.8,C166="Espelhamento - L: 1,65m",0.8,C166="Estampagem",1,C166="Fel. + Cal.",0.4,C166="Dublagem Juta",0.8,C166="Dublagem Cretone - MO (Juta)",0.8,C166="Dublagem Tapete",0.8,C166="Esp. + Pel.",0.8,C166="Espelhamento 2x",0.8)</f>
        <v>0.8</v>
      </c>
      <c r="U166" s="18">
        <v>1</v>
      </c>
      <c r="V166" s="18">
        <v>1</v>
      </c>
      <c r="W166" s="18"/>
      <c r="X166" s="18">
        <v>39.67</v>
      </c>
      <c r="Y166" s="18">
        <v>38.51</v>
      </c>
      <c r="Z166" s="18">
        <v>116.78</v>
      </c>
      <c r="AA166" s="18"/>
    </row>
    <row r="167" spans="1:27" ht="14.25" customHeight="1" x14ac:dyDescent="0.35">
      <c r="A167" s="18"/>
      <c r="B167" s="22" t="s">
        <v>217</v>
      </c>
      <c r="C167" s="23" t="s">
        <v>106</v>
      </c>
      <c r="D167" s="23" t="s">
        <v>318</v>
      </c>
      <c r="E167" s="24">
        <v>1</v>
      </c>
      <c r="F167" s="25">
        <v>1</v>
      </c>
      <c r="G167" s="25">
        <f t="shared" si="67"/>
        <v>1</v>
      </c>
      <c r="H167" s="26" t="s">
        <v>243</v>
      </c>
      <c r="I167" s="27">
        <f t="shared" si="68"/>
        <v>1</v>
      </c>
      <c r="J167" s="28">
        <v>45663</v>
      </c>
      <c r="K167" s="29"/>
      <c r="L167" s="30">
        <f t="shared" si="61"/>
        <v>1</v>
      </c>
      <c r="M167" s="30">
        <f>IF(B167="Texion Textil",0,IF(C167="Malha",'Custos insumos'!$B$24,IF(C167="Dublagem Cretone",'Custos insumos'!$D$7,IF(C167="Dublagem Spun",'Custos insumos'!$D$4,IF(C167="Espelhamento",'Custos insumos'!$B$11,IF(C167="Espelhamento 2x",2*'Custos insumos'!$B$11,IF(C167="Esp. + Pel.",'Custos insumos'!$B$11,IF(C167="Pel. + Spun",'Custos insumos'!$D$4,IF(C167="Dublagem Cretone PES",'Custos insumos'!$D$7,IF(C167="Dublagem Barreira",'Custos insumos'!$D$11,IF(C167="Dublagem - MO + Filme",'Custos insumos'!$D$4,IF(C167="Dublagem Cretone HM50",'Custos insumos'!$D$26,IF(C167="Dublagem Cretone HM70",'Custos insumos'!$F$10,)))))))))))))</f>
        <v>0</v>
      </c>
      <c r="N167" s="30">
        <f>IF(B167="Texion Textil",0,IF(B167="Três Elos",0,IF(C167="Malha",0,IF(C167="Dublagem Cretone",'Custos insumos'!$D$23,IF(C167="Dublagem Spun",'Custos insumos'!$D$16,IF(C167="Espelhamento",0,IF(C167="Espelhamento 2x",0,IF(C167="Esp. + Pel.",0,IF(C167="Pel. + Spun",'Custos insumos'!$D$16,IF(C167="Dublagem Cretone PES",'Custos insumos'!$F$25,IF(C167="Dublagem Barreira",'Custos insumos'!$D$22,)))))))))))</f>
        <v>0</v>
      </c>
      <c r="O167" s="18"/>
      <c r="P167" s="53">
        <f t="shared" si="34"/>
        <v>0.25189599999999995</v>
      </c>
      <c r="Q167" s="50">
        <f t="shared" si="35"/>
        <v>250</v>
      </c>
      <c r="R167" s="50" cm="1">
        <f t="array" ref="R167">_xlfn.IFS(C167="Calandra",(350),C167="Peletização",(421),C167="Dublagem Spun",(250),C167="Dublagem Cretone PES",(180),C167="Felpagem",(270/E167),C167="Emborrachamento",(200),C167="Espelhamento",(250),C167="Malha",(1),C167="Dublagem Cretone",(180),C167="Malha",(1),C167="Dublagem Spun - MO",250,C167="Dublagem Cretone - MO",180,C167="Dublagem Cretone PES - MO",180,C167="Espelhamento - MO",250,C167="Emborrachamento",100,C167="Malha",0,C167="Dublagem Barreira",100,C167="Pel. + Cal.",350,C167="Fel. + Pel. + Cal.",270,C167="Pel. + Spun",250,C167="Espelhamento - L: 1,45m",200,C167="Espelhamento - L: 1,65m",200,C167="Estampagem",100,C167="Fel. + Cal.",270,C167="Dublagem Juta",180,C167="Dublagem Cretone - MO (Juta)",180,C167="Dublagem Tapete",150,C167="Esp. + Pel.",200,C167="Espelhamento 2x",100)</f>
        <v>250</v>
      </c>
      <c r="S167" s="50">
        <f t="shared" si="36"/>
        <v>187.02600000000001</v>
      </c>
      <c r="T167" s="18" cm="1">
        <f t="array" ref="T167">_xlfn.IFS(C167="Calandra",0.4,C167="Felpagem",0.3,C167="Dublagem Spun",0.8,C167="Dublagem Cretone",0.8,C167="Dublagem Cretone PES",0.8,C167="Espelhamento",0.8,C167="Peletização",0.5,C167="Dublagem Spun - MO",0.8,C167="Dublagem Cretone - MO",0.8,C167="Dublagem Cretone PES - MO",0.8,C167="Espelhamento - MO",0.8,C167="Emborrachamento",1,C167="Malha",0,C167="Dublagem Barreira",1,C167="Pel. + Cal.",0.4,C167="Fel. + Pel. + Cal.",0.5,C167="Pel. + Spun",0.8,C167="Espelhamento - L: 1,45m",0.8,C167="Espelhamento - L: 1,65m",0.8,C167="Estampagem",1,C167="Fel. + Cal.",0.4,C167="Dublagem Juta",0.8,C167="Dublagem Cretone - MO (Juta)",0.8,C167="Dublagem Tapete",0.8,C167="Esp. + Pel.",0.8,C167="Espelhamento 2x",0.8)</f>
        <v>0.8</v>
      </c>
      <c r="U167" s="18">
        <v>1</v>
      </c>
      <c r="V167" s="18">
        <v>1</v>
      </c>
      <c r="W167" s="18"/>
      <c r="X167" s="18">
        <v>39.67</v>
      </c>
      <c r="Y167" s="18">
        <v>38.51</v>
      </c>
      <c r="Z167" s="18">
        <v>116.78</v>
      </c>
      <c r="AA167" s="18"/>
    </row>
    <row r="168" spans="1:27" ht="14.25" customHeight="1" x14ac:dyDescent="0.35">
      <c r="A168" s="18"/>
      <c r="B168" s="22" t="s">
        <v>217</v>
      </c>
      <c r="C168" s="23" t="s">
        <v>254</v>
      </c>
      <c r="D168" s="23"/>
      <c r="E168" s="24">
        <v>1</v>
      </c>
      <c r="F168" s="25">
        <v>0.4</v>
      </c>
      <c r="G168" s="25">
        <f t="shared" si="67"/>
        <v>0.4</v>
      </c>
      <c r="H168" s="26" t="s">
        <v>243</v>
      </c>
      <c r="I168" s="27">
        <f t="shared" si="68"/>
        <v>0.4</v>
      </c>
      <c r="J168" s="28">
        <v>45663</v>
      </c>
      <c r="K168" s="29"/>
      <c r="L168" s="30">
        <f t="shared" si="61"/>
        <v>0.4</v>
      </c>
      <c r="M168" s="30">
        <f>IF(B168="Texion Textil",0,IF(C168="Malha",'Custos insumos'!$B$24,IF(C168="Dublagem Cretone",'Custos insumos'!$D$7,IF(C168="Dublagem Spun",'Custos insumos'!$D$4,IF(C168="Espelhamento",'Custos insumos'!$B$11,IF(C168="Espelhamento 2x",2*'Custos insumos'!$B$11,IF(C168="Esp. + Pel.",'Custos insumos'!$B$11,IF(C168="Pel. + Spun",'Custos insumos'!$D$4,IF(C168="Dublagem Cretone PES",'Custos insumos'!$D$7,IF(C168="Dublagem Barreira",'Custos insumos'!$D$11,IF(C168="Dublagem - MO + Filme",'Custos insumos'!$D$4,IF(C168="Dublagem Cretone HM50",'Custos insumos'!$D$26,IF(C168="Dublagem Cretone HM70",'Custos insumos'!$F$10,)))))))))))))</f>
        <v>0</v>
      </c>
      <c r="N168" s="30">
        <f>IF(B168="Texion Textil",0,IF(B168="Três Elos",0,IF(C168="Malha",0,IF(C168="Dublagem Cretone",'Custos insumos'!$D$23,IF(C168="Dublagem Spun",'Custos insumos'!$D$16,IF(C168="Espelhamento",0,IF(C168="Espelhamento 2x",0,IF(C168="Esp. + Pel.",0,IF(C168="Pel. + Spun",'Custos insumos'!$D$16,IF(C168="Dublagem Cretone PES",'Custos insumos'!$F$25,IF(C168="Dublagem Barreira",'Custos insumos'!$D$22,)))))))))))</f>
        <v>0</v>
      </c>
      <c r="O168" s="18"/>
      <c r="P168" s="53">
        <f t="shared" si="34"/>
        <v>-0.54806481481481484</v>
      </c>
      <c r="Q168" s="50">
        <f t="shared" si="35"/>
        <v>108</v>
      </c>
      <c r="R168" s="50" cm="1">
        <f t="array" ref="R168">_xlfn.IFS(C168="Calandra",(350),C168="Peletização",(421),C168="Dublagem Spun",(250),C168="Dublagem Cretone PES",(180),C168="Felpagem",(270/E168),C168="Emborrachamento",(200),C168="Espelhamento",(250),C168="Malha",(1),C168="Dublagem Cretone",(180),C168="Malha",(1),C168="Dublagem Spun - MO",250,C168="Dublagem Cretone - MO",180,C168="Dublagem Cretone PES - MO",180,C168="Espelhamento - MO",250,C168="Emborrachamento",100,C168="Malha",0,C168="Dublagem Barreira",100,C168="Pel. + Cal.",350,C168="Fel. + Pel. + Cal.",270,C168="Pel. + Spun",250,C168="Espelhamento - L: 1,45m",200,C168="Espelhamento - L: 1,65m",200,C168="Estampagem",100,C168="Fel. + Cal.",270,C168="Dublagem Juta",180,C168="Dublagem Cretone - MO (Juta)",180,C168="Dublagem Tapete",150,C168="Esp. + Pel.",200,C168="Espelhamento 2x",100)</f>
        <v>270</v>
      </c>
      <c r="S168" s="50">
        <f t="shared" si="36"/>
        <v>167.191</v>
      </c>
      <c r="T168" s="18" cm="1">
        <f t="array" ref="T168">_xlfn.IFS(C168="Calandra",0.4,C168="Felpagem",0.3,C168="Dublagem Spun",0.8,C168="Dublagem Cretone",0.8,C168="Dublagem Cretone PES",0.8,C168="Espelhamento",0.8,C168="Peletização",0.5,C168="Dublagem Spun - MO",0.8,C168="Dublagem Cretone - MO",0.8,C168="Dublagem Cretone PES - MO",0.8,C168="Espelhamento - MO",0.8,C168="Emborrachamento",1,C168="Malha",0,C168="Dublagem Barreira",1,C168="Pel. + Cal.",0.4,C168="Fel. + Pel. + Cal.",0.5,C168="Pel. + Spun",0.8,C168="Espelhamento - L: 1,45m",0.8,C168="Espelhamento - L: 1,65m",0.8,C168="Estampagem",1,C168="Fel. + Cal.",0.4,C168="Dublagem Juta",0.8,C168="Dublagem Cretone - MO (Juta)",0.8,C168="Dublagem Tapete",0.8,C168="Esp. + Pel.",0.8,C168="Espelhamento 2x",0.8)</f>
        <v>0.3</v>
      </c>
      <c r="U168" s="18">
        <v>1</v>
      </c>
      <c r="V168" s="18">
        <v>1</v>
      </c>
      <c r="W168" s="18"/>
      <c r="X168" s="18">
        <v>39.67</v>
      </c>
      <c r="Y168" s="18">
        <v>38.51</v>
      </c>
      <c r="Z168" s="18">
        <v>116.78</v>
      </c>
      <c r="AA168" s="18"/>
    </row>
    <row r="169" spans="1:27" ht="14.25" customHeight="1" x14ac:dyDescent="0.35">
      <c r="A169" s="18"/>
      <c r="B169" s="22" t="s">
        <v>217</v>
      </c>
      <c r="C169" s="23" t="s">
        <v>267</v>
      </c>
      <c r="D169" s="23" t="s">
        <v>223</v>
      </c>
      <c r="E169" s="24">
        <v>1</v>
      </c>
      <c r="F169" s="25">
        <v>1.05</v>
      </c>
      <c r="G169" s="25">
        <f t="shared" si="67"/>
        <v>1.05</v>
      </c>
      <c r="H169" s="26" t="s">
        <v>243</v>
      </c>
      <c r="I169" s="27">
        <f t="shared" si="68"/>
        <v>1.05</v>
      </c>
      <c r="J169" s="28">
        <v>45663</v>
      </c>
      <c r="K169" s="29" t="s">
        <v>109</v>
      </c>
      <c r="L169" s="30">
        <f t="shared" si="61"/>
        <v>1.05</v>
      </c>
      <c r="M169" s="30">
        <f>IF(B169="Texion Textil",0,IF(C169="Malha",'Custos insumos'!$B$24,IF(C169="Dublagem Cretone",'Custos insumos'!$D$7,IF(C169="Dublagem Spun",'Custos insumos'!$D$4,IF(C169="Espelhamento",'Custos insumos'!$B$11,IF(C169="Espelhamento 2x",2*'Custos insumos'!$B$11,IF(C169="Esp. + Pel.",'Custos insumos'!$B$11,IF(C169="Pel. + Spun",'Custos insumos'!$D$4,IF(C169="Dublagem Cretone PES",'Custos insumos'!$D$7,IF(C169="Dublagem Barreira",'Custos insumos'!$D$11,IF(C169="Dublagem - MO + Filme",'Custos insumos'!$D$4,IF(C169="Dublagem Cretone HM50",'Custos insumos'!$D$26,IF(C169="Dublagem Cretone HM70",'Custos insumos'!$F$10,)))))))))))))</f>
        <v>0</v>
      </c>
      <c r="N169" s="30">
        <f>IF(B169="Texion Textil",0,IF(B169="Três Elos",0,IF(C169="Malha",0,IF(C169="Dublagem Cretone",'Custos insumos'!$D$23,IF(C169="Dublagem Spun",'Custos insumos'!$D$16,IF(C169="Espelhamento",0,IF(C169="Espelhamento 2x",0,IF(C169="Esp. + Pel.",0,IF(C169="Pel. + Spun",'Custos insumos'!$D$16,IF(C169="Dublagem Cretone PES",'Custos insumos'!$F$25,IF(C169="Dublagem Barreira",'Custos insumos'!$D$22,)))))))))))</f>
        <v>0</v>
      </c>
      <c r="O169" s="18"/>
      <c r="P169" s="53">
        <f t="shared" si="34"/>
        <v>0.39626807760141086</v>
      </c>
      <c r="Q169" s="50">
        <f t="shared" si="35"/>
        <v>283.5</v>
      </c>
      <c r="R169" s="50" cm="1">
        <f t="array" ref="R169">_xlfn.IFS(C169="Calandra",(350),C169="Peletização",(421),C169="Dublagem Spun",(250),C169="Dublagem Cretone PES",(180),C169="Felpagem",(270/E169),C169="Emborrachamento",(200),C169="Espelhamento",(250),C169="Malha",(1),C169="Dublagem Cretone",(180),C169="Malha",(1),C169="Dublagem Spun - MO",250,C169="Dublagem Cretone - MO",180,C169="Dublagem Cretone PES - MO",180,C169="Espelhamento - MO",250,C169="Emborrachamento",100,C169="Malha",0,C169="Dublagem Barreira",100,C169="Pel. + Cal.",350,C169="Fel. + Pel. + Cal.",270,C169="Pel. + Spun",250,C169="Espelhamento - L: 1,45m",200,C169="Espelhamento - L: 1,65m",200,C169="Estampagem",100,C169="Fel. + Cal.",270,C169="Dublagem Juta",180,C169="Dublagem Cretone - MO (Juta)",180,C169="Dublagem Tapete",150,C169="Esp. + Pel.",200,C169="Espelhamento 2x",100)</f>
        <v>270</v>
      </c>
      <c r="S169" s="50">
        <f t="shared" si="36"/>
        <v>171.15800000000002</v>
      </c>
      <c r="T169" s="18" cm="1">
        <f t="array" ref="T169">_xlfn.IFS(C169="Calandra",0.4,C169="Felpagem",0.3,C169="Dublagem Spun",0.8,C169="Dublagem Cretone",0.8,C169="Dublagem Cretone PES",0.8,C169="Espelhamento",0.8,C169="Peletização",0.5,C169="Dublagem Spun - MO",0.8,C169="Dublagem Cretone - MO",0.8,C169="Dublagem Cretone PES - MO",0.8,C169="Espelhamento - MO",0.8,C169="Emborrachamento",1,C169="Malha",0,C169="Dublagem Barreira",1,C169="Pel. + Cal.",0.4,C169="Fel. + Pel. + Cal.",0.5,C169="Pel. + Spun",0.8,C169="Espelhamento - L: 1,45m",0.8,C169="Espelhamento - L: 1,65m",0.8,C169="Estampagem",1,C169="Fel. + Cal.",0.4,C169="Dublagem Juta",0.8,C169="Dublagem Cretone - MO (Juta)",0.8,C169="Dublagem Tapete",0.8,C169="Esp. + Pel.",0.8,C169="Espelhamento 2x",0.8)</f>
        <v>0.4</v>
      </c>
      <c r="U169" s="18">
        <v>1</v>
      </c>
      <c r="V169" s="18">
        <v>1</v>
      </c>
      <c r="W169" s="18"/>
      <c r="X169" s="18">
        <v>39.67</v>
      </c>
      <c r="Y169" s="18">
        <v>38.51</v>
      </c>
      <c r="Z169" s="18">
        <v>116.78</v>
      </c>
      <c r="AA169" s="18"/>
    </row>
    <row r="170" spans="1:27" ht="14.25" customHeight="1" x14ac:dyDescent="0.35">
      <c r="A170" s="18"/>
      <c r="B170" s="22" t="s">
        <v>217</v>
      </c>
      <c r="C170" s="23" t="s">
        <v>319</v>
      </c>
      <c r="D170" s="23"/>
      <c r="E170" s="24">
        <v>1</v>
      </c>
      <c r="F170" s="25">
        <v>3.25</v>
      </c>
      <c r="G170" s="25">
        <f t="shared" si="67"/>
        <v>3.25</v>
      </c>
      <c r="H170" s="26" t="s">
        <v>243</v>
      </c>
      <c r="I170" s="27">
        <f t="shared" si="68"/>
        <v>3.25</v>
      </c>
      <c r="J170" s="28">
        <v>45663</v>
      </c>
      <c r="K170" s="29"/>
      <c r="L170" s="30">
        <f t="shared" si="61"/>
        <v>3.25</v>
      </c>
      <c r="M170" s="30">
        <f>IF(B170="Texion Textil",0,IF(C170="Malha",'Custos insumos'!$B$24,IF(C170="Dublagem Cretone",'Custos insumos'!$D$7,IF(C170="Dublagem Spun",'Custos insumos'!$D$4,IF(C170="Espelhamento",'Custos insumos'!$B$11,IF(C170="Espelhamento 2x",2*'Custos insumos'!$B$11,IF(C170="Esp. + Pel.",'Custos insumos'!$B$11,IF(C170="Pel. + Spun",'Custos insumos'!$D$4,IF(C170="Dublagem Cretone PES",'Custos insumos'!$D$7,IF(C170="Dublagem Barreira",'Custos insumos'!$D$11,IF(C170="Dublagem - MO + Filme",'Custos insumos'!$D$4,IF(C170="Dublagem Cretone HM50",'Custos insumos'!$D$26,IF(C170="Dublagem Cretone HM70",'Custos insumos'!$F$10,)))))))))))))</f>
        <v>0</v>
      </c>
      <c r="N170" s="30">
        <f>IF(B170="Texion Textil",0,IF(B170="Três Elos",0,IF(C170="Malha",0,IF(C170="Dublagem Cretone",'Custos insumos'!$D$23,IF(C170="Dublagem Spun",'Custos insumos'!$D$16,IF(C170="Espelhamento",0,IF(C170="Espelhamento 2x",0,IF(C170="Esp. + Pel.",0,IF(C170="Pel. + Spun",'Custos insumos'!$D$16,IF(C170="Dublagem Cretone PES",'Custos insumos'!$F$25,IF(C170="Dublagem Barreira",'Custos insumos'!$D$22,)))))))))))</f>
        <v>0</v>
      </c>
      <c r="O170" s="18"/>
      <c r="P170" s="53" t="e">
        <f t="shared" si="34"/>
        <v>#N/A</v>
      </c>
      <c r="Q170" s="50" t="e">
        <f t="shared" si="35"/>
        <v>#N/A</v>
      </c>
      <c r="R170" s="50" t="e" cm="1">
        <f t="array" ref="R170">_xlfn.IFS(C170="Calandra",(350),C170="Peletização",(421),C170="Dublagem Spun",(250),C170="Dublagem Cretone PES",(180),C170="Felpagem",(270/E170),C170="Emborrachamento",(200),C170="Espelhamento",(250),C170="Malha",(1),C170="Dublagem Cretone",(180),C170="Malha",(1),C170="Dublagem Spun - MO",250,C170="Dublagem Cretone - MO",180,C170="Dublagem Cretone PES - MO",180,C170="Espelhamento - MO",250,C170="Emborrachamento",100,C170="Malha",0,C170="Dublagem Barreira",100,C170="Pel. + Cal.",350,C170="Fel. + Pel. + Cal.",270,C170="Pel. + Spun",250,C170="Espelhamento - L: 1,45m",200,C170="Espelhamento - L: 1,65m",200,C170="Estampagem",100,C170="Fel. + Cal.",270,C170="Dublagem Juta",180,C170="Dublagem Cretone - MO (Juta)",180,C170="Dublagem Tapete",150,C170="Esp. + Pel.",200,C170="Espelhamento 2x",100)</f>
        <v>#N/A</v>
      </c>
      <c r="S170" s="50" t="e">
        <f t="shared" si="36"/>
        <v>#N/A</v>
      </c>
      <c r="T170" s="18" t="e" cm="1">
        <f t="array" ref="T170">_xlfn.IFS(C170="Calandra",0.4,C170="Felpagem",0.3,C170="Dublagem Spun",0.8,C170="Dublagem Cretone",0.8,C170="Dublagem Cretone PES",0.8,C170="Espelhamento",0.8,C170="Peletização",0.5,C170="Dublagem Spun - MO",0.8,C170="Dublagem Cretone - MO",0.8,C170="Dublagem Cretone PES - MO",0.8,C170="Espelhamento - MO",0.8,C170="Emborrachamento",1,C170="Malha",0,C170="Dublagem Barreira",1,C170="Pel. + Cal.",0.4,C170="Fel. + Pel. + Cal.",0.5,C170="Pel. + Spun",0.8,C170="Espelhamento - L: 1,45m",0.8,C170="Espelhamento - L: 1,65m",0.8,C170="Estampagem",1,C170="Fel. + Cal.",0.4,C170="Dublagem Juta",0.8,C170="Dublagem Cretone - MO (Juta)",0.8,C170="Dublagem Tapete",0.8,C170="Esp. + Pel.",0.8,C170="Espelhamento 2x",0.8)</f>
        <v>#N/A</v>
      </c>
      <c r="U170" s="18">
        <v>1</v>
      </c>
      <c r="V170" s="18">
        <v>1</v>
      </c>
      <c r="W170" s="18"/>
      <c r="X170" s="18">
        <v>39.67</v>
      </c>
      <c r="Y170" s="18">
        <v>38.51</v>
      </c>
      <c r="Z170" s="18">
        <v>116.78</v>
      </c>
      <c r="AA170" s="18"/>
    </row>
    <row r="171" spans="1:27" ht="14.25" customHeight="1" x14ac:dyDescent="0.35">
      <c r="A171" s="18"/>
      <c r="B171" s="22" t="s">
        <v>217</v>
      </c>
      <c r="C171" s="42" t="s">
        <v>320</v>
      </c>
      <c r="D171" s="23" t="s">
        <v>225</v>
      </c>
      <c r="E171" s="24">
        <v>1</v>
      </c>
      <c r="F171" s="25">
        <v>1.85</v>
      </c>
      <c r="G171" s="25">
        <f t="shared" si="67"/>
        <v>1.85</v>
      </c>
      <c r="H171" s="26" t="s">
        <v>243</v>
      </c>
      <c r="I171" s="27">
        <f t="shared" si="68"/>
        <v>1.85</v>
      </c>
      <c r="J171" s="28">
        <v>45663</v>
      </c>
      <c r="K171" s="29"/>
      <c r="L171" s="30">
        <f t="shared" si="61"/>
        <v>1.85</v>
      </c>
      <c r="M171" s="30">
        <f>IF(B171="Texion Textil",0,IF(C171="Malha",'Custos insumos'!$B$24,IF(C171="Dublagem Cretone",'Custos insumos'!$D$7,IF(C171="Dublagem Spun",'Custos insumos'!$D$4,IF(C171="Espelhamento",'Custos insumos'!$B$11,IF(C171="Espelhamento 2x",2*'Custos insumos'!$B$11,IF(C171="Esp. + Pel.",'Custos insumos'!$B$11,IF(C171="Pel. + Spun",'Custos insumos'!$D$4,IF(C171="Dublagem Cretone PES",'Custos insumos'!$D$7,IF(C171="Dublagem Barreira",'Custos insumos'!$D$11,IF(C171="Dublagem - MO + Filme",'Custos insumos'!$D$4,IF(C171="Dublagem Cretone HM50",'Custos insumos'!$D$26,IF(C171="Dublagem Cretone HM70",'Custos insumos'!$F$10,)))))))))))))</f>
        <v>0</v>
      </c>
      <c r="N171" s="30">
        <f>IF(B171="Texion Textil",0,IF(B171="Três Elos",0,IF(C171="Malha",0,IF(C171="Dublagem Cretone",'Custos insumos'!$D$23,IF(C171="Dublagem Spun",'Custos insumos'!$D$16,IF(C171="Espelhamento",0,IF(C171="Espelhamento 2x",0,IF(C171="Esp. + Pel.",0,IF(C171="Pel. + Spun",'Custos insumos'!$D$16,IF(C171="Dublagem Cretone PES",'Custos insumos'!$F$25,IF(C171="Dublagem Barreira",'Custos insumos'!$D$22,)))))))))))</f>
        <v>0</v>
      </c>
      <c r="O171" s="18"/>
      <c r="P171" s="53" t="e">
        <f t="shared" si="34"/>
        <v>#N/A</v>
      </c>
      <c r="Q171" s="50" t="e">
        <f t="shared" si="35"/>
        <v>#N/A</v>
      </c>
      <c r="R171" s="50" t="e" cm="1">
        <f t="array" ref="R171">_xlfn.IFS(C171="Calandra",(350),C171="Peletização",(421),C171="Dublagem Spun",(250),C171="Dublagem Cretone PES",(180),C171="Felpagem",(270/E171),C171="Emborrachamento",(200),C171="Espelhamento",(250),C171="Malha",(1),C171="Dublagem Cretone",(180),C171="Malha",(1),C171="Dublagem Spun - MO",250,C171="Dublagem Cretone - MO",180,C171="Dublagem Cretone PES - MO",180,C171="Espelhamento - MO",250,C171="Emborrachamento",100,C171="Malha",0,C171="Dublagem Barreira",100,C171="Pel. + Cal.",350,C171="Fel. + Pel. + Cal.",270,C171="Pel. + Spun",250,C171="Espelhamento - L: 1,45m",200,C171="Espelhamento - L: 1,65m",200,C171="Estampagem",100,C171="Fel. + Cal.",270,C171="Dublagem Juta",180,C171="Dublagem Cretone - MO (Juta)",180,C171="Dublagem Tapete",150,C171="Esp. + Pel.",200,C171="Espelhamento 2x",100)</f>
        <v>#N/A</v>
      </c>
      <c r="S171" s="50" t="e">
        <f t="shared" si="36"/>
        <v>#N/A</v>
      </c>
      <c r="T171" s="18" t="e" cm="1">
        <f t="array" ref="T171">_xlfn.IFS(C171="Calandra",0.4,C171="Felpagem",0.3,C171="Dublagem Spun",0.8,C171="Dublagem Cretone",0.8,C171="Dublagem Cretone PES",0.8,C171="Espelhamento",0.8,C171="Peletização",0.5,C171="Dublagem Spun - MO",0.8,C171="Dublagem Cretone - MO",0.8,C171="Dublagem Cretone PES - MO",0.8,C171="Espelhamento - MO",0.8,C171="Emborrachamento",1,C171="Malha",0,C171="Dublagem Barreira",1,C171="Pel. + Cal.",0.4,C171="Fel. + Pel. + Cal.",0.5,C171="Pel. + Spun",0.8,C171="Espelhamento - L: 1,45m",0.8,C171="Espelhamento - L: 1,65m",0.8,C171="Estampagem",1,C171="Fel. + Cal.",0.4,C171="Dublagem Juta",0.8,C171="Dublagem Cretone - MO (Juta)",0.8,C171="Dublagem Tapete",0.8,C171="Esp. + Pel.",0.8,C171="Espelhamento 2x",0.8)</f>
        <v>#N/A</v>
      </c>
      <c r="U171" s="18">
        <v>1</v>
      </c>
      <c r="V171" s="18">
        <v>1</v>
      </c>
      <c r="W171" s="18"/>
      <c r="X171" s="18">
        <v>39.67</v>
      </c>
      <c r="Y171" s="18">
        <v>38.51</v>
      </c>
      <c r="Z171" s="18">
        <v>116.78</v>
      </c>
      <c r="AA171" s="18"/>
    </row>
    <row r="172" spans="1:27" ht="14.25" customHeight="1" x14ac:dyDescent="0.35">
      <c r="A172" s="18"/>
      <c r="B172" s="22" t="s">
        <v>226</v>
      </c>
      <c r="C172" s="23" t="s">
        <v>254</v>
      </c>
      <c r="D172" s="23"/>
      <c r="E172" s="24">
        <v>1</v>
      </c>
      <c r="F172" s="25">
        <v>0.4</v>
      </c>
      <c r="G172" s="25">
        <f t="shared" si="67"/>
        <v>0.4</v>
      </c>
      <c r="H172" s="26" t="s">
        <v>243</v>
      </c>
      <c r="I172" s="27">
        <f t="shared" si="68"/>
        <v>0.4</v>
      </c>
      <c r="J172" s="28">
        <v>45663</v>
      </c>
      <c r="K172" s="29"/>
      <c r="L172" s="30">
        <f t="shared" si="61"/>
        <v>0.4</v>
      </c>
      <c r="M172" s="30">
        <f>IF(B172="Texion Textil",0,IF(C172="Malha",'Custos insumos'!$B$24,IF(C172="Dublagem Cretone",'Custos insumos'!$D$7,IF(C172="Dublagem Spun",'Custos insumos'!$D$4,IF(C172="Espelhamento",'Custos insumos'!$B$11,IF(C172="Espelhamento 2x",2*'Custos insumos'!$B$11,IF(C172="Esp. + Pel.",'Custos insumos'!$B$11,IF(C172="Pel. + Spun",'Custos insumos'!$D$4,IF(C172="Dublagem Cretone PES",'Custos insumos'!$D$7,IF(C172="Dublagem Barreira",'Custos insumos'!$D$11,IF(C172="Dublagem - MO + Filme",'Custos insumos'!$D$4,IF(C172="Dublagem Cretone HM50",'Custos insumos'!$D$26,IF(C172="Dublagem Cretone HM70",'Custos insumos'!$F$10,)))))))))))))</f>
        <v>0</v>
      </c>
      <c r="N172" s="30">
        <f>IF(B172="Texion Textil",0,IF(B172="Três Elos",0,IF(C172="Malha",0,IF(C172="Dublagem Cretone",'Custos insumos'!$D$23,IF(C172="Dublagem Spun",'Custos insumos'!$D$16,IF(C172="Espelhamento",0,IF(C172="Espelhamento 2x",0,IF(C172="Esp. + Pel.",0,IF(C172="Pel. + Spun",'Custos insumos'!$D$16,IF(C172="Dublagem Cretone PES",'Custos insumos'!$F$25,IF(C172="Dublagem Barreira",'Custos insumos'!$D$22,)))))))))))</f>
        <v>0</v>
      </c>
      <c r="O172" s="18"/>
      <c r="P172" s="53">
        <f t="shared" si="34"/>
        <v>-0.54806481481481484</v>
      </c>
      <c r="Q172" s="50">
        <f t="shared" si="35"/>
        <v>108</v>
      </c>
      <c r="R172" s="50" cm="1">
        <f t="array" ref="R172">_xlfn.IFS(C172="Calandra",(350),C172="Peletização",(421),C172="Dublagem Spun",(250),C172="Dublagem Cretone PES",(180),C172="Felpagem",(270/E172),C172="Emborrachamento",(200),C172="Espelhamento",(250),C172="Malha",(1),C172="Dublagem Cretone",(180),C172="Malha",(1),C172="Dublagem Spun - MO",250,C172="Dublagem Cretone - MO",180,C172="Dublagem Cretone PES - MO",180,C172="Espelhamento - MO",250,C172="Emborrachamento",100,C172="Malha",0,C172="Dublagem Barreira",100,C172="Pel. + Cal.",350,C172="Fel. + Pel. + Cal.",270,C172="Pel. + Spun",250,C172="Espelhamento - L: 1,45m",200,C172="Espelhamento - L: 1,65m",200,C172="Estampagem",100,C172="Fel. + Cal.",270,C172="Dublagem Juta",180,C172="Dublagem Cretone - MO (Juta)",180,C172="Dublagem Tapete",150,C172="Esp. + Pel.",200,C172="Espelhamento 2x",100)</f>
        <v>270</v>
      </c>
      <c r="S172" s="50">
        <f t="shared" si="36"/>
        <v>167.191</v>
      </c>
      <c r="T172" s="18" cm="1">
        <f t="array" ref="T172">_xlfn.IFS(C172="Calandra",0.4,C172="Felpagem",0.3,C172="Dublagem Spun",0.8,C172="Dublagem Cretone",0.8,C172="Dublagem Cretone PES",0.8,C172="Espelhamento",0.8,C172="Peletização",0.5,C172="Dublagem Spun - MO",0.8,C172="Dublagem Cretone - MO",0.8,C172="Dublagem Cretone PES - MO",0.8,C172="Espelhamento - MO",0.8,C172="Emborrachamento",1,C172="Malha",0,C172="Dublagem Barreira",1,C172="Pel. + Cal.",0.4,C172="Fel. + Pel. + Cal.",0.5,C172="Pel. + Spun",0.8,C172="Espelhamento - L: 1,45m",0.8,C172="Espelhamento - L: 1,65m",0.8,C172="Estampagem",1,C172="Fel. + Cal.",0.4,C172="Dublagem Juta",0.8,C172="Dublagem Cretone - MO (Juta)",0.8,C172="Dublagem Tapete",0.8,C172="Esp. + Pel.",0.8,C172="Espelhamento 2x",0.8)</f>
        <v>0.3</v>
      </c>
      <c r="U172" s="18">
        <v>1</v>
      </c>
      <c r="V172" s="18">
        <v>1</v>
      </c>
      <c r="W172" s="18"/>
      <c r="X172" s="18">
        <v>39.67</v>
      </c>
      <c r="Y172" s="18">
        <v>38.51</v>
      </c>
      <c r="Z172" s="18">
        <v>116.78</v>
      </c>
      <c r="AA172" s="18"/>
    </row>
    <row r="173" spans="1:27" ht="14.25" customHeight="1" x14ac:dyDescent="0.35">
      <c r="A173" s="18"/>
      <c r="B173" s="64" t="s">
        <v>226</v>
      </c>
      <c r="C173" s="65" t="s">
        <v>144</v>
      </c>
      <c r="D173" s="23"/>
      <c r="E173" s="24">
        <v>1</v>
      </c>
      <c r="F173" s="25">
        <v>0.5</v>
      </c>
      <c r="G173" s="25">
        <v>0.65</v>
      </c>
      <c r="H173" s="26" t="s">
        <v>243</v>
      </c>
      <c r="I173" s="27">
        <f t="shared" si="68"/>
        <v>0.65</v>
      </c>
      <c r="J173" s="28">
        <v>45663</v>
      </c>
      <c r="K173" s="29"/>
      <c r="L173" s="30">
        <f t="shared" si="61"/>
        <v>0.65</v>
      </c>
      <c r="M173" s="30">
        <f>IF(B173="Texion Textil",0,IF(C173="Malha",'Custos insumos'!$B$24,IF(C173="Dublagem Cretone",'Custos insumos'!$D$7,IF(C173="Dublagem Spun",'Custos insumos'!$D$4,IF(C173="Espelhamento",'Custos insumos'!$B$11,IF(C173="Espelhamento 2x",2*'Custos insumos'!$B$11,IF(C173="Esp. + Pel.",'Custos insumos'!$B$11,IF(C173="Pel. + Spun",'Custos insumos'!$D$4,IF(C173="Dublagem Cretone PES",'Custos insumos'!$D$7,IF(C173="Dublagem Barreira",'Custos insumos'!$D$11,IF(C173="Dublagem - MO + Filme",'Custos insumos'!$D$4,IF(C173="Dublagem Cretone HM50",'Custos insumos'!$D$26,IF(C173="Dublagem Cretone HM70",'Custos insumos'!$F$10,)))))))))))))</f>
        <v>0</v>
      </c>
      <c r="N173" s="30">
        <f>IF(B173="Texion Textil",0,IF(B173="Três Elos",0,IF(C173="Malha",0,IF(C173="Dublagem Cretone",'Custos insumos'!$D$23,IF(C173="Dublagem Spun",'Custos insumos'!$D$16,IF(C173="Espelhamento",0,IF(C173="Espelhamento 2x",0,IF(C173="Esp. + Pel.",0,IF(C173="Pel. + Spun",'Custos insumos'!$D$16,IF(C173="Dublagem Cretone PES",'Custos insumos'!$F$25,IF(C173="Dublagem Barreira",'Custos insumos'!$D$22,)))))))))))</f>
        <v>0</v>
      </c>
      <c r="O173" s="18"/>
      <c r="P173" s="53">
        <f t="shared" si="34"/>
        <v>0.36004019733235892</v>
      </c>
      <c r="Q173" s="50">
        <f t="shared" si="35"/>
        <v>273.65000000000003</v>
      </c>
      <c r="R173" s="50" cm="1">
        <f t="array" ref="R173">_xlfn.IFS(C173="Calandra",(350),C173="Peletização",(421),C173="Dublagem Spun",(250),C173="Dublagem Cretone PES",(180),C173="Felpagem",(270/E173),C173="Emborrachamento",(200),C173="Espelhamento",(250),C173="Malha",(1),C173="Dublagem Cretone",(180),C173="Malha",(1),C173="Dublagem Spun - MO",250,C173="Dublagem Cretone - MO",180,C173="Dublagem Cretone PES - MO",180,C173="Espelhamento - MO",250,C173="Emborrachamento",100,C173="Malha",0,C173="Dublagem Barreira",100,C173="Pel. + Cal.",350,C173="Fel. + Pel. + Cal.",270,C173="Pel. + Spun",250,C173="Espelhamento - L: 1,45m",200,C173="Espelhamento - L: 1,65m",200,C173="Estampagem",100,C173="Fel. + Cal.",270,C173="Dublagem Juta",180,C173="Dublagem Cretone - MO (Juta)",180,C173="Dublagem Tapete",150,C173="Esp. + Pel.",200,C173="Espelhamento 2x",100)</f>
        <v>421</v>
      </c>
      <c r="S173" s="50">
        <f t="shared" si="36"/>
        <v>175.125</v>
      </c>
      <c r="T173" s="18" cm="1">
        <f t="array" ref="T173">_xlfn.IFS(C173="Calandra",0.4,C173="Felpagem",0.3,C173="Dublagem Spun",0.8,C173="Dublagem Cretone",0.8,C173="Dublagem Cretone PES",0.8,C173="Espelhamento",0.8,C173="Peletização",0.5,C173="Dublagem Spun - MO",0.8,C173="Dublagem Cretone - MO",0.8,C173="Dublagem Cretone PES - MO",0.8,C173="Espelhamento - MO",0.8,C173="Emborrachamento",1,C173="Malha",0,C173="Dublagem Barreira",1,C173="Pel. + Cal.",0.4,C173="Fel. + Pel. + Cal.",0.5,C173="Pel. + Spun",0.8,C173="Espelhamento - L: 1,45m",0.8,C173="Espelhamento - L: 1,65m",0.8,C173="Estampagem",1,C173="Fel. + Cal.",0.4,C173="Dublagem Juta",0.8,C173="Dublagem Cretone - MO (Juta)",0.8,C173="Dublagem Tapete",0.8,C173="Esp. + Pel.",0.8,C173="Espelhamento 2x",0.8)</f>
        <v>0.5</v>
      </c>
      <c r="U173" s="18">
        <v>1</v>
      </c>
      <c r="V173" s="18">
        <v>1</v>
      </c>
      <c r="W173" s="18"/>
      <c r="X173" s="18">
        <v>39.67</v>
      </c>
      <c r="Y173" s="18">
        <v>38.51</v>
      </c>
      <c r="Z173" s="18">
        <v>116.78</v>
      </c>
      <c r="AA173" s="18"/>
    </row>
    <row r="174" spans="1:27" ht="14.25" customHeight="1" x14ac:dyDescent="0.35">
      <c r="A174" s="18"/>
      <c r="B174" s="22" t="s">
        <v>321</v>
      </c>
      <c r="C174" s="23" t="s">
        <v>322</v>
      </c>
      <c r="D174" s="23"/>
      <c r="E174" s="24">
        <v>1</v>
      </c>
      <c r="F174" s="25">
        <v>9.6999999999999993</v>
      </c>
      <c r="G174" s="25">
        <f>F174</f>
        <v>9.6999999999999993</v>
      </c>
      <c r="H174" s="26" t="s">
        <v>243</v>
      </c>
      <c r="I174" s="27">
        <f t="shared" si="68"/>
        <v>9.6999999999999993</v>
      </c>
      <c r="J174" s="28">
        <v>45663</v>
      </c>
      <c r="K174" s="29" t="s">
        <v>248</v>
      </c>
      <c r="L174" s="30">
        <f t="shared" si="61"/>
        <v>6.1497996521739129</v>
      </c>
      <c r="M174" s="30">
        <f>IF(B174="Texion Textil",0,IF(C174="Malha",'Custos insumos'!$B$24,IF(C174="Dublagem Cretone",'Custos insumos'!$D$7,IF(C174="Dublagem Spun",'Custos insumos'!$D$4,IF(C174="Espelhamento",'Custos insumos'!$B$11,IF(C174="Espelhamento 2x",2*'Custos insumos'!$B$11,IF(C174="Esp. + Pel.",'Custos insumos'!$B$11,IF(C174="Pel. + Spun",'Custos insumos'!$D$4,IF(C174="Dublagem Cretone PES",'Custos insumos'!$D$7,IF(C174="Dublagem Barreira",'Custos insumos'!$D$11,IF(C174="Dublagem - MO + Filme",'Custos insumos'!$D$4,IF(C174="Dublagem Cretone HM50",'Custos insumos'!$D$26,IF(C174="Dublagem Cretone HM70",'Custos insumos'!$F$10,)))))))))))))</f>
        <v>1.270200347826087</v>
      </c>
      <c r="N174" s="30">
        <f>IF(B174="Texion Textil",0,IF(B174="Três Elos",0,IF(C174="Malha",0,IF(C174="Dublagem Cretone",'Custos insumos'!$D$23,IF(C174="Dublagem Spun",'Custos insumos'!$D$16,IF(C174="Espelhamento",0,IF(C174="Espelhamento 2x",0,IF(C174="Esp. + Pel.",0,IF(C174="Pel. + Spun",'Custos insumos'!$D$16,IF(C174="Dublagem Cretone PES",'Custos insumos'!$F$25,IF(C174="Dublagem Barreira",'Custos insumos'!$D$22,)))))))))))</f>
        <v>2.2799999999999998</v>
      </c>
      <c r="O174" s="18"/>
      <c r="P174" s="53">
        <f t="shared" si="34"/>
        <v>0.43301027341999104</v>
      </c>
      <c r="Q174" s="50">
        <f t="shared" si="35"/>
        <v>969.99999999999989</v>
      </c>
      <c r="R174" s="50" cm="1">
        <f t="array" ref="R174">_xlfn.IFS(C174="Calandra",(350),C174="Peletização",(421),C174="Dublagem Spun",(250),C174="Dublagem Cretone PES",(180),C174="Felpagem",(270/E174),C174="Emborrachamento",(200),C174="Espelhamento",(250),C174="Malha",(1),C174="Dublagem Cretone",(180),C174="Malha",(1),C174="Dublagem Spun - MO",250,C174="Dublagem Cretone - MO",180,C174="Dublagem Cretone PES - MO",180,C174="Espelhamento - MO",250,C174="Emborrachamento",100,C174="Malha",0,C174="Dublagem Barreira",100,C174="Pel. + Cal.",350,C174="Fel. + Pel. + Cal.",270,C174="Pel. + Spun",250,C174="Espelhamento - L: 1,45m",200,C174="Espelhamento - L: 1,65m",200,C174="Estampagem",100,C174="Fel. + Cal.",270,C174="Dublagem Juta",180,C174="Dublagem Cretone - MO (Juta)",180,C174="Dublagem Tapete",150,C174="Esp. + Pel.",200,C174="Espelhamento 2x",100)</f>
        <v>100</v>
      </c>
      <c r="S174" s="50">
        <f t="shared" si="36"/>
        <v>549.98003478260864</v>
      </c>
      <c r="T174" s="18" cm="1">
        <f t="array" ref="T174">_xlfn.IFS(C174="Calandra",0.4,C174="Felpagem",0.3,C174="Dublagem Spun",0.8,C174="Dublagem Cretone",0.8,C174="Dublagem Cretone PES",0.8,C174="Espelhamento",0.8,C174="Peletização",0.5,C174="Dublagem Spun - MO",0.8,C174="Dublagem Cretone - MO",0.8,C174="Dublagem Cretone PES - MO",0.8,C174="Espelhamento - MO",0.8,C174="Emborrachamento",1,C174="Malha",0,C174="Dublagem Barreira",1,C174="Pel. + Cal.",0.4,C174="Fel. + Pel. + Cal.",0.5,C174="Pel. + Spun",0.8,C174="Espelhamento - L: 1,45m",0.8,C174="Espelhamento - L: 1,65m",0.8,C174="Estampagem",1,C174="Fel. + Cal.",0.4,C174="Dublagem Juta",0.8,C174="Dublagem Cretone - MO (Juta)",0.8,C174="Dublagem Tapete",0.8,C174="Esp. + Pel.",0.8,C174="Espelhamento 2x",0.8)</f>
        <v>1</v>
      </c>
      <c r="U174" s="18">
        <v>1</v>
      </c>
      <c r="V174" s="18">
        <v>1</v>
      </c>
      <c r="W174" s="18"/>
      <c r="X174" s="18">
        <v>39.67</v>
      </c>
      <c r="Y174" s="18">
        <v>38.51</v>
      </c>
      <c r="Z174" s="18">
        <v>116.78</v>
      </c>
      <c r="AA174" s="18"/>
    </row>
    <row r="175" spans="1:27" ht="14.25" customHeight="1" x14ac:dyDescent="0.35">
      <c r="A175" s="18"/>
      <c r="B175" s="22" t="s">
        <v>323</v>
      </c>
      <c r="C175" s="23" t="s">
        <v>144</v>
      </c>
      <c r="D175" s="23"/>
      <c r="E175" s="24">
        <v>1</v>
      </c>
      <c r="F175" s="25">
        <v>0.65</v>
      </c>
      <c r="G175" s="25">
        <f>F175</f>
        <v>0.65</v>
      </c>
      <c r="H175" s="26" t="s">
        <v>243</v>
      </c>
      <c r="I175" s="27">
        <f t="shared" si="68"/>
        <v>0.65</v>
      </c>
      <c r="J175" s="28">
        <v>45663</v>
      </c>
      <c r="K175" s="29"/>
      <c r="L175" s="30">
        <f t="shared" si="61"/>
        <v>0.65</v>
      </c>
      <c r="M175" s="30">
        <f>IF(B175="Texion Textil",0,IF(C175="Malha",'Custos insumos'!$B$24,IF(C175="Dublagem Cretone",'Custos insumos'!$D$7,IF(C175="Dublagem Spun",'Custos insumos'!$D$4,IF(C175="Espelhamento",'Custos insumos'!$B$11,IF(C175="Espelhamento 2x",2*'Custos insumos'!$B$11,IF(C175="Esp. + Pel.",'Custos insumos'!$B$11,IF(C175="Pel. + Spun",'Custos insumos'!$D$4,IF(C175="Dublagem Cretone PES",'Custos insumos'!$D$7,IF(C175="Dublagem Barreira",'Custos insumos'!$D$11,IF(C175="Dublagem - MO + Filme",'Custos insumos'!$D$4,IF(C175="Dublagem Cretone HM50",'Custos insumos'!$D$26,IF(C175="Dublagem Cretone HM70",'Custos insumos'!$F$10,)))))))))))))</f>
        <v>0</v>
      </c>
      <c r="N175" s="30">
        <f>IF(B175="Texion Textil",0,IF(B175="Três Elos",0,IF(C175="Malha",0,IF(C175="Dublagem Cretone",'Custos insumos'!$D$23,IF(C175="Dublagem Spun",'Custos insumos'!$D$16,IF(C175="Espelhamento",0,IF(C175="Espelhamento 2x",0,IF(C175="Esp. + Pel.",0,IF(C175="Pel. + Spun",'Custos insumos'!$D$16,IF(C175="Dublagem Cretone PES",'Custos insumos'!$F$25,IF(C175="Dublagem Barreira",'Custos insumos'!$D$22,)))))))))))</f>
        <v>0</v>
      </c>
      <c r="O175" s="18"/>
      <c r="P175" s="53">
        <f t="shared" ref="P175" si="69">(Q175-S175)/Q175</f>
        <v>0.36004019733235892</v>
      </c>
      <c r="Q175" s="50">
        <f t="shared" ref="Q175" si="70">G175*R175</f>
        <v>273.65000000000003</v>
      </c>
      <c r="R175" s="50" cm="1">
        <f t="array" ref="R175">_xlfn.IFS(C175="Calandra",(350),C175="Peletização",(421),C175="Dublagem Spun",(250),C175="Dublagem Cretone PES",(180),C175="Felpagem",(270/E175),C175="Emborrachamento",(200),C175="Espelhamento",(250),C175="Malha",(1),C175="Dublagem Cretone",(180),C175="Malha",(1),C175="Dublagem Spun - MO",250,C175="Dublagem Cretone - MO",180,C175="Dublagem Cretone PES - MO",180,C175="Espelhamento - MO",250,C175="Emborrachamento",100,C175="Malha",0,C175="Dublagem Barreira",100,C175="Pel. + Cal.",350,C175="Fel. + Pel. + Cal.",270,C175="Pel. + Spun",250,C175="Espelhamento - L: 1,45m",200,C175="Espelhamento - L: 1,65m",200,C175="Estampagem",100,C175="Fel. + Cal.",270,C175="Dublagem Juta",180,C175="Dublagem Cretone - MO (Juta)",180,C175="Dublagem Tapete",150,C175="Esp. + Pel.",200,C175="Espelhamento 2x",100)</f>
        <v>421</v>
      </c>
      <c r="S175" s="50">
        <f t="shared" ref="S175" si="71">(T175*X175)+(U175*Y175)+(V175*Z175)+((M175+N175)*(R175))</f>
        <v>175.125</v>
      </c>
      <c r="T175" s="18" cm="1">
        <f t="array" ref="T175">_xlfn.IFS(C175="Calandra",0.4,C175="Felpagem",0.3,C175="Dublagem Spun",0.8,C175="Dublagem Cretone",0.8,C175="Dublagem Cretone PES",0.8,C175="Espelhamento",0.8,C175="Peletização",0.5,C175="Dublagem Spun - MO",0.8,C175="Dublagem Cretone - MO",0.8,C175="Dublagem Cretone PES - MO",0.8,C175="Espelhamento - MO",0.8,C175="Emborrachamento",1,C175="Malha",0,C175="Dublagem Barreira",1,C175="Pel. + Cal.",0.4,C175="Fel. + Pel. + Cal.",0.5,C175="Pel. + Spun",0.8,C175="Espelhamento - L: 1,45m",0.8,C175="Espelhamento - L: 1,65m",0.8,C175="Estampagem",1,C175="Fel. + Cal.",0.4,C175="Dublagem Juta",0.8,C175="Dublagem Cretone - MO (Juta)",0.8,C175="Dublagem Tapete",0.8,C175="Esp. + Pel.",0.8,C175="Espelhamento 2x",0.8)</f>
        <v>0.5</v>
      </c>
      <c r="U175" s="18">
        <v>1</v>
      </c>
      <c r="V175" s="18">
        <v>1</v>
      </c>
      <c r="W175" s="18"/>
      <c r="X175" s="18">
        <v>39.67</v>
      </c>
      <c r="Y175" s="18">
        <v>38.51</v>
      </c>
      <c r="Z175" s="18">
        <v>116.78</v>
      </c>
      <c r="AA175" s="18"/>
    </row>
    <row r="176" spans="1:27" ht="14.25" customHeight="1" x14ac:dyDescent="0.35">
      <c r="A176" s="18"/>
      <c r="B176" s="22" t="s">
        <v>323</v>
      </c>
      <c r="C176" s="23" t="s">
        <v>142</v>
      </c>
      <c r="D176" s="23"/>
      <c r="E176" s="24">
        <v>1</v>
      </c>
      <c r="F176" s="25">
        <v>0.65</v>
      </c>
      <c r="G176" s="25">
        <f>F176</f>
        <v>0.65</v>
      </c>
      <c r="H176" s="26" t="s">
        <v>243</v>
      </c>
      <c r="I176" s="27">
        <f t="shared" si="68"/>
        <v>0.65</v>
      </c>
      <c r="J176" s="28">
        <v>45663</v>
      </c>
      <c r="K176" s="29"/>
      <c r="L176" s="30">
        <f t="shared" si="61"/>
        <v>0.65</v>
      </c>
      <c r="M176" s="30">
        <f>IF(B176="Texion Textil",0,IF(C176="Malha",'Custos insumos'!$B$24,IF(C176="Dublagem Cretone",'Custos insumos'!$D$7,IF(C176="Dublagem Spun",'Custos insumos'!$D$4,IF(C176="Espelhamento",'Custos insumos'!$B$11,IF(C176="Espelhamento 2x",2*'Custos insumos'!$B$11,IF(C176="Esp. + Pel.",'Custos insumos'!$B$11,IF(C176="Pel. + Spun",'Custos insumos'!$D$4,IF(C176="Dublagem Cretone PES",'Custos insumos'!$D$7,IF(C176="Dublagem Barreira",'Custos insumos'!$D$11,IF(C176="Dublagem - MO + Filme",'Custos insumos'!$D$4,IF(C176="Dublagem Cretone HM50",'Custos insumos'!$D$26,IF(C176="Dublagem Cretone HM70",'Custos insumos'!$F$10,)))))))))))))</f>
        <v>0</v>
      </c>
      <c r="N176" s="30">
        <f>IF(B176="Texion Textil",0,IF(B176="Três Elos",0,IF(C176="Malha",0,IF(C176="Dublagem Cretone",'Custos insumos'!$D$23,IF(C176="Dublagem Spun",'Custos insumos'!$D$16,IF(C176="Espelhamento",0,IF(C176="Espelhamento 2x",0,IF(C176="Esp. + Pel.",0,IF(C176="Pel. + Spun",'Custos insumos'!$D$16,IF(C176="Dublagem Cretone PES",'Custos insumos'!$F$25,IF(C176="Dublagem Barreira",'Custos insumos'!$D$22,)))))))))))</f>
        <v>0</v>
      </c>
      <c r="O176" s="18"/>
      <c r="P176" s="53">
        <f t="shared" ref="P176:P233" si="72">(Q176-S176)/Q176</f>
        <v>0.2476571428571428</v>
      </c>
      <c r="Q176" s="50">
        <f t="shared" ref="Q176:Q233" si="73">G176*R176</f>
        <v>227.5</v>
      </c>
      <c r="R176" s="50" cm="1">
        <f t="array" ref="R176">_xlfn.IFS(C176="Calandra",(350),C176="Peletização",(421),C176="Dublagem Spun",(250),C176="Dublagem Cretone PES",(180),C176="Felpagem",(270/E176),C176="Emborrachamento",(200),C176="Espelhamento",(250),C176="Malha",(1),C176="Dublagem Cretone",(180),C176="Malha",(1),C176="Dublagem Spun - MO",250,C176="Dublagem Cretone - MO",180,C176="Dublagem Cretone PES - MO",180,C176="Espelhamento - MO",250,C176="Emborrachamento",100,C176="Malha",0,C176="Dublagem Barreira",100,C176="Pel. + Cal.",350,C176="Fel. + Pel. + Cal.",270,C176="Pel. + Spun",250,C176="Espelhamento - L: 1,45m",200,C176="Espelhamento - L: 1,65m",200,C176="Estampagem",100,C176="Fel. + Cal.",270,C176="Dublagem Juta",180,C176="Dublagem Cretone - MO (Juta)",180,C176="Dublagem Tapete",150,C176="Esp. + Pel.",200,C176="Espelhamento 2x",100)</f>
        <v>350</v>
      </c>
      <c r="S176" s="50">
        <f t="shared" ref="S176:S233" si="74">(T176*X176)+(U176*Y176)+(V176*Z176)+((M176+N176)*(R176))</f>
        <v>171.15800000000002</v>
      </c>
      <c r="T176" s="18" cm="1">
        <f t="array" ref="T176">_xlfn.IFS(C176="Calandra",0.4,C176="Felpagem",0.3,C176="Dublagem Spun",0.8,C176="Dublagem Cretone",0.8,C176="Dublagem Cretone PES",0.8,C176="Espelhamento",0.8,C176="Peletização",0.5,C176="Dublagem Spun - MO",0.8,C176="Dublagem Cretone - MO",0.8,C176="Dublagem Cretone PES - MO",0.8,C176="Espelhamento - MO",0.8,C176="Emborrachamento",1,C176="Malha",0,C176="Dublagem Barreira",1,C176="Pel. + Cal.",0.4,C176="Fel. + Pel. + Cal.",0.5,C176="Pel. + Spun",0.8,C176="Espelhamento - L: 1,45m",0.8,C176="Espelhamento - L: 1,65m",0.8,C176="Estampagem",1,C176="Fel. + Cal.",0.4,C176="Dublagem Juta",0.8,C176="Dublagem Cretone - MO (Juta)",0.8,C176="Dublagem Tapete",0.8,C176="Esp. + Pel.",0.8,C176="Espelhamento 2x",0.8)</f>
        <v>0.4</v>
      </c>
      <c r="U176" s="18">
        <v>1</v>
      </c>
      <c r="V176" s="18">
        <v>1</v>
      </c>
      <c r="W176" s="18"/>
      <c r="X176" s="18">
        <v>39.67</v>
      </c>
      <c r="Y176" s="18">
        <v>38.51</v>
      </c>
      <c r="Z176" s="18">
        <v>116.78</v>
      </c>
      <c r="AA176" s="18"/>
    </row>
    <row r="177" spans="1:27" ht="14.25" customHeight="1" x14ac:dyDescent="0.35">
      <c r="A177" s="18"/>
      <c r="B177" s="22" t="s">
        <v>467</v>
      </c>
      <c r="C177" s="23" t="s">
        <v>144</v>
      </c>
      <c r="D177" s="23"/>
      <c r="E177" s="24"/>
      <c r="F177" s="25"/>
      <c r="G177" s="25">
        <v>0.65</v>
      </c>
      <c r="H177" s="26"/>
      <c r="I177" s="27"/>
      <c r="J177" s="28"/>
      <c r="K177" s="29"/>
      <c r="L177" s="30">
        <f t="shared" ref="L177:L179" si="75">G177-M177-N177</f>
        <v>0.65</v>
      </c>
      <c r="M177" s="30"/>
      <c r="N177" s="30"/>
      <c r="O177" s="18"/>
      <c r="P177" s="53"/>
      <c r="Q177" s="50"/>
      <c r="R177" s="50"/>
      <c r="S177" s="50"/>
      <c r="T177" s="18" cm="1">
        <f t="array" ref="T177">_xlfn.IFS(C177="Calandra",0.4,C177="Felpagem",0.3,C177="Dublagem Spun",0.8,C177="Dublagem Cretone",0.8,C177="Dublagem Cretone PES",0.8,C177="Espelhamento",0.8,C177="Peletização",0.5,C177="Dublagem Spun - MO",0.8,C177="Dublagem Cretone - MO",0.8,C177="Dublagem Cretone PES - MO",0.8,C177="Espelhamento - MO",0.8,C177="Emborrachamento",1,C177="Malha",0,C177="Dublagem Barreira",1,C177="Pel. + Cal.",0.4,C177="Fel. + Pel. + Cal.",0.5,C177="Pel. + Spun",0.8,C177="Espelhamento - L: 1,45m",0.8,C177="Espelhamento - L: 1,65m",0.8,C177="Estampagem",1,C177="Fel. + Cal.",0.4,C177="Dublagem Juta",0.8,C177="Dublagem Cretone - MO (Juta)",0.8,C177="Dublagem Tapete",0.8,C177="Esp. + Pel.",0.8,C177="Espelhamento 2x",0.8)</f>
        <v>0.5</v>
      </c>
      <c r="U177" s="18"/>
      <c r="V177" s="18"/>
      <c r="W177" s="18"/>
      <c r="X177" s="18"/>
      <c r="Y177" s="18"/>
      <c r="Z177" s="18"/>
      <c r="AA177" s="18"/>
    </row>
    <row r="178" spans="1:27" ht="14.25" customHeight="1" x14ac:dyDescent="0.35">
      <c r="A178" s="18"/>
      <c r="B178" s="22" t="s">
        <v>467</v>
      </c>
      <c r="C178" s="23" t="s">
        <v>254</v>
      </c>
      <c r="D178" s="23"/>
      <c r="E178" s="24"/>
      <c r="F178" s="25"/>
      <c r="G178" s="25">
        <v>0.75</v>
      </c>
      <c r="H178" s="26"/>
      <c r="I178" s="27"/>
      <c r="J178" s="28"/>
      <c r="K178" s="29"/>
      <c r="L178" s="30">
        <f t="shared" si="75"/>
        <v>0.75</v>
      </c>
      <c r="M178" s="30"/>
      <c r="N178" s="30"/>
      <c r="O178" s="18"/>
      <c r="P178" s="53"/>
      <c r="Q178" s="50"/>
      <c r="R178" s="50"/>
      <c r="S178" s="50"/>
      <c r="T178" s="18" cm="1">
        <f t="array" ref="T178">_xlfn.IFS(C178="Calandra",0.4,C178="Felpagem",0.3,C178="Dublagem Spun",0.8,C178="Dublagem Cretone",0.8,C178="Dublagem Cretone PES",0.8,C178="Espelhamento",0.8,C178="Peletização",0.5,C178="Dublagem Spun - MO",0.8,C178="Dublagem Cretone - MO",0.8,C178="Dublagem Cretone PES - MO",0.8,C178="Espelhamento - MO",0.8,C178="Emborrachamento",1,C178="Malha",0,C178="Dublagem Barreira",1,C178="Pel. + Cal.",0.4,C178="Fel. + Pel. + Cal.",0.5,C178="Pel. + Spun",0.8,C178="Espelhamento - L: 1,45m",0.8,C178="Espelhamento - L: 1,65m",0.8,C178="Estampagem",1,C178="Fel. + Cal.",0.4,C178="Dublagem Juta",0.8,C178="Dublagem Cretone - MO (Juta)",0.8,C178="Dublagem Tapete",0.8,C178="Esp. + Pel.",0.8,C178="Espelhamento 2x",0.8)</f>
        <v>0.3</v>
      </c>
      <c r="U178" s="18"/>
      <c r="V178" s="18"/>
      <c r="W178" s="18"/>
      <c r="X178" s="18"/>
      <c r="Y178" s="18"/>
      <c r="Z178" s="18"/>
      <c r="AA178" s="18"/>
    </row>
    <row r="179" spans="1:27" ht="13.5" customHeight="1" x14ac:dyDescent="0.35">
      <c r="A179" s="18"/>
      <c r="B179" s="22" t="s">
        <v>228</v>
      </c>
      <c r="C179" s="23" t="s">
        <v>144</v>
      </c>
      <c r="D179" s="23"/>
      <c r="E179" s="24">
        <v>1</v>
      </c>
      <c r="F179" s="25">
        <v>0.5</v>
      </c>
      <c r="G179" s="25">
        <f t="shared" ref="G179:G185" si="76">F179</f>
        <v>0.5</v>
      </c>
      <c r="H179" s="26" t="s">
        <v>243</v>
      </c>
      <c r="I179" s="27">
        <f t="shared" ref="I179:I185" si="77">G179/E179</f>
        <v>0.5</v>
      </c>
      <c r="J179" s="28">
        <v>45663</v>
      </c>
      <c r="K179" s="29"/>
      <c r="L179" s="30">
        <f t="shared" si="75"/>
        <v>0.5</v>
      </c>
      <c r="M179" s="30">
        <f>IF(B179="Texion Textil",0,IF(C179="Malha",'Custos insumos'!$B$24,IF(C179="Dublagem Cretone",'Custos insumos'!$D$7,IF(C179="Dublagem Spun",'Custos insumos'!$D$4,IF(C179="Espelhamento",'Custos insumos'!$B$11,IF(C179="Espelhamento 2x",2*'Custos insumos'!$B$11,IF(C179="Esp. + Pel.",'Custos insumos'!$B$11,IF(C179="Pel. + Spun",'Custos insumos'!$D$4,IF(C179="Dublagem Cretone PES",'Custos insumos'!$D$7,IF(C179="Dublagem Barreira",'Custos insumos'!$D$11,IF(C179="Dublagem - MO + Filme",'Custos insumos'!$D$4,IF(C179="Dublagem Cretone HM50",'Custos insumos'!$D$26,IF(C179="Dublagem Cretone HM70",'Custos insumos'!$F$10,)))))))))))))</f>
        <v>0</v>
      </c>
      <c r="N179" s="30">
        <f>IF(B179="Texion Textil",0,IF(B179="Três Elos",0,IF(C179="Malha",0,IF(C179="Dublagem Cretone",'Custos insumos'!$D$23,IF(C179="Dublagem Spun",'Custos insumos'!$D$16,IF(C179="Espelhamento",0,IF(C179="Espelhamento 2x",0,IF(C179="Esp. + Pel.",0,IF(C179="Pel. + Spun",'Custos insumos'!$D$16,IF(C179="Dublagem Cretone PES",'Custos insumos'!$F$25,IF(C179="Dublagem Barreira",'Custos insumos'!$D$22,)))))))))))</f>
        <v>0</v>
      </c>
      <c r="O179" s="18"/>
      <c r="P179" s="53">
        <f t="shared" si="72"/>
        <v>0.16805225653206651</v>
      </c>
      <c r="Q179" s="50">
        <f t="shared" si="73"/>
        <v>210.5</v>
      </c>
      <c r="R179" s="50" cm="1">
        <f t="array" ref="R179">_xlfn.IFS(C179="Calandra",(350),C179="Peletização",(421),C179="Dublagem Spun",(250),C179="Dublagem Cretone PES",(180),C179="Felpagem",(270/E179),C179="Emborrachamento",(200),C179="Espelhamento",(250),C179="Malha",(1),C179="Dublagem Cretone",(180),C179="Malha",(1),C179="Dublagem Spun - MO",250,C179="Dublagem Cretone - MO",180,C179="Dublagem Cretone PES - MO",180,C179="Espelhamento - MO",250,C179="Emborrachamento",100,C179="Malha",0,C179="Dublagem Barreira",100,C179="Pel. + Cal.",350,C179="Fel. + Pel. + Cal.",270,C179="Pel. + Spun",250,C179="Espelhamento - L: 1,45m",200,C179="Espelhamento - L: 1,65m",200,C179="Estampagem",100,C179="Fel. + Cal.",270,C179="Dublagem Juta",180,C179="Dublagem Cretone - MO (Juta)",180,C179="Dublagem Tapete",150,C179="Esp. + Pel.",200,C179="Espelhamento 2x",100)</f>
        <v>421</v>
      </c>
      <c r="S179" s="50">
        <f t="shared" si="74"/>
        <v>175.125</v>
      </c>
      <c r="T179" s="18" cm="1">
        <f t="array" ref="T179">_xlfn.IFS(C179="Calandra",0.4,C179="Felpagem",0.3,C179="Dublagem Spun",0.8,C179="Dublagem Cretone",0.8,C179="Dublagem Cretone PES",0.8,C179="Espelhamento",0.8,C179="Peletização",0.5,C179="Dublagem Spun - MO",0.8,C179="Dublagem Cretone - MO",0.8,C179="Dublagem Cretone PES - MO",0.8,C179="Espelhamento - MO",0.8,C179="Emborrachamento",1,C179="Malha",0,C179="Dublagem Barreira",1,C179="Pel. + Cal.",0.4,C179="Fel. + Pel. + Cal.",0.5,C179="Pel. + Spun",0.8,C179="Espelhamento - L: 1,45m",0.8,C179="Espelhamento - L: 1,65m",0.8,C179="Estampagem",1,C179="Fel. + Cal.",0.4,C179="Dublagem Juta",0.8,C179="Dublagem Cretone - MO (Juta)",0.8,C179="Dublagem Tapete",0.8,C179="Esp. + Pel.",0.8,C179="Espelhamento 2x",0.8)</f>
        <v>0.5</v>
      </c>
      <c r="U179" s="18">
        <v>1</v>
      </c>
      <c r="V179" s="18">
        <v>1</v>
      </c>
      <c r="W179" s="18"/>
      <c r="X179" s="18">
        <v>39.67</v>
      </c>
      <c r="Y179" s="18">
        <v>38.51</v>
      </c>
      <c r="Z179" s="18">
        <v>116.78</v>
      </c>
      <c r="AA179" s="18"/>
    </row>
    <row r="180" spans="1:27" ht="14.25" customHeight="1" x14ac:dyDescent="0.35">
      <c r="A180" s="18"/>
      <c r="B180" s="22" t="s">
        <v>228</v>
      </c>
      <c r="C180" s="23" t="s">
        <v>142</v>
      </c>
      <c r="D180" s="23"/>
      <c r="E180" s="24">
        <v>1</v>
      </c>
      <c r="F180" s="25">
        <v>0.65</v>
      </c>
      <c r="G180" s="25">
        <f t="shared" si="76"/>
        <v>0.65</v>
      </c>
      <c r="H180" s="26" t="s">
        <v>243</v>
      </c>
      <c r="I180" s="27">
        <f t="shared" si="77"/>
        <v>0.65</v>
      </c>
      <c r="J180" s="28">
        <v>45663</v>
      </c>
      <c r="K180" s="29"/>
      <c r="L180" s="30">
        <f t="shared" ref="L180:L185" si="78">G180-M180-N180</f>
        <v>0.65</v>
      </c>
      <c r="M180" s="30">
        <f>IF(B180="Texion Textil",0,IF(C180="Malha",'Custos insumos'!$B$24,IF(C180="Dublagem Cretone",'Custos insumos'!$D$7,IF(C180="Dublagem Spun",'Custos insumos'!$D$4,IF(C180="Espelhamento",'Custos insumos'!$B$11,IF(C180="Espelhamento 2x",2*'Custos insumos'!$B$11,IF(C180="Esp. + Pel.",'Custos insumos'!$B$11,IF(C180="Pel. + Spun",'Custos insumos'!$D$4,IF(C180="Dublagem Cretone PES",'Custos insumos'!$D$7,IF(C180="Dublagem Barreira",'Custos insumos'!$D$11,IF(C180="Dublagem - MO + Filme",'Custos insumos'!$D$4,IF(C180="Dublagem Cretone HM50",'Custos insumos'!$D$26,IF(C180="Dublagem Cretone HM70",'Custos insumos'!$F$10,)))))))))))))</f>
        <v>0</v>
      </c>
      <c r="N180" s="30">
        <f>IF(B180="Texion Textil",0,IF(B180="Três Elos",0,IF(C180="Malha",0,IF(C180="Dublagem Cretone",'Custos insumos'!$D$23,IF(C180="Dublagem Spun",'Custos insumos'!$D$16,IF(C180="Espelhamento",0,IF(C180="Espelhamento 2x",0,IF(C180="Esp. + Pel.",0,IF(C180="Pel. + Spun",'Custos insumos'!$D$16,IF(C180="Dublagem Cretone PES",'Custos insumos'!$F$25,IF(C180="Dublagem Barreira",'Custos insumos'!$D$22,)))))))))))</f>
        <v>0</v>
      </c>
      <c r="O180" s="18"/>
      <c r="P180" s="53">
        <f t="shared" si="72"/>
        <v>0.2476571428571428</v>
      </c>
      <c r="Q180" s="50">
        <f t="shared" si="73"/>
        <v>227.5</v>
      </c>
      <c r="R180" s="50" cm="1">
        <f t="array" ref="R180">_xlfn.IFS(C180="Calandra",(350),C180="Peletização",(421),C180="Dublagem Spun",(250),C180="Dublagem Cretone PES",(180),C180="Felpagem",(270/E180),C180="Emborrachamento",(200),C180="Espelhamento",(250),C180="Malha",(1),C180="Dublagem Cretone",(180),C180="Malha",(1),C180="Dublagem Spun - MO",250,C180="Dublagem Cretone - MO",180,C180="Dublagem Cretone PES - MO",180,C180="Espelhamento - MO",250,C180="Emborrachamento",100,C180="Malha",0,C180="Dublagem Barreira",100,C180="Pel. + Cal.",350,C180="Fel. + Pel. + Cal.",270,C180="Pel. + Spun",250,C180="Espelhamento - L: 1,45m",200,C180="Espelhamento - L: 1,65m",200,C180="Estampagem",100,C180="Fel. + Cal.",270,C180="Dublagem Juta",180,C180="Dublagem Cretone - MO (Juta)",180,C180="Dublagem Tapete",150,C180="Esp. + Pel.",200,C180="Espelhamento 2x",100)</f>
        <v>350</v>
      </c>
      <c r="S180" s="50">
        <f t="shared" si="74"/>
        <v>171.15800000000002</v>
      </c>
      <c r="T180" s="18" cm="1">
        <f t="array" ref="T180">_xlfn.IFS(C180="Calandra",0.4,C180="Felpagem",0.3,C180="Dublagem Spun",0.8,C180="Dublagem Cretone",0.8,C180="Dublagem Cretone PES",0.8,C180="Espelhamento",0.8,C180="Peletização",0.5,C180="Dublagem Spun - MO",0.8,C180="Dublagem Cretone - MO",0.8,C180="Dublagem Cretone PES - MO",0.8,C180="Espelhamento - MO",0.8,C180="Emborrachamento",1,C180="Malha",0,C180="Dublagem Barreira",1,C180="Pel. + Cal.",0.4,C180="Fel. + Pel. + Cal.",0.5,C180="Pel. + Spun",0.8,C180="Espelhamento - L: 1,45m",0.8,C180="Espelhamento - L: 1,65m",0.8,C180="Estampagem",1,C180="Fel. + Cal.",0.4,C180="Dublagem Juta",0.8,C180="Dublagem Cretone - MO (Juta)",0.8,C180="Dublagem Tapete",0.8,C180="Esp. + Pel.",0.8,C180="Espelhamento 2x",0.8)</f>
        <v>0.4</v>
      </c>
      <c r="U180" s="18">
        <v>1</v>
      </c>
      <c r="V180" s="18">
        <v>1</v>
      </c>
      <c r="W180" s="18"/>
      <c r="X180" s="18">
        <v>39.67</v>
      </c>
      <c r="Y180" s="18">
        <v>38.51</v>
      </c>
      <c r="Z180" s="18">
        <v>116.78</v>
      </c>
      <c r="AA180" s="18"/>
    </row>
    <row r="181" spans="1:27" ht="14.25" customHeight="1" x14ac:dyDescent="0.35">
      <c r="A181" s="18"/>
      <c r="B181" s="22" t="s">
        <v>228</v>
      </c>
      <c r="C181" s="23" t="s">
        <v>260</v>
      </c>
      <c r="D181" s="23"/>
      <c r="E181" s="24">
        <v>1</v>
      </c>
      <c r="F181" s="25">
        <v>1.1499999999999999</v>
      </c>
      <c r="G181" s="25">
        <f t="shared" si="76"/>
        <v>1.1499999999999999</v>
      </c>
      <c r="H181" s="26" t="s">
        <v>243</v>
      </c>
      <c r="I181" s="27">
        <f t="shared" si="77"/>
        <v>1.1499999999999999</v>
      </c>
      <c r="J181" s="28">
        <v>45663</v>
      </c>
      <c r="K181" s="29" t="s">
        <v>324</v>
      </c>
      <c r="L181" s="30">
        <f t="shared" si="78"/>
        <v>1.1499999999999999</v>
      </c>
      <c r="M181" s="30">
        <f>IF(B181="Texion Textil",0,IF(C181="Malha",'Custos insumos'!$B$24,IF(C181="Dublagem Cretone",'Custos insumos'!$D$7,IF(C181="Dublagem Spun",'Custos insumos'!$D$4,IF(C181="Espelhamento",'Custos insumos'!$B$11,IF(C181="Espelhamento 2x",2*'Custos insumos'!$B$11,IF(C181="Esp. + Pel.",'Custos insumos'!$B$11,IF(C181="Pel. + Spun",'Custos insumos'!$D$4,IF(C181="Dublagem Cretone PES",'Custos insumos'!$D$7,IF(C181="Dublagem Barreira",'Custos insumos'!$D$11,IF(C181="Dublagem - MO + Filme",'Custos insumos'!$D$4,IF(C181="Dublagem Cretone HM50",'Custos insumos'!$D$26,IF(C181="Dublagem Cretone HM70",'Custos insumos'!$F$10,)))))))))))))</f>
        <v>0</v>
      </c>
      <c r="N181" s="30">
        <f>IF(B181="Texion Textil",0,IF(B181="Três Elos",0,IF(C181="Malha",0,IF(C181="Dublagem Cretone",'Custos insumos'!$D$23,IF(C181="Dublagem Spun",'Custos insumos'!$D$16,IF(C181="Espelhamento",0,IF(C181="Espelhamento 2x",0,IF(C181="Esp. + Pel.",0,IF(C181="Pel. + Spun",'Custos insumos'!$D$16,IF(C181="Dublagem Cretone PES",'Custos insumos'!$F$25,IF(C181="Dublagem Barreira",'Custos insumos'!$D$22,)))))))))))</f>
        <v>0</v>
      </c>
      <c r="O181" s="18"/>
      <c r="P181" s="53">
        <f t="shared" si="72"/>
        <v>0.34947478260869563</v>
      </c>
      <c r="Q181" s="50">
        <f t="shared" si="73"/>
        <v>287.5</v>
      </c>
      <c r="R181" s="50" cm="1">
        <f t="array" ref="R181">_xlfn.IFS(C181="Calandra",(350),C181="Peletização",(421),C181="Dublagem Spun",(250),C181="Dublagem Cretone PES",(180),C181="Felpagem",(270/E181),C181="Emborrachamento",(200),C181="Espelhamento",(250),C181="Malha",(1),C181="Dublagem Cretone",(180),C181="Malha",(1),C181="Dublagem Spun - MO",250,C181="Dublagem Cretone - MO",180,C181="Dublagem Cretone PES - MO",180,C181="Espelhamento - MO",250,C181="Emborrachamento",100,C181="Malha",0,C181="Dublagem Barreira",100,C181="Pel. + Cal.",350,C181="Fel. + Pel. + Cal.",270,C181="Pel. + Spun",250,C181="Espelhamento - L: 1,45m",200,C181="Espelhamento - L: 1,65m",200,C181="Estampagem",100,C181="Fel. + Cal.",270,C181="Dublagem Juta",180,C181="Dublagem Cretone - MO (Juta)",180,C181="Dublagem Tapete",150,C181="Esp. + Pel.",200,C181="Espelhamento 2x",100)</f>
        <v>250</v>
      </c>
      <c r="S181" s="50">
        <f t="shared" si="74"/>
        <v>187.02600000000001</v>
      </c>
      <c r="T181" s="18" cm="1">
        <f t="array" ref="T181">_xlfn.IFS(C181="Calandra",0.4,C181="Felpagem",0.3,C181="Dublagem Spun",0.8,C181="Dublagem Cretone",0.8,C181="Dublagem Cretone PES",0.8,C181="Espelhamento",0.8,C181="Peletização",0.5,C181="Dublagem Spun - MO",0.8,C181="Dublagem Cretone - MO",0.8,C181="Dublagem Cretone PES - MO",0.8,C181="Espelhamento - MO",0.8,C181="Emborrachamento",1,C181="Malha",0,C181="Dublagem Barreira",1,C181="Pel. + Cal.",0.4,C181="Fel. + Pel. + Cal.",0.5,C181="Pel. + Spun",0.8,C181="Espelhamento - L: 1,45m",0.8,C181="Espelhamento - L: 1,65m",0.8,C181="Estampagem",1,C181="Fel. + Cal.",0.4,C181="Dublagem Juta",0.8,C181="Dublagem Cretone - MO (Juta)",0.8,C181="Dublagem Tapete",0.8,C181="Esp. + Pel.",0.8,C181="Espelhamento 2x",0.8)</f>
        <v>0.8</v>
      </c>
      <c r="U181" s="18">
        <v>1</v>
      </c>
      <c r="V181" s="18">
        <v>1</v>
      </c>
      <c r="W181" s="18"/>
      <c r="X181" s="18">
        <v>39.67</v>
      </c>
      <c r="Y181" s="18">
        <v>38.51</v>
      </c>
      <c r="Z181" s="18">
        <v>116.78</v>
      </c>
      <c r="AA181" s="18"/>
    </row>
    <row r="182" spans="1:27" ht="14.25" customHeight="1" x14ac:dyDescent="0.35">
      <c r="A182" s="18"/>
      <c r="B182" s="22" t="s">
        <v>228</v>
      </c>
      <c r="C182" s="23" t="s">
        <v>98</v>
      </c>
      <c r="D182" s="23" t="s">
        <v>325</v>
      </c>
      <c r="E182" s="24">
        <v>1</v>
      </c>
      <c r="F182" s="25">
        <v>3.6</v>
      </c>
      <c r="G182" s="25">
        <v>2.75</v>
      </c>
      <c r="H182" s="26" t="s">
        <v>243</v>
      </c>
      <c r="I182" s="27">
        <f t="shared" ref="I182" si="79">G182/E182</f>
        <v>2.75</v>
      </c>
      <c r="J182" s="28">
        <v>45663</v>
      </c>
      <c r="K182" s="29" t="s">
        <v>324</v>
      </c>
      <c r="L182" s="30" t="e">
        <f t="shared" si="78"/>
        <v>#VALUE!</v>
      </c>
      <c r="M182" s="30" t="str">
        <f>'Custos insumos'!N2</f>
        <v>Custo 20.08.25 (+20%)</v>
      </c>
      <c r="N182" s="30">
        <f>'Custos insumos'!L17</f>
        <v>0</v>
      </c>
      <c r="O182" s="18"/>
      <c r="P182" s="53" t="e">
        <f t="shared" ref="P182" si="80">(Q182-S182)/Q182</f>
        <v>#N/A</v>
      </c>
      <c r="Q182" s="50" t="e">
        <f t="shared" ref="Q182" si="81">G182*R182</f>
        <v>#N/A</v>
      </c>
      <c r="R182" s="50" t="e" cm="1">
        <f t="array" ref="R182">_xlfn.IFS(C182="Calandra",(350),C182="Peletização",(421),C182="Dublagem Spun",(250),C182="Dublagem Cretone PES",(180),C182="Felpagem",(270/E182),C182="Emborrachamento",(200),C182="Espelhamento",(250),C182="Malha",(1),C182="Dublagem Cretone",(180),C182="Malha",(1),C182="Dublagem Spun - MO",250,C182="Dublagem Cretone - MO",180,C182="Dublagem Cretone PES - MO",180,C182="Espelhamento - MO",250,C182="Emborrachamento",100,C182="Malha",0,C182="Dublagem Barreira",100,C182="Pel. + Cal.",350,C182="Fel. + Pel. + Cal.",270,C182="Pel. + Spun",250,C182="Espelhamento - L: 1,45m",200,C182="Espelhamento - L: 1,65m",200,C182="Estampagem",100,C182="Fel. + Cal.",270,C182="Dublagem Juta",180,C182="Dublagem Cretone - MO (Juta)",180,C182="Dublagem Tapete",150,C182="Esp. + Pel.",200,C182="Espelhamento 2x",100)</f>
        <v>#N/A</v>
      </c>
      <c r="S182" s="50" t="e">
        <f t="shared" ref="S182" si="82">(T182*X182)+(U182*Y182)+(V182*Z182)+((M182+N182)*(R182))</f>
        <v>#N/A</v>
      </c>
      <c r="T182" s="18" t="e" cm="1">
        <f t="array" ref="T182">_xlfn.IFS(C182="Calandra",0.4,C182="Felpagem",0.3,C182="Dublagem Spun",0.8,C182="Dublagem Cretone",0.8,C182="Dublagem Cretone PES",0.8,C182="Espelhamento",0.8,C182="Peletização",0.5,C182="Dublagem Spun - MO",0.8,C182="Dublagem Cretone - MO",0.8,C182="Dublagem Cretone PES - MO",0.8,C182="Espelhamento - MO",0.8,C182="Emborrachamento",1,C182="Malha",0,C182="Dublagem Barreira",1,C182="Pel. + Cal.",0.4,C182="Fel. + Pel. + Cal.",0.5,C182="Pel. + Spun",0.8,C182="Espelhamento - L: 1,45m",0.8,C182="Espelhamento - L: 1,65m",0.8,C182="Estampagem",1,C182="Fel. + Cal.",0.4,C182="Dublagem Juta",0.8,C182="Dublagem Cretone - MO (Juta)",0.8,C182="Dublagem Tapete",0.8,C182="Esp. + Pel.",0.8,C182="Espelhamento 2x",0.8)</f>
        <v>#N/A</v>
      </c>
      <c r="U182" s="18">
        <v>1</v>
      </c>
      <c r="V182" s="18">
        <v>1</v>
      </c>
      <c r="W182" s="18"/>
      <c r="X182" s="18">
        <v>39.67</v>
      </c>
      <c r="Y182" s="18">
        <v>38.51</v>
      </c>
      <c r="Z182" s="18">
        <v>116.78</v>
      </c>
      <c r="AA182" s="18"/>
    </row>
    <row r="183" spans="1:27" ht="14.25" customHeight="1" x14ac:dyDescent="0.35">
      <c r="A183" s="18"/>
      <c r="B183" s="22" t="s">
        <v>228</v>
      </c>
      <c r="C183" s="23" t="s">
        <v>106</v>
      </c>
      <c r="D183" s="23" t="s">
        <v>325</v>
      </c>
      <c r="E183" s="24">
        <v>1</v>
      </c>
      <c r="F183" s="25">
        <v>3.6</v>
      </c>
      <c r="G183" s="25">
        <v>2.35</v>
      </c>
      <c r="H183" s="26" t="s">
        <v>243</v>
      </c>
      <c r="I183" s="27">
        <f t="shared" si="77"/>
        <v>2.35</v>
      </c>
      <c r="J183" s="28">
        <v>45663</v>
      </c>
      <c r="K183" s="29" t="s">
        <v>324</v>
      </c>
      <c r="L183" s="30">
        <f t="shared" si="78"/>
        <v>1.6888000000000001</v>
      </c>
      <c r="M183" s="30">
        <f>'Custos insumos'!N3</f>
        <v>0.6611999999999999</v>
      </c>
      <c r="N183" s="30"/>
      <c r="O183" s="18"/>
      <c r="P183" s="53">
        <f t="shared" si="72"/>
        <v>0.40029617021276592</v>
      </c>
      <c r="Q183" s="50">
        <f t="shared" si="73"/>
        <v>587.5</v>
      </c>
      <c r="R183" s="50" cm="1">
        <f t="array" ref="R183">_xlfn.IFS(C183="Calandra",(350),C183="Peletização",(421),C183="Dublagem Spun",(250),C183="Dublagem Cretone PES",(180),C183="Felpagem",(270/E183),C183="Emborrachamento",(200),C183="Espelhamento",(250),C183="Malha",(1),C183="Dublagem Cretone",(180),C183="Malha",(1),C183="Dublagem Spun - MO",250,C183="Dublagem Cretone - MO",180,C183="Dublagem Cretone PES - MO",180,C183="Espelhamento - MO",250,C183="Emborrachamento",100,C183="Malha",0,C183="Dublagem Barreira",100,C183="Pel. + Cal.",350,C183="Fel. + Pel. + Cal.",270,C183="Pel. + Spun",250,C183="Espelhamento - L: 1,45m",200,C183="Espelhamento - L: 1,65m",200,C183="Estampagem",100,C183="Fel. + Cal.",270,C183="Dublagem Juta",180,C183="Dublagem Cretone - MO (Juta)",180,C183="Dublagem Tapete",150,C183="Esp. + Pel.",200,C183="Espelhamento 2x",100)</f>
        <v>250</v>
      </c>
      <c r="S183" s="50">
        <f t="shared" si="74"/>
        <v>352.32600000000002</v>
      </c>
      <c r="T183" s="18" cm="1">
        <f t="array" ref="T183">_xlfn.IFS(C183="Calandra",0.4,C183="Felpagem",0.3,C183="Dublagem Spun",0.8,C183="Dublagem Cretone",0.8,C183="Dublagem Cretone PES",0.8,C183="Espelhamento",0.8,C183="Peletização",0.5,C183="Dublagem Spun - MO",0.8,C183="Dublagem Cretone - MO",0.8,C183="Dublagem Cretone PES - MO",0.8,C183="Espelhamento - MO",0.8,C183="Emborrachamento",1,C183="Malha",0,C183="Dublagem Barreira",1,C183="Pel. + Cal.",0.4,C183="Fel. + Pel. + Cal.",0.5,C183="Pel. + Spun",0.8,C183="Espelhamento - L: 1,45m",0.8,C183="Espelhamento - L: 1,65m",0.8,C183="Estampagem",1,C183="Fel. + Cal.",0.4,C183="Dublagem Juta",0.8,C183="Dublagem Cretone - MO (Juta)",0.8,C183="Dublagem Tapete",0.8,C183="Esp. + Pel.",0.8,C183="Espelhamento 2x",0.8)</f>
        <v>0.8</v>
      </c>
      <c r="U183" s="18">
        <v>1</v>
      </c>
      <c r="V183" s="18">
        <v>1</v>
      </c>
      <c r="W183" s="18"/>
      <c r="X183" s="18">
        <v>39.67</v>
      </c>
      <c r="Y183" s="18">
        <v>38.51</v>
      </c>
      <c r="Z183" s="18">
        <v>116.78</v>
      </c>
      <c r="AA183" s="18"/>
    </row>
    <row r="184" spans="1:27" ht="14.25" customHeight="1" x14ac:dyDescent="0.35">
      <c r="A184" s="18"/>
      <c r="B184" s="22" t="s">
        <v>229</v>
      </c>
      <c r="C184" s="23" t="s">
        <v>144</v>
      </c>
      <c r="D184" s="23"/>
      <c r="E184" s="24">
        <v>1</v>
      </c>
      <c r="F184" s="25">
        <v>0.55000000000000004</v>
      </c>
      <c r="G184" s="25">
        <f t="shared" si="76"/>
        <v>0.55000000000000004</v>
      </c>
      <c r="H184" s="26" t="s">
        <v>243</v>
      </c>
      <c r="I184" s="27">
        <f t="shared" si="77"/>
        <v>0.55000000000000004</v>
      </c>
      <c r="J184" s="28">
        <v>45663</v>
      </c>
      <c r="K184" s="29"/>
      <c r="L184" s="30">
        <f t="shared" si="78"/>
        <v>0.55000000000000004</v>
      </c>
      <c r="M184" s="30">
        <f>IF(B184="Texion Textil",0,IF(C184="Malha",'Custos insumos'!$B$24,IF(C184="Dublagem Cretone",'Custos insumos'!$D$7,IF(C184="Dublagem Spun",'Custos insumos'!$D$4,IF(C184="Espelhamento",'Custos insumos'!$B$11,IF(C184="Espelhamento 2x",2*'Custos insumos'!$B$11,IF(C184="Esp. + Pel.",'Custos insumos'!$B$11,IF(C184="Pel. + Spun",'Custos insumos'!$D$4,IF(C184="Dublagem Cretone PES",'Custos insumos'!$D$7,IF(C184="Dublagem Barreira",'Custos insumos'!$D$11,IF(C184="Dublagem - MO + Filme",'Custos insumos'!$D$4,IF(C184="Dublagem Cretone HM50",'Custos insumos'!$D$26,IF(C184="Dublagem Cretone HM70",'Custos insumos'!$F$10,)))))))))))))</f>
        <v>0</v>
      </c>
      <c r="N184" s="30">
        <f>IF(B184="Texion Textil",0,IF(B184="Três Elos",0,IF(C184="Malha",0,IF(C184="Dublagem Cretone",'Custos insumos'!$D$23,IF(C184="Dublagem Spun",'Custos insumos'!$D$16,IF(C184="Espelhamento",0,IF(C184="Espelhamento 2x",0,IF(C184="Esp. + Pel.",0,IF(C184="Pel. + Spun",'Custos insumos'!$D$16,IF(C184="Dublagem Cretone PES",'Custos insumos'!$F$25,IF(C184="Dublagem Barreira",'Custos insumos'!$D$22,)))))))))))</f>
        <v>0</v>
      </c>
      <c r="O184" s="18"/>
      <c r="P184" s="53">
        <f t="shared" si="72"/>
        <v>0.24368386957460594</v>
      </c>
      <c r="Q184" s="50">
        <f t="shared" si="73"/>
        <v>231.55</v>
      </c>
      <c r="R184" s="50" cm="1">
        <f t="array" ref="R184">_xlfn.IFS(C184="Calandra",(350),C184="Peletização",(421),C184="Dublagem Spun",(250),C184="Dublagem Cretone PES",(180),C184="Felpagem",(270/E184),C184="Emborrachamento",(200),C184="Espelhamento",(250),C184="Malha",(1),C184="Dublagem Cretone",(180),C184="Malha",(1),C184="Dublagem Spun - MO",250,C184="Dublagem Cretone - MO",180,C184="Dublagem Cretone PES - MO",180,C184="Espelhamento - MO",250,C184="Emborrachamento",100,C184="Malha",0,C184="Dublagem Barreira",100,C184="Pel. + Cal.",350,C184="Fel. + Pel. + Cal.",270,C184="Pel. + Spun",250,C184="Espelhamento - L: 1,45m",200,C184="Espelhamento - L: 1,65m",200,C184="Estampagem",100,C184="Fel. + Cal.",270,C184="Dublagem Juta",180,C184="Dublagem Cretone - MO (Juta)",180,C184="Dublagem Tapete",150,C184="Esp. + Pel.",200,C184="Espelhamento 2x",100)</f>
        <v>421</v>
      </c>
      <c r="S184" s="50">
        <f t="shared" si="74"/>
        <v>175.125</v>
      </c>
      <c r="T184" s="18" cm="1">
        <f t="array" ref="T184">_xlfn.IFS(C184="Calandra",0.4,C184="Felpagem",0.3,C184="Dublagem Spun",0.8,C184="Dublagem Cretone",0.8,C184="Dublagem Cretone PES",0.8,C184="Espelhamento",0.8,C184="Peletização",0.5,C184="Dublagem Spun - MO",0.8,C184="Dublagem Cretone - MO",0.8,C184="Dublagem Cretone PES - MO",0.8,C184="Espelhamento - MO",0.8,C184="Emborrachamento",1,C184="Malha",0,C184="Dublagem Barreira",1,C184="Pel. + Cal.",0.4,C184="Fel. + Pel. + Cal.",0.5,C184="Pel. + Spun",0.8,C184="Espelhamento - L: 1,45m",0.8,C184="Espelhamento - L: 1,65m",0.8,C184="Estampagem",1,C184="Fel. + Cal.",0.4,C184="Dublagem Juta",0.8,C184="Dublagem Cretone - MO (Juta)",0.8,C184="Dublagem Tapete",0.8,C184="Esp. + Pel.",0.8,C184="Espelhamento 2x",0.8)</f>
        <v>0.5</v>
      </c>
      <c r="U184" s="18">
        <v>1</v>
      </c>
      <c r="V184" s="18">
        <v>1</v>
      </c>
      <c r="W184" s="18"/>
      <c r="X184" s="18">
        <v>39.67</v>
      </c>
      <c r="Y184" s="18">
        <v>38.51</v>
      </c>
      <c r="Z184" s="18">
        <v>116.78</v>
      </c>
      <c r="AA184" s="18"/>
    </row>
    <row r="185" spans="1:27" ht="14.25" customHeight="1" x14ac:dyDescent="0.35">
      <c r="A185" s="18"/>
      <c r="B185" s="22" t="s">
        <v>229</v>
      </c>
      <c r="C185" s="23" t="s">
        <v>254</v>
      </c>
      <c r="D185" s="23"/>
      <c r="E185" s="24">
        <v>3</v>
      </c>
      <c r="F185" s="25">
        <v>1.1000000000000001</v>
      </c>
      <c r="G185" s="25">
        <f t="shared" si="76"/>
        <v>1.1000000000000001</v>
      </c>
      <c r="H185" s="26" t="s">
        <v>243</v>
      </c>
      <c r="I185" s="27">
        <f t="shared" si="77"/>
        <v>0.3666666666666667</v>
      </c>
      <c r="J185" s="28">
        <v>45663</v>
      </c>
      <c r="K185" s="29"/>
      <c r="L185" s="30">
        <f t="shared" si="78"/>
        <v>1.1000000000000001</v>
      </c>
      <c r="M185" s="30">
        <f>IF(B185="Texion Textil",0,IF(C185="Malha",'Custos insumos'!$B$24,IF(C185="Dublagem Cretone",'Custos insumos'!$D$7,IF(C185="Dublagem Spun",'Custos insumos'!$D$4,IF(C185="Espelhamento",'Custos insumos'!$B$11,IF(C185="Espelhamento 2x",2*'Custos insumos'!$B$11,IF(C185="Esp. + Pel.",'Custos insumos'!$B$11,IF(C185="Pel. + Spun",'Custos insumos'!$D$4,IF(C185="Dublagem Cretone PES",'Custos insumos'!$D$7,IF(C185="Dublagem Barreira",'Custos insumos'!$D$11,IF(C185="Dublagem - MO + Filme",'Custos insumos'!$D$4,IF(C185="Dublagem Cretone HM50",'Custos insumos'!$D$26,IF(C185="Dublagem Cretone HM70",'Custos insumos'!$F$10,)))))))))))))</f>
        <v>0</v>
      </c>
      <c r="N185" s="30">
        <f>IF(B185="Texion Textil",0,IF(B185="Três Elos",0,IF(C185="Malha",0,IF(C185="Dublagem Cretone",'Custos insumos'!$D$23,IF(C185="Dublagem Spun",'Custos insumos'!$D$16,IF(C185="Espelhamento",0,IF(C185="Espelhamento 2x",0,IF(C185="Esp. + Pel.",0,IF(C185="Pel. + Spun",'Custos insumos'!$D$16,IF(C185="Dublagem Cretone PES",'Custos insumos'!$F$25,IF(C185="Dublagem Barreira",'Custos insumos'!$D$22,)))))))))))</f>
        <v>0</v>
      </c>
      <c r="O185" s="18"/>
      <c r="P185" s="53">
        <f t="shared" si="72"/>
        <v>-0.68879797979797963</v>
      </c>
      <c r="Q185" s="50">
        <f t="shared" si="73"/>
        <v>99.000000000000014</v>
      </c>
      <c r="R185" s="50" cm="1">
        <f t="array" ref="R185">_xlfn.IFS(C185="Calandra",(350),C185="Peletização",(421),C185="Dublagem Spun",(250),C185="Dublagem Cretone PES",(180),C185="Felpagem",(270/E185),C185="Emborrachamento",(200),C185="Espelhamento",(250),C185="Malha",(1),C185="Dublagem Cretone",(180),C185="Malha",(1),C185="Dublagem Spun - MO",250,C185="Dublagem Cretone - MO",180,C185="Dublagem Cretone PES - MO",180,C185="Espelhamento - MO",250,C185="Emborrachamento",100,C185="Malha",0,C185="Dublagem Barreira",100,C185="Pel. + Cal.",350,C185="Fel. + Pel. + Cal.",270,C185="Pel. + Spun",250,C185="Espelhamento - L: 1,45m",200,C185="Espelhamento - L: 1,65m",200,C185="Estampagem",100,C185="Fel. + Cal.",270,C185="Dublagem Juta",180,C185="Dublagem Cretone - MO (Juta)",180,C185="Dublagem Tapete",150,C185="Esp. + Pel.",200,C185="Espelhamento 2x",100)</f>
        <v>90</v>
      </c>
      <c r="S185" s="50">
        <f t="shared" si="74"/>
        <v>167.191</v>
      </c>
      <c r="T185" s="18" cm="1">
        <f t="array" ref="T185">_xlfn.IFS(C185="Calandra",0.4,C185="Felpagem",0.3,C185="Dublagem Spun",0.8,C185="Dublagem Cretone",0.8,C185="Dublagem Cretone PES",0.8,C185="Espelhamento",0.8,C185="Peletização",0.5,C185="Dublagem Spun - MO",0.8,C185="Dublagem Cretone - MO",0.8,C185="Dublagem Cretone PES - MO",0.8,C185="Espelhamento - MO",0.8,C185="Emborrachamento",1,C185="Malha",0,C185="Dublagem Barreira",1,C185="Pel. + Cal.",0.4,C185="Fel. + Pel. + Cal.",0.5,C185="Pel. + Spun",0.8,C185="Espelhamento - L: 1,45m",0.8,C185="Espelhamento - L: 1,65m",0.8,C185="Estampagem",1,C185="Fel. + Cal.",0.4,C185="Dublagem Juta",0.8,C185="Dublagem Cretone - MO (Juta)",0.8,C185="Dublagem Tapete",0.8,C185="Esp. + Pel.",0.8,C185="Espelhamento 2x",0.8)</f>
        <v>0.3</v>
      </c>
      <c r="U185" s="18">
        <v>1</v>
      </c>
      <c r="V185" s="18">
        <v>1</v>
      </c>
      <c r="W185" s="18"/>
      <c r="X185" s="18">
        <v>39.67</v>
      </c>
      <c r="Y185" s="18">
        <v>38.51</v>
      </c>
      <c r="Z185" s="18">
        <v>116.78</v>
      </c>
      <c r="AA185" s="18"/>
    </row>
    <row r="186" spans="1:27" ht="14.25" customHeight="1" x14ac:dyDescent="0.35">
      <c r="A186" s="18"/>
      <c r="B186" s="22" t="s">
        <v>445</v>
      </c>
      <c r="C186" s="23" t="s">
        <v>446</v>
      </c>
      <c r="D186" s="23"/>
      <c r="E186" s="24"/>
      <c r="F186" s="25"/>
      <c r="G186" s="25">
        <f>L186+M186+N186</f>
        <v>2.1535199999999999</v>
      </c>
      <c r="H186" s="26"/>
      <c r="I186" s="27"/>
      <c r="J186" s="28"/>
      <c r="K186" s="29"/>
      <c r="L186" s="30">
        <v>1.1399999999999999</v>
      </c>
      <c r="M186" s="30">
        <f>'Custos insumos'!N3</f>
        <v>0.6611999999999999</v>
      </c>
      <c r="N186" s="30">
        <f>'Custos insumos'!N14</f>
        <v>0.35232000000000002</v>
      </c>
      <c r="O186" s="18"/>
      <c r="P186" s="53"/>
      <c r="Q186" s="50"/>
      <c r="R186" s="50"/>
      <c r="S186" s="50"/>
      <c r="T186" s="18" t="e" cm="1">
        <f t="array" ref="T186">_xlfn.IFS(C186="Calandra",0.4,C186="Felpagem",0.3,C186="Dublagem Spun",0.8,C186="Dublagem Cretone",0.8,C186="Dublagem Cretone PES",0.8,C186="Espelhamento",0.8,C186="Peletização",0.5,C186="Dublagem Spun - MO",0.8,C186="Dublagem Cretone - MO",0.8,C186="Dublagem Cretone PES - MO",0.8,C186="Espelhamento - MO",0.8,C186="Emborrachamento",1,C186="Malha",0,C186="Dublagem Barreira",1,C186="Pel. + Cal.",0.4,C186="Fel. + Pel. + Cal.",0.5,C186="Pel. + Spun",0.8,C186="Espelhamento - L: 1,45m",0.8,C186="Espelhamento - L: 1,65m",0.8,C186="Estampagem",1,C186="Fel. + Cal.",0.4,C186="Dublagem Juta",0.8,C186="Dublagem Cretone - MO (Juta)",0.8,C186="Dublagem Tapete",0.8,C186="Esp. + Pel.",0.8,C186="Espelhamento 2x",0.8)</f>
        <v>#N/A</v>
      </c>
      <c r="U186" s="18"/>
      <c r="V186" s="18"/>
      <c r="W186" s="18"/>
      <c r="X186" s="18"/>
      <c r="Y186" s="18"/>
      <c r="Z186" s="18"/>
      <c r="AA186" s="18"/>
    </row>
    <row r="187" spans="1:27" ht="14.25" customHeight="1" x14ac:dyDescent="0.35">
      <c r="A187" s="18"/>
      <c r="B187" s="22" t="s">
        <v>326</v>
      </c>
      <c r="C187" s="23" t="s">
        <v>144</v>
      </c>
      <c r="D187" s="23"/>
      <c r="E187" s="24">
        <v>1</v>
      </c>
      <c r="F187" s="25">
        <v>0.65</v>
      </c>
      <c r="G187" s="25">
        <f t="shared" ref="G187:G192" si="83">F187</f>
        <v>0.65</v>
      </c>
      <c r="H187" s="26" t="s">
        <v>243</v>
      </c>
      <c r="I187" s="27">
        <f t="shared" ref="I187:I212" si="84">G187/E187</f>
        <v>0.65</v>
      </c>
      <c r="J187" s="28">
        <v>45663</v>
      </c>
      <c r="K187" s="29"/>
      <c r="L187" s="30">
        <f t="shared" ref="L187:L228" si="85">G187-M187-N187</f>
        <v>0.65</v>
      </c>
      <c r="M187" s="30">
        <f>IF(B187="Texion Textil",0,IF(C187="Malha",'Custos insumos'!$B$24,IF(C187="Dublagem Cretone",'Custos insumos'!$D$7,IF(C187="Dublagem Spun",'Custos insumos'!$D$4,IF(C187="Espelhamento",'Custos insumos'!$B$11,IF(C187="Espelhamento 2x",2*'Custos insumos'!$B$11,IF(C187="Esp. + Pel.",'Custos insumos'!$B$11,IF(C187="Pel. + Spun",'Custos insumos'!$D$4,IF(C187="Dublagem Cretone PES",'Custos insumos'!$D$7,IF(C187="Dublagem Barreira",'Custos insumos'!$D$11,IF(C187="Dublagem - MO + Filme",'Custos insumos'!$D$4,IF(C187="Dublagem Cretone HM50",'Custos insumos'!$D$26,IF(C187="Dublagem Cretone HM70",'Custos insumos'!$F$10,)))))))))))))</f>
        <v>0</v>
      </c>
      <c r="N187" s="30">
        <f>IF(B187="Texion Textil",0,IF(B187="Três Elos",0,IF(C187="Malha",0,IF(C187="Dublagem Cretone",'Custos insumos'!$D$23,IF(C187="Dublagem Spun",'Custos insumos'!$D$16,IF(C187="Espelhamento",0,IF(C187="Espelhamento 2x",0,IF(C187="Esp. + Pel.",0,IF(C187="Pel. + Spun",'Custos insumos'!$D$16,IF(C187="Dublagem Cretone PES",'Custos insumos'!$F$25,IF(C187="Dublagem Barreira",'Custos insumos'!$D$22,)))))))))))</f>
        <v>0</v>
      </c>
      <c r="O187" s="18"/>
      <c r="P187" s="53">
        <f t="shared" si="72"/>
        <v>0.36004019733235892</v>
      </c>
      <c r="Q187" s="50">
        <f t="shared" si="73"/>
        <v>273.65000000000003</v>
      </c>
      <c r="R187" s="50" cm="1">
        <f t="array" ref="R187">_xlfn.IFS(C187="Calandra",(350),C187="Peletização",(421),C187="Dublagem Spun",(250),C187="Dublagem Cretone PES",(180),C187="Felpagem",(270/E187),C187="Emborrachamento",(200),C187="Espelhamento",(250),C187="Malha",(1),C187="Dublagem Cretone",(180),C187="Malha",(1),C187="Dublagem Spun - MO",250,C187="Dublagem Cretone - MO",180,C187="Dublagem Cretone PES - MO",180,C187="Espelhamento - MO",250,C187="Emborrachamento",100,C187="Malha",0,C187="Dublagem Barreira",100,C187="Pel. + Cal.",350,C187="Fel. + Pel. + Cal.",270,C187="Pel. + Spun",250,C187="Espelhamento - L: 1,45m",200,C187="Espelhamento - L: 1,65m",200,C187="Estampagem",100,C187="Fel. + Cal.",270,C187="Dublagem Juta",180,C187="Dublagem Cretone - MO (Juta)",180,C187="Dublagem Tapete",150,C187="Esp. + Pel.",200,C187="Espelhamento 2x",100)</f>
        <v>421</v>
      </c>
      <c r="S187" s="50">
        <f t="shared" si="74"/>
        <v>175.125</v>
      </c>
      <c r="T187" s="18" cm="1">
        <f t="array" ref="T187">_xlfn.IFS(C187="Calandra",0.4,C187="Felpagem",0.3,C187="Dublagem Spun",0.8,C187="Dublagem Cretone",0.8,C187="Dublagem Cretone PES",0.8,C187="Espelhamento",0.8,C187="Peletização",0.5,C187="Dublagem Spun - MO",0.8,C187="Dublagem Cretone - MO",0.8,C187="Dublagem Cretone PES - MO",0.8,C187="Espelhamento - MO",0.8,C187="Emborrachamento",1,C187="Malha",0,C187="Dublagem Barreira",1,C187="Pel. + Cal.",0.4,C187="Fel. + Pel. + Cal.",0.5,C187="Pel. + Spun",0.8,C187="Espelhamento - L: 1,45m",0.8,C187="Espelhamento - L: 1,65m",0.8,C187="Estampagem",1,C187="Fel. + Cal.",0.4,C187="Dublagem Juta",0.8,C187="Dublagem Cretone - MO (Juta)",0.8,C187="Dublagem Tapete",0.8,C187="Esp. + Pel.",0.8,C187="Espelhamento 2x",0.8)</f>
        <v>0.5</v>
      </c>
      <c r="U187" s="18">
        <v>1</v>
      </c>
      <c r="V187" s="18">
        <v>1</v>
      </c>
      <c r="W187" s="18"/>
      <c r="X187" s="18">
        <v>39.67</v>
      </c>
      <c r="Y187" s="18">
        <v>38.51</v>
      </c>
      <c r="Z187" s="18">
        <v>116.78</v>
      </c>
      <c r="AA187" s="18"/>
    </row>
    <row r="188" spans="1:27" ht="14.25" customHeight="1" x14ac:dyDescent="0.35">
      <c r="A188" s="18"/>
      <c r="B188" s="22" t="s">
        <v>326</v>
      </c>
      <c r="C188" s="23" t="s">
        <v>292</v>
      </c>
      <c r="D188" s="23" t="s">
        <v>193</v>
      </c>
      <c r="E188" s="24">
        <v>1</v>
      </c>
      <c r="F188" s="25">
        <v>1.65</v>
      </c>
      <c r="G188" s="25">
        <f t="shared" si="83"/>
        <v>1.65</v>
      </c>
      <c r="H188" s="26" t="s">
        <v>243</v>
      </c>
      <c r="I188" s="27">
        <f t="shared" si="84"/>
        <v>1.65</v>
      </c>
      <c r="J188" s="28">
        <v>45663</v>
      </c>
      <c r="K188" s="29" t="s">
        <v>327</v>
      </c>
      <c r="L188" s="30">
        <f t="shared" si="85"/>
        <v>1.65</v>
      </c>
      <c r="M188" s="30">
        <f>IF(B188="Texion Textil",0,IF(C188="Malha",'Custos insumos'!$B$24,IF(C188="Dublagem Cretone",'Custos insumos'!$D$7,IF(C188="Dublagem Spun",'Custos insumos'!$D$4,IF(C188="Espelhamento",'Custos insumos'!$B$11,IF(C188="Espelhamento 2x",2*'Custos insumos'!$B$11,IF(C188="Esp. + Pel.",'Custos insumos'!$B$11,IF(C188="Pel. + Spun",'Custos insumos'!$D$4,IF(C188="Dublagem Cretone PES",'Custos insumos'!$D$7,IF(C188="Dublagem Barreira",'Custos insumos'!$D$11,IF(C188="Dublagem - MO + Filme",'Custos insumos'!$D$4,IF(C188="Dublagem Cretone HM50",'Custos insumos'!$D$26,IF(C188="Dublagem Cretone HM70",'Custos insumos'!$F$10,)))))))))))))</f>
        <v>0</v>
      </c>
      <c r="N188" s="30">
        <f>IF(B188="Texion Textil",0,IF(B188="Três Elos",0,IF(C188="Malha",0,IF(C188="Dublagem Cretone",'Custos insumos'!$D$23,IF(C188="Dublagem Spun",'Custos insumos'!$D$16,IF(C188="Espelhamento",0,IF(C188="Espelhamento 2x",0,IF(C188="Esp. + Pel.",0,IF(C188="Pel. + Spun",'Custos insumos'!$D$16,IF(C188="Dublagem Cretone PES",'Custos insumos'!$F$25,IF(C188="Dublagem Barreira",'Custos insumos'!$D$22,)))))))))))</f>
        <v>0</v>
      </c>
      <c r="O188" s="18"/>
      <c r="P188" s="53">
        <f t="shared" si="72"/>
        <v>0.70362251082251082</v>
      </c>
      <c r="Q188" s="50">
        <f t="shared" si="73"/>
        <v>577.5</v>
      </c>
      <c r="R188" s="50" cm="1">
        <f t="array" ref="R188">_xlfn.IFS(C188="Calandra",(350),C188="Peletização",(421),C188="Dublagem Spun",(250),C188="Dublagem Cretone PES",(180),C188="Felpagem",(270/E188),C188="Emborrachamento",(200),C188="Espelhamento",(250),C188="Malha",(1),C188="Dublagem Cretone",(180),C188="Malha",(1),C188="Dublagem Spun - MO",250,C188="Dublagem Cretone - MO",180,C188="Dublagem Cretone PES - MO",180,C188="Espelhamento - MO",250,C188="Emborrachamento",100,C188="Malha",0,C188="Dublagem Barreira",100,C188="Pel. + Cal.",350,C188="Fel. + Pel. + Cal.",270,C188="Pel. + Spun",250,C188="Espelhamento - L: 1,45m",200,C188="Espelhamento - L: 1,65m",200,C188="Estampagem",100,C188="Fel. + Cal.",270,C188="Dublagem Juta",180,C188="Dublagem Cretone - MO (Juta)",180,C188="Dublagem Tapete",150,C188="Esp. + Pel.",200,C188="Espelhamento 2x",100)</f>
        <v>350</v>
      </c>
      <c r="S188" s="50">
        <f t="shared" si="74"/>
        <v>171.15800000000002</v>
      </c>
      <c r="T188" s="18" cm="1">
        <f t="array" ref="T188">_xlfn.IFS(C188="Calandra",0.4,C188="Felpagem",0.3,C188="Dublagem Spun",0.8,C188="Dublagem Cretone",0.8,C188="Dublagem Cretone PES",0.8,C188="Espelhamento",0.8,C188="Peletização",0.5,C188="Dublagem Spun - MO",0.8,C188="Dublagem Cretone - MO",0.8,C188="Dublagem Cretone PES - MO",0.8,C188="Espelhamento - MO",0.8,C188="Emborrachamento",1,C188="Malha",0,C188="Dublagem Barreira",1,C188="Pel. + Cal.",0.4,C188="Fel. + Pel. + Cal.",0.5,C188="Pel. + Spun",0.8,C188="Espelhamento - L: 1,45m",0.8,C188="Espelhamento - L: 1,65m",0.8,C188="Estampagem",1,C188="Fel. + Cal.",0.4,C188="Dublagem Juta",0.8,C188="Dublagem Cretone - MO (Juta)",0.8,C188="Dublagem Tapete",0.8,C188="Esp. + Pel.",0.8,C188="Espelhamento 2x",0.8)</f>
        <v>0.4</v>
      </c>
      <c r="U188" s="18">
        <v>1</v>
      </c>
      <c r="V188" s="18">
        <v>1</v>
      </c>
      <c r="W188" s="18"/>
      <c r="X188" s="18">
        <v>39.67</v>
      </c>
      <c r="Y188" s="18">
        <v>38.51</v>
      </c>
      <c r="Z188" s="18">
        <v>116.78</v>
      </c>
      <c r="AA188" s="18"/>
    </row>
    <row r="189" spans="1:27" ht="14.25" customHeight="1" x14ac:dyDescent="0.35">
      <c r="A189" s="18"/>
      <c r="B189" s="22" t="s">
        <v>326</v>
      </c>
      <c r="C189" s="23" t="s">
        <v>106</v>
      </c>
      <c r="D189" s="23"/>
      <c r="E189" s="24">
        <v>1</v>
      </c>
      <c r="F189" s="25">
        <v>3.7</v>
      </c>
      <c r="G189" s="25">
        <f t="shared" si="83"/>
        <v>3.7</v>
      </c>
      <c r="H189" s="26" t="s">
        <v>243</v>
      </c>
      <c r="I189" s="27">
        <f t="shared" si="84"/>
        <v>3.7</v>
      </c>
      <c r="J189" s="28">
        <v>45663</v>
      </c>
      <c r="K189" s="29" t="s">
        <v>194</v>
      </c>
      <c r="L189" s="30">
        <f t="shared" si="85"/>
        <v>2.6414997101449273</v>
      </c>
      <c r="M189" s="30">
        <f>IF(B189="Texion Textil",0,IF(C189="Malha",'Custos insumos'!$B$24,IF(C189="Dublagem Cretone",'Custos insumos'!$D$7,IF(C189="Dublagem Spun",'Custos insumos'!$D$4,IF(C189="Espelhamento",'Custos insumos'!$B$11,IF(C189="Espelhamento 2x",2*'Custos insumos'!$B$11,IF(C189="Esp. + Pel.",'Custos insumos'!$B$11,IF(C189="Pel. + Spun",'Custos insumos'!$D$4,IF(C189="Dublagem Cretone PES",'Custos insumos'!$D$7,IF(C189="Dublagem Barreira",'Custos insumos'!$D$11,IF(C189="Dublagem - MO + Filme",'Custos insumos'!$D$4,IF(C189="Dublagem Cretone HM50",'Custos insumos'!$D$26,IF(C189="Dublagem Cretone HM70",'Custos insumos'!$F$10,)))))))))))))</f>
        <v>1.0585002898550726</v>
      </c>
      <c r="N189" s="30">
        <f>IF(B189="Texion Textil",0,IF(B189="Três Elos",0,IF(C189="Malha",0,IF(C189="Dublagem Cretone",'Custos insumos'!$D$23,IF(C189="Dublagem Spun",'Custos insumos'!$D$16,IF(C189="Espelhamento",0,IF(C189="Espelhamento 2x",0,IF(C189="Esp. + Pel.",0,IF(C189="Pel. + Spun",'Custos insumos'!$D$16,IF(C189="Dublagem Cretone PES",'Custos insumos'!$F$25,IF(C189="Dublagem Barreira",'Custos insumos'!$D$22,)))))))))))</f>
        <v>0</v>
      </c>
      <c r="O189" s="18"/>
      <c r="P189" s="53">
        <f t="shared" si="72"/>
        <v>0.51172857030943986</v>
      </c>
      <c r="Q189" s="50">
        <f t="shared" si="73"/>
        <v>925</v>
      </c>
      <c r="R189" s="50" cm="1">
        <f t="array" ref="R189">_xlfn.IFS(C189="Calandra",(350),C189="Peletização",(421),C189="Dublagem Spun",(250),C189="Dublagem Cretone PES",(180),C189="Felpagem",(270/E189),C189="Emborrachamento",(200),C189="Espelhamento",(250),C189="Malha",(1),C189="Dublagem Cretone",(180),C189="Malha",(1),C189="Dublagem Spun - MO",250,C189="Dublagem Cretone - MO",180,C189="Dublagem Cretone PES - MO",180,C189="Espelhamento - MO",250,C189="Emborrachamento",100,C189="Malha",0,C189="Dublagem Barreira",100,C189="Pel. + Cal.",350,C189="Fel. + Pel. + Cal.",270,C189="Pel. + Spun",250,C189="Espelhamento - L: 1,45m",200,C189="Espelhamento - L: 1,65m",200,C189="Estampagem",100,C189="Fel. + Cal.",270,C189="Dublagem Juta",180,C189="Dublagem Cretone - MO (Juta)",180,C189="Dublagem Tapete",150,C189="Esp. + Pel.",200,C189="Espelhamento 2x",100)</f>
        <v>250</v>
      </c>
      <c r="S189" s="50">
        <f t="shared" si="74"/>
        <v>451.65107246376817</v>
      </c>
      <c r="T189" s="18" cm="1">
        <f t="array" ref="T189">_xlfn.IFS(C189="Calandra",0.4,C189="Felpagem",0.3,C189="Dublagem Spun",0.8,C189="Dublagem Cretone",0.8,C189="Dublagem Cretone PES",0.8,C189="Espelhamento",0.8,C189="Peletização",0.5,C189="Dublagem Spun - MO",0.8,C189="Dublagem Cretone - MO",0.8,C189="Dublagem Cretone PES - MO",0.8,C189="Espelhamento - MO",0.8,C189="Emborrachamento",1,C189="Malha",0,C189="Dublagem Barreira",1,C189="Pel. + Cal.",0.4,C189="Fel. + Pel. + Cal.",0.5,C189="Pel. + Spun",0.8,C189="Espelhamento - L: 1,45m",0.8,C189="Espelhamento - L: 1,65m",0.8,C189="Estampagem",1,C189="Fel. + Cal.",0.4,C189="Dublagem Juta",0.8,C189="Dublagem Cretone - MO (Juta)",0.8,C189="Dublagem Tapete",0.8,C189="Esp. + Pel.",0.8,C189="Espelhamento 2x",0.8)</f>
        <v>0.8</v>
      </c>
      <c r="U189" s="18">
        <v>1</v>
      </c>
      <c r="V189" s="18">
        <v>1</v>
      </c>
      <c r="W189" s="18"/>
      <c r="X189" s="18">
        <v>39.67</v>
      </c>
      <c r="Y189" s="18">
        <v>38.51</v>
      </c>
      <c r="Z189" s="18">
        <v>116.78</v>
      </c>
      <c r="AA189" s="18"/>
    </row>
    <row r="190" spans="1:27" ht="14.25" customHeight="1" x14ac:dyDescent="0.35">
      <c r="A190" s="18"/>
      <c r="B190" s="22" t="s">
        <v>326</v>
      </c>
      <c r="C190" s="23" t="s">
        <v>249</v>
      </c>
      <c r="D190" s="23"/>
      <c r="E190" s="24">
        <v>1</v>
      </c>
      <c r="F190" s="25">
        <v>5.6</v>
      </c>
      <c r="G190" s="25">
        <f t="shared" si="83"/>
        <v>5.6</v>
      </c>
      <c r="H190" s="26" t="s">
        <v>243</v>
      </c>
      <c r="I190" s="27">
        <f t="shared" si="84"/>
        <v>5.6</v>
      </c>
      <c r="J190" s="28">
        <v>45663</v>
      </c>
      <c r="K190" s="29" t="s">
        <v>197</v>
      </c>
      <c r="L190" s="30">
        <f t="shared" si="85"/>
        <v>3.75908</v>
      </c>
      <c r="M190" s="30">
        <f>IF(B190="Texion Textil",0,IF(C190="Malha",'Custos insumos'!$B$24,IF(C190="Dublagem Cretone",'Custos insumos'!$D$7,IF(C190="Dublagem Spun",'Custos insumos'!$D$4,IF(C190="Espelhamento",'Custos insumos'!$B$11,IF(C190="Espelhamento 2x",2*'Custos insumos'!$B$11,IF(C190="Esp. + Pel.",'Custos insumos'!$B$11,IF(C190="Pel. + Spun",'Custos insumos'!$D$4,IF(C190="Dublagem Cretone PES",'Custos insumos'!$D$7,IF(C190="Dublagem Barreira",'Custos insumos'!$D$11,IF(C190="Dublagem - MO + Filme",'Custos insumos'!$D$4,IF(C190="Dublagem Cretone HM50",'Custos insumos'!$D$26,IF(C190="Dublagem Cretone HM70",'Custos insumos'!$F$10,)))))))))))))</f>
        <v>1.1232</v>
      </c>
      <c r="N190" s="30">
        <f>IF(B190="Texion Textil",0,IF(B190="Três Elos",0,IF(C190="Malha",0,IF(C190="Dublagem Cretone",'Custos insumos'!$D$23,IF(C190="Dublagem Spun",'Custos insumos'!$D$16,IF(C190="Espelhamento",0,IF(C190="Espelhamento 2x",0,IF(C190="Esp. + Pel.",0,IF(C190="Pel. + Spun",'Custos insumos'!$D$16,IF(C190="Dublagem Cretone PES",'Custos insumos'!$F$25,IF(C190="Dublagem Barreira",'Custos insumos'!$D$22,)))))))))))</f>
        <v>0.71771999999999991</v>
      </c>
      <c r="O190" s="18"/>
      <c r="P190" s="53">
        <f t="shared" si="72"/>
        <v>0.53767428571428577</v>
      </c>
      <c r="Q190" s="50">
        <f t="shared" si="73"/>
        <v>1400</v>
      </c>
      <c r="R190" s="50" cm="1">
        <f t="array" ref="R190">_xlfn.IFS(C190="Calandra",(350),C190="Peletização",(421),C190="Dublagem Spun",(250),C190="Dublagem Cretone PES",(180),C190="Felpagem",(270/E190),C190="Emborrachamento",(200),C190="Espelhamento",(250),C190="Malha",(1),C190="Dublagem Cretone",(180),C190="Malha",(1),C190="Dublagem Spun - MO",250,C190="Dublagem Cretone - MO",180,C190="Dublagem Cretone PES - MO",180,C190="Espelhamento - MO",250,C190="Emborrachamento",100,C190="Malha",0,C190="Dublagem Barreira",100,C190="Pel. + Cal.",350,C190="Fel. + Pel. + Cal.",270,C190="Pel. + Spun",250,C190="Espelhamento - L: 1,45m",200,C190="Espelhamento - L: 1,65m",200,C190="Estampagem",100,C190="Fel. + Cal.",270,C190="Dublagem Juta",180,C190="Dublagem Cretone - MO (Juta)",180,C190="Dublagem Tapete",150,C190="Esp. + Pel.",200,C190="Espelhamento 2x",100)</f>
        <v>250</v>
      </c>
      <c r="S190" s="50">
        <f t="shared" si="74"/>
        <v>647.25599999999997</v>
      </c>
      <c r="T190" s="18" cm="1">
        <f t="array" ref="T190">_xlfn.IFS(C190="Calandra",0.4,C190="Felpagem",0.3,C190="Dublagem Spun",0.8,C190="Dublagem Cretone",0.8,C190="Dublagem Cretone PES",0.8,C190="Espelhamento",0.8,C190="Peletização",0.5,C190="Dublagem Spun - MO",0.8,C190="Dublagem Cretone - MO",0.8,C190="Dublagem Cretone PES - MO",0.8,C190="Espelhamento - MO",0.8,C190="Emborrachamento",1,C190="Malha",0,C190="Dublagem Barreira",1,C190="Pel. + Cal.",0.4,C190="Fel. + Pel. + Cal.",0.5,C190="Pel. + Spun",0.8,C190="Espelhamento - L: 1,45m",0.8,C190="Espelhamento - L: 1,65m",0.8,C190="Estampagem",1,C190="Fel. + Cal.",0.4,C190="Dublagem Juta",0.8,C190="Dublagem Cretone - MO (Juta)",0.8,C190="Dublagem Tapete",0.8,C190="Esp. + Pel.",0.8,C190="Espelhamento 2x",0.8)</f>
        <v>0.8</v>
      </c>
      <c r="U190" s="18">
        <v>1</v>
      </c>
      <c r="V190" s="18">
        <v>1</v>
      </c>
      <c r="W190" s="18"/>
      <c r="X190" s="18">
        <v>39.67</v>
      </c>
      <c r="Y190" s="18">
        <v>38.51</v>
      </c>
      <c r="Z190" s="18">
        <v>116.78</v>
      </c>
      <c r="AA190" s="18"/>
    </row>
    <row r="191" spans="1:27" ht="14.25" customHeight="1" x14ac:dyDescent="0.35">
      <c r="A191" s="18"/>
      <c r="B191" s="22" t="s">
        <v>326</v>
      </c>
      <c r="C191" s="23" t="s">
        <v>106</v>
      </c>
      <c r="D191" s="23" t="s">
        <v>200</v>
      </c>
      <c r="E191" s="24">
        <v>1</v>
      </c>
      <c r="F191" s="25">
        <v>2.35</v>
      </c>
      <c r="G191" s="25">
        <f t="shared" si="83"/>
        <v>2.35</v>
      </c>
      <c r="H191" s="26" t="s">
        <v>243</v>
      </c>
      <c r="I191" s="27">
        <f t="shared" si="84"/>
        <v>2.35</v>
      </c>
      <c r="J191" s="28">
        <v>45663</v>
      </c>
      <c r="K191" s="29" t="s">
        <v>199</v>
      </c>
      <c r="L191" s="30">
        <f t="shared" si="85"/>
        <v>1.2914997101449275</v>
      </c>
      <c r="M191" s="30">
        <f>IF(B191="Texion Textil",0,IF(C191="Malha",'Custos insumos'!$B$24,IF(C191="Dublagem Cretone",'Custos insumos'!$D$7,IF(C191="Dublagem Spun",'Custos insumos'!$D$4,IF(C191="Espelhamento",'Custos insumos'!$B$11,IF(C191="Espelhamento 2x",2*'Custos insumos'!$B$11,IF(C191="Esp. + Pel.",'Custos insumos'!$B$11,IF(C191="Pel. + Spun",'Custos insumos'!$D$4,IF(C191="Dublagem Cretone PES",'Custos insumos'!$D$7,IF(C191="Dublagem Barreira",'Custos insumos'!$D$11,IF(C191="Dublagem - MO + Filme",'Custos insumos'!$D$4,IF(C191="Dublagem Cretone HM50",'Custos insumos'!$D$26,IF(C191="Dublagem Cretone HM70",'Custos insumos'!$F$10,)))))))))))))</f>
        <v>1.0585002898550726</v>
      </c>
      <c r="N191" s="30">
        <f>IF(B191="Texion Textil",0,IF(B191="Três Elos",0,IF(C191="Malha",0,IF(C191="Dublagem Cretone",'Custos insumos'!$D$23,IF(C191="Dublagem Spun",'Custos insumos'!$D$16,IF(C191="Espelhamento",0,IF(C191="Espelhamento 2x",0,IF(C191="Esp. + Pel.",0,IF(C191="Pel. + Spun",'Custos insumos'!$D$16,IF(C191="Dublagem Cretone PES",'Custos insumos'!$F$25,IF(C191="Dublagem Barreira",'Custos insumos'!$D$22,)))))))))))</f>
        <v>0</v>
      </c>
      <c r="O191" s="18"/>
      <c r="P191" s="53">
        <f t="shared" si="72"/>
        <v>0.23123221708294778</v>
      </c>
      <c r="Q191" s="50">
        <f t="shared" si="73"/>
        <v>587.5</v>
      </c>
      <c r="R191" s="50" cm="1">
        <f t="array" ref="R191">_xlfn.IFS(C191="Calandra",(350),C191="Peletização",(421),C191="Dublagem Spun",(250),C191="Dublagem Cretone PES",(180),C191="Felpagem",(270/E191),C191="Emborrachamento",(200),C191="Espelhamento",(250),C191="Malha",(1),C191="Dublagem Cretone",(180),C191="Malha",(1),C191="Dublagem Spun - MO",250,C191="Dublagem Cretone - MO",180,C191="Dublagem Cretone PES - MO",180,C191="Espelhamento - MO",250,C191="Emborrachamento",100,C191="Malha",0,C191="Dublagem Barreira",100,C191="Pel. + Cal.",350,C191="Fel. + Pel. + Cal.",270,C191="Pel. + Spun",250,C191="Espelhamento - L: 1,45m",200,C191="Espelhamento - L: 1,65m",200,C191="Estampagem",100,C191="Fel. + Cal.",270,C191="Dublagem Juta",180,C191="Dublagem Cretone - MO (Juta)",180,C191="Dublagem Tapete",150,C191="Esp. + Pel.",200,C191="Espelhamento 2x",100)</f>
        <v>250</v>
      </c>
      <c r="S191" s="50">
        <f t="shared" si="74"/>
        <v>451.65107246376817</v>
      </c>
      <c r="T191" s="18" cm="1">
        <f t="array" ref="T191">_xlfn.IFS(C191="Calandra",0.4,C191="Felpagem",0.3,C191="Dublagem Spun",0.8,C191="Dublagem Cretone",0.8,C191="Dublagem Cretone PES",0.8,C191="Espelhamento",0.8,C191="Peletização",0.5,C191="Dublagem Spun - MO",0.8,C191="Dublagem Cretone - MO",0.8,C191="Dublagem Cretone PES - MO",0.8,C191="Espelhamento - MO",0.8,C191="Emborrachamento",1,C191="Malha",0,C191="Dublagem Barreira",1,C191="Pel. + Cal.",0.4,C191="Fel. + Pel. + Cal.",0.5,C191="Pel. + Spun",0.8,C191="Espelhamento - L: 1,45m",0.8,C191="Espelhamento - L: 1,65m",0.8,C191="Estampagem",1,C191="Fel. + Cal.",0.4,C191="Dublagem Juta",0.8,C191="Dublagem Cretone - MO (Juta)",0.8,C191="Dublagem Tapete",0.8,C191="Esp. + Pel.",0.8,C191="Espelhamento 2x",0.8)</f>
        <v>0.8</v>
      </c>
      <c r="U191" s="18">
        <v>1</v>
      </c>
      <c r="V191" s="18">
        <v>1</v>
      </c>
      <c r="W191" s="18"/>
      <c r="X191" s="18">
        <v>39.67</v>
      </c>
      <c r="Y191" s="18">
        <v>38.51</v>
      </c>
      <c r="Z191" s="18">
        <v>116.78</v>
      </c>
      <c r="AA191" s="18"/>
    </row>
    <row r="192" spans="1:27" ht="14.25" customHeight="1" x14ac:dyDescent="0.35">
      <c r="A192" s="18"/>
      <c r="B192" s="22" t="s">
        <v>326</v>
      </c>
      <c r="C192" s="23" t="s">
        <v>142</v>
      </c>
      <c r="D192" s="23"/>
      <c r="E192" s="24">
        <v>1</v>
      </c>
      <c r="F192" s="25">
        <v>1.25</v>
      </c>
      <c r="G192" s="25">
        <f t="shared" si="83"/>
        <v>1.25</v>
      </c>
      <c r="H192" s="26" t="s">
        <v>243</v>
      </c>
      <c r="I192" s="27">
        <f t="shared" si="84"/>
        <v>1.25</v>
      </c>
      <c r="J192" s="28">
        <v>45663</v>
      </c>
      <c r="K192" s="29"/>
      <c r="L192" s="30">
        <f t="shared" si="85"/>
        <v>1.25</v>
      </c>
      <c r="M192" s="30">
        <f>IF(B192="Texion Textil",0,IF(C192="Malha",'Custos insumos'!$B$24,IF(C192="Dublagem Cretone",'Custos insumos'!$D$7,IF(C192="Dublagem Spun",'Custos insumos'!$D$4,IF(C192="Espelhamento",'Custos insumos'!$B$11,IF(C192="Espelhamento 2x",2*'Custos insumos'!$B$11,IF(C192="Esp. + Pel.",'Custos insumos'!$B$11,IF(C192="Pel. + Spun",'Custos insumos'!$D$4,IF(C192="Dublagem Cretone PES",'Custos insumos'!$D$7,IF(C192="Dublagem Barreira",'Custos insumos'!$D$11,IF(C192="Dublagem - MO + Filme",'Custos insumos'!$D$4,IF(C192="Dublagem Cretone HM50",'Custos insumos'!$D$26,IF(C192="Dublagem Cretone HM70",'Custos insumos'!$F$10,)))))))))))))</f>
        <v>0</v>
      </c>
      <c r="N192" s="30">
        <f>IF(B192="Texion Textil",0,IF(B192="Três Elos",0,IF(C192="Malha",0,IF(C192="Dublagem Cretone",'Custos insumos'!$D$23,IF(C192="Dublagem Spun",'Custos insumos'!$D$16,IF(C192="Espelhamento",0,IF(C192="Espelhamento 2x",0,IF(C192="Esp. + Pel.",0,IF(C192="Pel. + Spun",'Custos insumos'!$D$16,IF(C192="Dublagem Cretone PES",'Custos insumos'!$F$25,IF(C192="Dublagem Barreira",'Custos insumos'!$D$22,)))))))))))</f>
        <v>0</v>
      </c>
      <c r="O192" s="18"/>
      <c r="P192" s="53">
        <f t="shared" si="72"/>
        <v>0.60878171428571426</v>
      </c>
      <c r="Q192" s="50">
        <f t="shared" si="73"/>
        <v>437.5</v>
      </c>
      <c r="R192" s="50" cm="1">
        <f t="array" ref="R192">_xlfn.IFS(C192="Calandra",(350),C192="Peletização",(421),C192="Dublagem Spun",(250),C192="Dublagem Cretone PES",(180),C192="Felpagem",(270/E192),C192="Emborrachamento",(200),C192="Espelhamento",(250),C192="Malha",(1),C192="Dublagem Cretone",(180),C192="Malha",(1),C192="Dublagem Spun - MO",250,C192="Dublagem Cretone - MO",180,C192="Dublagem Cretone PES - MO",180,C192="Espelhamento - MO",250,C192="Emborrachamento",100,C192="Malha",0,C192="Dublagem Barreira",100,C192="Pel. + Cal.",350,C192="Fel. + Pel. + Cal.",270,C192="Pel. + Spun",250,C192="Espelhamento - L: 1,45m",200,C192="Espelhamento - L: 1,65m",200,C192="Estampagem",100,C192="Fel. + Cal.",270,C192="Dublagem Juta",180,C192="Dublagem Cretone - MO (Juta)",180,C192="Dublagem Tapete",150,C192="Esp. + Pel.",200,C192="Espelhamento 2x",100)</f>
        <v>350</v>
      </c>
      <c r="S192" s="50">
        <f t="shared" si="74"/>
        <v>171.15800000000002</v>
      </c>
      <c r="T192" s="18" cm="1">
        <f t="array" ref="T192">_xlfn.IFS(C192="Calandra",0.4,C192="Felpagem",0.3,C192="Dublagem Spun",0.8,C192="Dublagem Cretone",0.8,C192="Dublagem Cretone PES",0.8,C192="Espelhamento",0.8,C192="Peletização",0.5,C192="Dublagem Spun - MO",0.8,C192="Dublagem Cretone - MO",0.8,C192="Dublagem Cretone PES - MO",0.8,C192="Espelhamento - MO",0.8,C192="Emborrachamento",1,C192="Malha",0,C192="Dublagem Barreira",1,C192="Pel. + Cal.",0.4,C192="Fel. + Pel. + Cal.",0.5,C192="Pel. + Spun",0.8,C192="Espelhamento - L: 1,45m",0.8,C192="Espelhamento - L: 1,65m",0.8,C192="Estampagem",1,C192="Fel. + Cal.",0.4,C192="Dublagem Juta",0.8,C192="Dublagem Cretone - MO (Juta)",0.8,C192="Dublagem Tapete",0.8,C192="Esp. + Pel.",0.8,C192="Espelhamento 2x",0.8)</f>
        <v>0.4</v>
      </c>
      <c r="U192" s="18">
        <v>1</v>
      </c>
      <c r="V192" s="18">
        <v>1</v>
      </c>
      <c r="W192" s="18"/>
      <c r="X192" s="18">
        <v>39.67</v>
      </c>
      <c r="Y192" s="18">
        <v>38.51</v>
      </c>
      <c r="Z192" s="18">
        <v>116.78</v>
      </c>
      <c r="AA192" s="18"/>
    </row>
    <row r="193" spans="1:27" ht="15" customHeight="1" x14ac:dyDescent="0.35">
      <c r="A193" s="18"/>
      <c r="B193" s="22" t="s">
        <v>230</v>
      </c>
      <c r="C193" s="23" t="s">
        <v>68</v>
      </c>
      <c r="D193" s="23"/>
      <c r="E193" s="24">
        <v>1</v>
      </c>
      <c r="F193" s="25">
        <v>20.9</v>
      </c>
      <c r="G193" s="25">
        <v>22.9</v>
      </c>
      <c r="H193" s="26" t="s">
        <v>246</v>
      </c>
      <c r="I193" s="27">
        <f t="shared" si="84"/>
        <v>22.9</v>
      </c>
      <c r="J193" s="28">
        <v>45663</v>
      </c>
      <c r="K193" s="29"/>
      <c r="L193" s="30">
        <f t="shared" si="85"/>
        <v>10.399999999999999</v>
      </c>
      <c r="M193" s="30">
        <f>IF(B193="Texion Textil",0,IF(C193="Malha",'Custos insumos'!$B$24,IF(C193="Dublagem Cretone",'Custos insumos'!$D$7,IF(C193="Dublagem Spun",'Custos insumos'!$D$4,IF(C193="Espelhamento",'Custos insumos'!$B$11,IF(C193="Espelhamento 2x",2*'Custos insumos'!$B$11,IF(C193="Esp. + Pel.",'Custos insumos'!$B$11,IF(C193="Pel. + Spun",'Custos insumos'!$D$4,IF(C193="Dublagem Cretone PES",'Custos insumos'!$D$7,IF(C193="Dublagem Barreira",'Custos insumos'!$D$11,IF(C193="Dublagem - MO + Filme",'Custos insumos'!$D$4,IF(C193="Dublagem Cretone HM50",'Custos insumos'!$D$26,IF(C193="Dublagem Cretone HM70",'Custos insumos'!$F$10,)))))))))))))</f>
        <v>12.5</v>
      </c>
      <c r="N193" s="30">
        <f>IF(B193="Texion Textil",0,IF(B193="Três Elos",0,IF(C193="Malha",0,IF(C193="Dublagem Cretone",'Custos insumos'!$D$23,IF(C193="Dublagem Spun",'Custos insumos'!$D$16,IF(C193="Espelhamento",0,IF(C193="Espelhamento 2x",0,IF(C193="Esp. + Pel.",0,IF(C193="Pel. + Spun",'Custos insumos'!$D$16,IF(C193="Dublagem Cretone PES",'Custos insumos'!$F$25,IF(C193="Dublagem Barreira",'Custos insumos'!$D$22,)))))))))))</f>
        <v>0</v>
      </c>
      <c r="O193" s="18"/>
      <c r="P193" s="53">
        <f t="shared" si="72"/>
        <v>-6.32707423580786</v>
      </c>
      <c r="Q193" s="50">
        <f t="shared" si="73"/>
        <v>22.9</v>
      </c>
      <c r="R193" s="50" cm="1">
        <f t="array" ref="R193">_xlfn.IFS(C193="Calandra",(350),C193="Peletização",(421),C193="Dublagem Spun",(250),C193="Dublagem Cretone PES",(180),C193="Felpagem",(270/E193),C193="Emborrachamento",(200),C193="Espelhamento",(250),C193="Malha",(1),C193="Dublagem Cretone",(180),C193="Malha",(1),C193="Dublagem Spun - MO",250,C193="Dublagem Cretone - MO",180,C193="Dublagem Cretone PES - MO",180,C193="Espelhamento - MO",250,C193="Emborrachamento",100,C193="Malha",0,C193="Dublagem Barreira",100,C193="Pel. + Cal.",350,C193="Fel. + Pel. + Cal.",270,C193="Pel. + Spun",250,C193="Espelhamento - L: 1,45m",200,C193="Espelhamento - L: 1,65m",200,C193="Estampagem",100,C193="Fel. + Cal.",270,C193="Dublagem Juta",180,C193="Dublagem Cretone - MO (Juta)",180,C193="Dublagem Tapete",150,C193="Esp. + Pel.",200,C193="Espelhamento 2x",100)</f>
        <v>1</v>
      </c>
      <c r="S193" s="50">
        <f t="shared" si="74"/>
        <v>167.79</v>
      </c>
      <c r="T193" s="18" cm="1">
        <f t="array" ref="T193">_xlfn.IFS(C193="Calandra",0.4,C193="Felpagem",0.3,C193="Dublagem Spun",0.8,C193="Dublagem Cretone",0.8,C193="Dublagem Cretone PES",0.8,C193="Espelhamento",0.8,C193="Peletização",0.5,C193="Dublagem Spun - MO",0.8,C193="Dublagem Cretone - MO",0.8,C193="Dublagem Cretone PES - MO",0.8,C193="Espelhamento - MO",0.8,C193="Emborrachamento",1,C193="Malha",0,C193="Dublagem Barreira",1,C193="Pel. + Cal.",0.4,C193="Fel. + Pel. + Cal.",0.5,C193="Pel. + Spun",0.8,C193="Espelhamento - L: 1,45m",0.8,C193="Espelhamento - L: 1,65m",0.8,C193="Estampagem",1,C193="Fel. + Cal.",0.4,C193="Dublagem Juta",0.8,C193="Dublagem Cretone - MO (Juta)",0.8,C193="Dublagem Tapete",0.8,C193="Esp. + Pel.",0.8,C193="Espelhamento 2x",0.8)</f>
        <v>0</v>
      </c>
      <c r="U193" s="18">
        <v>1</v>
      </c>
      <c r="V193" s="18">
        <v>1</v>
      </c>
      <c r="W193" s="18"/>
      <c r="X193" s="18">
        <v>39.67</v>
      </c>
      <c r="Y193" s="18">
        <v>38.51</v>
      </c>
      <c r="Z193" s="18">
        <v>116.78</v>
      </c>
      <c r="AA193" s="18"/>
    </row>
    <row r="194" spans="1:27" ht="14.25" customHeight="1" x14ac:dyDescent="0.35">
      <c r="A194" s="18"/>
      <c r="B194" s="22" t="s">
        <v>328</v>
      </c>
      <c r="C194" s="23" t="s">
        <v>106</v>
      </c>
      <c r="D194" s="23"/>
      <c r="E194" s="24">
        <v>1</v>
      </c>
      <c r="F194" s="25">
        <v>5.56</v>
      </c>
      <c r="G194" s="25">
        <v>2.4</v>
      </c>
      <c r="H194" s="26" t="s">
        <v>243</v>
      </c>
      <c r="I194" s="27">
        <f t="shared" si="84"/>
        <v>2.4</v>
      </c>
      <c r="J194" s="28">
        <v>45663</v>
      </c>
      <c r="K194" s="29" t="s">
        <v>331</v>
      </c>
      <c r="L194" s="30">
        <f t="shared" si="85"/>
        <v>1.3414997101449273</v>
      </c>
      <c r="M194" s="30">
        <f>IF(B194="Texion Textil",0,IF(C194="Malha",'Custos insumos'!$B$24,IF(C194="Dublagem Cretone",'Custos insumos'!$D$7,IF(C194="Dublagem Spun",'Custos insumos'!$D$4,IF(C194="Espelhamento",'Custos insumos'!$B$11,IF(C194="Espelhamento 2x",2*'Custos insumos'!$B$11,IF(C194="Esp. + Pel.",'Custos insumos'!$B$11,IF(C194="Pel. + Spun",'Custos insumos'!$D$4,IF(C194="Dublagem Cretone PES",'Custos insumos'!$D$7,IF(C194="Dublagem Barreira",'Custos insumos'!$D$11,IF(C194="Dublagem - MO + Filme",'Custos insumos'!$D$4,IF(C194="Dublagem Cretone HM50",'Custos insumos'!$D$26,IF(C194="Dublagem Cretone HM70",'Custos insumos'!$F$10,)))))))))))))</f>
        <v>1.0585002898550726</v>
      </c>
      <c r="N194" s="30">
        <f>IF(B194="Texion Textil",0,IF(B194="Três Elos",0,IF(C194="Malha",0,IF(C194="Dublagem Cretone",'Custos insumos'!$D$23,IF(C194="Dublagem Spun",'Custos insumos'!$D$16,IF(C194="Espelhamento",0,IF(C194="Espelhamento 2x",0,IF(C194="Esp. + Pel.",0,IF(C194="Pel. + Spun",'Custos insumos'!$D$16,IF(C194="Dublagem Cretone PES",'Custos insumos'!$F$25,IF(C194="Dublagem Barreira",'Custos insumos'!$D$22,)))))))))))</f>
        <v>0</v>
      </c>
      <c r="O194" s="18"/>
      <c r="P194" s="53">
        <f t="shared" si="72"/>
        <v>0.24724821256038637</v>
      </c>
      <c r="Q194" s="50">
        <f t="shared" si="73"/>
        <v>600</v>
      </c>
      <c r="R194" s="50" cm="1">
        <f t="array" ref="R194">_xlfn.IFS(C194="Calandra",(350),C194="Peletização",(421),C194="Dublagem Spun",(250),C194="Dublagem Cretone PES",(180),C194="Felpagem",(270/E194),C194="Emborrachamento",(200),C194="Espelhamento",(250),C194="Malha",(1),C194="Dublagem Cretone",(180),C194="Malha",(1),C194="Dublagem Spun - MO",250,C194="Dublagem Cretone - MO",180,C194="Dublagem Cretone PES - MO",180,C194="Espelhamento - MO",250,C194="Emborrachamento",100,C194="Malha",0,C194="Dublagem Barreira",100,C194="Pel. + Cal.",350,C194="Fel. + Pel. + Cal.",270,C194="Pel. + Spun",250,C194="Espelhamento - L: 1,45m",200,C194="Espelhamento - L: 1,65m",200,C194="Estampagem",100,C194="Fel. + Cal.",270,C194="Dublagem Juta",180,C194="Dublagem Cretone - MO (Juta)",180,C194="Dublagem Tapete",150,C194="Esp. + Pel.",200,C194="Espelhamento 2x",100)</f>
        <v>250</v>
      </c>
      <c r="S194" s="50">
        <f t="shared" si="74"/>
        <v>451.65107246376817</v>
      </c>
      <c r="T194" s="18" cm="1">
        <f t="array" ref="T194">_xlfn.IFS(C194="Calandra",0.4,C194="Felpagem",0.3,C194="Dublagem Spun",0.8,C194="Dublagem Cretone",0.8,C194="Dublagem Cretone PES",0.8,C194="Espelhamento",0.8,C194="Peletização",0.5,C194="Dublagem Spun - MO",0.8,C194="Dublagem Cretone - MO",0.8,C194="Dublagem Cretone PES - MO",0.8,C194="Espelhamento - MO",0.8,C194="Emborrachamento",1,C194="Malha",0,C194="Dublagem Barreira",1,C194="Pel. + Cal.",0.4,C194="Fel. + Pel. + Cal.",0.5,C194="Pel. + Spun",0.8,C194="Espelhamento - L: 1,45m",0.8,C194="Espelhamento - L: 1,65m",0.8,C194="Estampagem",1,C194="Fel. + Cal.",0.4,C194="Dublagem Juta",0.8,C194="Dublagem Cretone - MO (Juta)",0.8,C194="Dublagem Tapete",0.8,C194="Esp. + Pel.",0.8,C194="Espelhamento 2x",0.8)</f>
        <v>0.8</v>
      </c>
      <c r="U194" s="18">
        <v>1</v>
      </c>
      <c r="V194" s="18">
        <v>1</v>
      </c>
      <c r="W194" s="18"/>
      <c r="X194" s="18">
        <v>39.67</v>
      </c>
      <c r="Y194" s="18">
        <v>38.51</v>
      </c>
      <c r="Z194" s="18">
        <v>116.78</v>
      </c>
      <c r="AA194" s="18"/>
    </row>
    <row r="195" spans="1:27" ht="14.25" customHeight="1" x14ac:dyDescent="0.35">
      <c r="A195" s="18"/>
      <c r="B195" s="22" t="s">
        <v>328</v>
      </c>
      <c r="C195" s="23" t="s">
        <v>251</v>
      </c>
      <c r="D195" s="23" t="s">
        <v>368</v>
      </c>
      <c r="E195" s="24">
        <v>1</v>
      </c>
      <c r="F195" s="25">
        <v>5.56</v>
      </c>
      <c r="G195" s="25">
        <f>F195</f>
        <v>5.56</v>
      </c>
      <c r="H195" s="26" t="s">
        <v>243</v>
      </c>
      <c r="I195" s="27">
        <f t="shared" si="84"/>
        <v>5.56</v>
      </c>
      <c r="J195" s="28">
        <v>45663</v>
      </c>
      <c r="K195" s="29" t="s">
        <v>331</v>
      </c>
      <c r="L195" s="30">
        <f t="shared" si="85"/>
        <v>3.5979999999999999</v>
      </c>
      <c r="M195" s="30">
        <f>IF(B195="Texion Textil",0,IF(C195="Malha",'Custos insumos'!$B$24,IF(C195="Dublagem Cretone",'Custos insumos'!$D$7,IF(C195="Dublagem Spun",'Custos insumos'!$D$4,IF(C195="Espelhamento",'Custos insumos'!$B$11,IF(C195="Espelhamento 2x",2*'Custos insumos'!$B$11,IF(C195="Esp. + Pel.",'Custos insumos'!$B$11,IF(C195="Pel. + Spun",'Custos insumos'!$D$4,IF(C195="Dublagem Cretone PES",'Custos insumos'!$D$7,IF(C195="Dublagem Barreira",'Custos insumos'!$D$11,IF(C195="Dublagem - MO + Filme",'Custos insumos'!$D$4,IF(C195="Dublagem Cretone HM50",'Custos insumos'!$D$26,IF(C195="Dublagem Cretone HM70",'Custos insumos'!$F$10,)))))))))))))</f>
        <v>1.962</v>
      </c>
      <c r="N195" s="30">
        <f>IF(B195="Texion Textil",0,IF(B195="Três Elos",0,IF(C195="Malha",0,IF(C195="Dublagem Cretone",'Custos insumos'!$D$23,IF(C195="Dublagem Spun",'Custos insumos'!$D$16,IF(C195="Espelhamento",0,IF(C195="Espelhamento 2x",0,IF(C195="Esp. + Pel.",0,IF(C195="Pel. + Spun",'Custos insumos'!$D$16,IF(C195="Dublagem Cretone PES",'Custos insumos'!$F$25,IF(C195="Dublagem Barreira",'Custos insumos'!$D$22,)))))))))))</f>
        <v>0</v>
      </c>
      <c r="O195" s="18"/>
      <c r="P195" s="53">
        <f t="shared" si="72"/>
        <v>0.46024580335731419</v>
      </c>
      <c r="Q195" s="50">
        <f t="shared" si="73"/>
        <v>1000.8</v>
      </c>
      <c r="R195" s="50" cm="1">
        <f t="array" ref="R195">_xlfn.IFS(C195="Calandra",(350),C195="Peletização",(421),C195="Dublagem Spun",(250),C195="Dublagem Cretone PES",(180),C195="Felpagem",(270/E195),C195="Emborrachamento",(200),C195="Espelhamento",(250),C195="Malha",(1),C195="Dublagem Cretone",(180),C195="Malha",(1),C195="Dublagem Spun - MO",250,C195="Dublagem Cretone - MO",180,C195="Dublagem Cretone PES - MO",180,C195="Espelhamento - MO",250,C195="Emborrachamento",100,C195="Malha",0,C195="Dublagem Barreira",100,C195="Pel. + Cal.",350,C195="Fel. + Pel. + Cal.",270,C195="Pel. + Spun",250,C195="Espelhamento - L: 1,45m",200,C195="Espelhamento - L: 1,65m",200,C195="Estampagem",100,C195="Fel. + Cal.",270,C195="Dublagem Juta",180,C195="Dublagem Cretone - MO (Juta)",180,C195="Dublagem Tapete",150,C195="Esp. + Pel.",200,C195="Espelhamento 2x",100)</f>
        <v>180</v>
      </c>
      <c r="S195" s="50">
        <f t="shared" si="74"/>
        <v>540.18599999999992</v>
      </c>
      <c r="T195" s="18" cm="1">
        <f t="array" ref="T195">_xlfn.IFS(C195="Calandra",0.4,C195="Felpagem",0.3,C195="Dublagem Spun",0.8,C195="Dublagem Cretone",0.8,C195="Dublagem Cretone PES",0.8,C195="Espelhamento",0.8,C195="Peletização",0.5,C195="Dublagem Spun - MO",0.8,C195="Dublagem Cretone - MO",0.8,C195="Dublagem Cretone PES - MO",0.8,C195="Espelhamento - MO",0.8,C195="Emborrachamento",1,C195="Malha",0,C195="Dublagem Barreira",1,C195="Pel. + Cal.",0.4,C195="Fel. + Pel. + Cal.",0.5,C195="Pel. + Spun",0.8,C195="Espelhamento - L: 1,45m",0.8,C195="Espelhamento - L: 1,65m",0.8,C195="Estampagem",1,C195="Fel. + Cal.",0.4,C195="Dublagem Juta",0.8,C195="Dublagem Cretone - MO (Juta)",0.8,C195="Dublagem Tapete",0.8,C195="Esp. + Pel.",0.8,C195="Espelhamento 2x",0.8)</f>
        <v>0.8</v>
      </c>
      <c r="U195" s="18">
        <v>1</v>
      </c>
      <c r="V195" s="18">
        <v>1</v>
      </c>
      <c r="W195" s="18"/>
      <c r="X195" s="18">
        <v>39.67</v>
      </c>
      <c r="Y195" s="18">
        <v>38.51</v>
      </c>
      <c r="Z195" s="18">
        <v>116.78</v>
      </c>
      <c r="AA195" s="18"/>
    </row>
    <row r="196" spans="1:27" ht="14.25" customHeight="1" x14ac:dyDescent="0.35">
      <c r="A196" s="18"/>
      <c r="B196" s="22" t="s">
        <v>328</v>
      </c>
      <c r="C196" s="23" t="s">
        <v>251</v>
      </c>
      <c r="D196" s="23" t="s">
        <v>369</v>
      </c>
      <c r="E196" s="24">
        <v>1</v>
      </c>
      <c r="F196" s="25">
        <v>4.43</v>
      </c>
      <c r="G196" s="25">
        <f>F196</f>
        <v>4.43</v>
      </c>
      <c r="H196" s="26" t="s">
        <v>243</v>
      </c>
      <c r="I196" s="27">
        <f t="shared" si="84"/>
        <v>4.43</v>
      </c>
      <c r="J196" s="28">
        <v>45663</v>
      </c>
      <c r="K196" s="29" t="s">
        <v>333</v>
      </c>
      <c r="L196" s="30">
        <f t="shared" si="85"/>
        <v>2.1999999999999997</v>
      </c>
      <c r="M196" s="30">
        <v>2.23</v>
      </c>
      <c r="N196" s="30">
        <f>IF(B196="Texion Textil",0,IF(B196="Três Elos",0,IF(C196="Malha",0,IF(C196="Dublagem Cretone",'Custos insumos'!$D$23,IF(C196="Dublagem Spun",'Custos insumos'!$D$16,IF(C196="Espelhamento",0,IF(C196="Espelhamento 2x",0,IF(C196="Esp. + Pel.",0,IF(C196="Pel. + Spun",'Custos insumos'!$D$16,IF(C196="Dublagem Cretone PES",'Custos insumos'!$F$25,IF(C196="Dublagem Barreira",'Custos insumos'!$D$22,)))))))))))</f>
        <v>0</v>
      </c>
      <c r="O196" s="18"/>
      <c r="P196" s="53">
        <f t="shared" si="72"/>
        <v>0.26206922498118895</v>
      </c>
      <c r="Q196" s="50">
        <f t="shared" si="73"/>
        <v>797.4</v>
      </c>
      <c r="R196" s="50" cm="1">
        <f t="array" ref="R196">_xlfn.IFS(C196="Calandra",(350),C196="Peletização",(421),C196="Dublagem Spun",(250),C196="Dublagem Cretone PES",(180),C196="Felpagem",(270/E196),C196="Emborrachamento",(200),C196="Espelhamento",(250),C196="Malha",(1),C196="Dublagem Cretone",(180),C196="Malha",(1),C196="Dublagem Spun - MO",250,C196="Dublagem Cretone - MO",180,C196="Dublagem Cretone PES - MO",180,C196="Espelhamento - MO",250,C196="Emborrachamento",100,C196="Malha",0,C196="Dublagem Barreira",100,C196="Pel. + Cal.",350,C196="Fel. + Pel. + Cal.",270,C196="Pel. + Spun",250,C196="Espelhamento - L: 1,45m",200,C196="Espelhamento - L: 1,65m",200,C196="Estampagem",100,C196="Fel. + Cal.",270,C196="Dublagem Juta",180,C196="Dublagem Cretone - MO (Juta)",180,C196="Dublagem Tapete",150,C196="Esp. + Pel.",200,C196="Espelhamento 2x",100)</f>
        <v>180</v>
      </c>
      <c r="S196" s="50">
        <f t="shared" si="74"/>
        <v>588.42599999999993</v>
      </c>
      <c r="T196" s="18" cm="1">
        <f t="array" ref="T196">_xlfn.IFS(C196="Calandra",0.4,C196="Felpagem",0.3,C196="Dublagem Spun",0.8,C196="Dublagem Cretone",0.8,C196="Dublagem Cretone PES",0.8,C196="Espelhamento",0.8,C196="Peletização",0.5,C196="Dublagem Spun - MO",0.8,C196="Dublagem Cretone - MO",0.8,C196="Dublagem Cretone PES - MO",0.8,C196="Espelhamento - MO",0.8,C196="Emborrachamento",1,C196="Malha",0,C196="Dublagem Barreira",1,C196="Pel. + Cal.",0.4,C196="Fel. + Pel. + Cal.",0.5,C196="Pel. + Spun",0.8,C196="Espelhamento - L: 1,45m",0.8,C196="Espelhamento - L: 1,65m",0.8,C196="Estampagem",1,C196="Fel. + Cal.",0.4,C196="Dublagem Juta",0.8,C196="Dublagem Cretone - MO (Juta)",0.8,C196="Dublagem Tapete",0.8,C196="Esp. + Pel.",0.8,C196="Espelhamento 2x",0.8)</f>
        <v>0.8</v>
      </c>
      <c r="U196" s="18">
        <v>1</v>
      </c>
      <c r="V196" s="18">
        <v>1</v>
      </c>
      <c r="W196" s="18"/>
      <c r="X196" s="18">
        <v>39.67</v>
      </c>
      <c r="Y196" s="18">
        <v>38.51</v>
      </c>
      <c r="Z196" s="18">
        <v>116.78</v>
      </c>
      <c r="AA196" s="18"/>
    </row>
    <row r="197" spans="1:27" ht="14.25" customHeight="1" x14ac:dyDescent="0.35">
      <c r="A197" s="18"/>
      <c r="B197" s="22" t="s">
        <v>328</v>
      </c>
      <c r="C197" s="23" t="s">
        <v>251</v>
      </c>
      <c r="D197" s="23" t="s">
        <v>420</v>
      </c>
      <c r="E197" s="24">
        <v>1</v>
      </c>
      <c r="F197" s="25">
        <f>2.32+1.28</f>
        <v>3.5999999999999996</v>
      </c>
      <c r="G197" s="25">
        <v>3.83</v>
      </c>
      <c r="H197" s="26" t="s">
        <v>243</v>
      </c>
      <c r="I197" s="27">
        <f t="shared" si="84"/>
        <v>3.83</v>
      </c>
      <c r="J197" s="28">
        <v>45663</v>
      </c>
      <c r="K197" s="29" t="s">
        <v>334</v>
      </c>
      <c r="L197" s="30">
        <f t="shared" si="85"/>
        <v>1.97</v>
      </c>
      <c r="M197" s="30">
        <v>1.86</v>
      </c>
      <c r="N197" s="30">
        <f>IF(B197="Texion Textil",0,IF(B197="Três Elos",0,IF(C197="Malha",0,IF(C197="Dublagem Cretone",'Custos insumos'!$D$23,IF(C197="Dublagem Spun",'Custos insumos'!$D$16,IF(C197="Espelhamento",0,IF(C197="Espelhamento 2x",0,IF(C197="Esp. + Pel.",0,IF(C197="Pel. + Spun",'Custos insumos'!$D$16,IF(C197="Dublagem Cretone PES",'Custos insumos'!$F$25,IF(C197="Dublagem Barreira",'Custos insumos'!$D$22,)))))))))))</f>
        <v>0</v>
      </c>
      <c r="O197" s="18"/>
      <c r="P197" s="53">
        <f t="shared" ref="P197" si="86">(Q197-S197)/Q197</f>
        <v>0.24307223672758915</v>
      </c>
      <c r="Q197" s="50">
        <f t="shared" ref="Q197" si="87">G197*R197</f>
        <v>689.4</v>
      </c>
      <c r="R197" s="50" cm="1">
        <f t="array" ref="R197">_xlfn.IFS(C197="Calandra",(350),C197="Peletização",(421),C197="Dublagem Spun",(250),C197="Dublagem Cretone PES",(180),C197="Felpagem",(270/E197),C197="Emborrachamento",(200),C197="Espelhamento",(250),C197="Malha",(1),C197="Dublagem Cretone",(180),C197="Malha",(1),C197="Dublagem Spun - MO",250,C197="Dublagem Cretone - MO",180,C197="Dublagem Cretone PES - MO",180,C197="Espelhamento - MO",250,C197="Emborrachamento",100,C197="Malha",0,C197="Dublagem Barreira",100,C197="Pel. + Cal.",350,C197="Fel. + Pel. + Cal.",270,C197="Pel. + Spun",250,C197="Espelhamento - L: 1,45m",200,C197="Espelhamento - L: 1,65m",200,C197="Estampagem",100,C197="Fel. + Cal.",270,C197="Dublagem Juta",180,C197="Dublagem Cretone - MO (Juta)",180,C197="Dublagem Tapete",150,C197="Esp. + Pel.",200,C197="Espelhamento 2x",100)</f>
        <v>180</v>
      </c>
      <c r="S197" s="50">
        <f t="shared" ref="S197" si="88">(T197*X197)+(U197*Y197)+(V197*Z197)+((M197+N197)*(R197))</f>
        <v>521.82600000000002</v>
      </c>
      <c r="T197" s="18" cm="1">
        <f t="array" ref="T197">_xlfn.IFS(C197="Calandra",0.4,C197="Felpagem",0.3,C197="Dublagem Spun",0.8,C197="Dublagem Cretone",0.8,C197="Dublagem Cretone PES",0.8,C197="Espelhamento",0.8,C197="Peletização",0.5,C197="Dublagem Spun - MO",0.8,C197="Dublagem Cretone - MO",0.8,C197="Dublagem Cretone PES - MO",0.8,C197="Espelhamento - MO",0.8,C197="Emborrachamento",1,C197="Malha",0,C197="Dublagem Barreira",1,C197="Pel. + Cal.",0.4,C197="Fel. + Pel. + Cal.",0.5,C197="Pel. + Spun",0.8,C197="Espelhamento - L: 1,45m",0.8,C197="Espelhamento - L: 1,65m",0.8,C197="Estampagem",1,C197="Fel. + Cal.",0.4,C197="Dublagem Juta",0.8,C197="Dublagem Cretone - MO (Juta)",0.8,C197="Dublagem Tapete",0.8,C197="Esp. + Pel.",0.8,C197="Espelhamento 2x",0.8)</f>
        <v>0.8</v>
      </c>
      <c r="U197" s="18">
        <v>1</v>
      </c>
      <c r="V197" s="18">
        <v>1</v>
      </c>
      <c r="W197" s="18"/>
      <c r="X197" s="18">
        <v>39.67</v>
      </c>
      <c r="Y197" s="18">
        <v>38.51</v>
      </c>
      <c r="Z197" s="18">
        <v>116.78</v>
      </c>
      <c r="AA197" s="18"/>
    </row>
    <row r="198" spans="1:27" ht="14.25" customHeight="1" x14ac:dyDescent="0.35">
      <c r="A198" s="18"/>
      <c r="B198" s="22" t="s">
        <v>328</v>
      </c>
      <c r="C198" s="23" t="s">
        <v>251</v>
      </c>
      <c r="D198" s="23" t="s">
        <v>422</v>
      </c>
      <c r="E198" s="24">
        <v>1</v>
      </c>
      <c r="F198" s="25">
        <f>2.32+1.28</f>
        <v>3.5999999999999996</v>
      </c>
      <c r="G198" s="25">
        <v>3.95</v>
      </c>
      <c r="H198" s="26" t="s">
        <v>243</v>
      </c>
      <c r="I198" s="27">
        <f t="shared" si="84"/>
        <v>3.95</v>
      </c>
      <c r="J198" s="28">
        <v>45663</v>
      </c>
      <c r="K198" s="29" t="s">
        <v>334</v>
      </c>
      <c r="L198" s="30">
        <f t="shared" si="85"/>
        <v>1.9880000000000002</v>
      </c>
      <c r="M198" s="30">
        <f>IF(B198="Texion Textil",0,IF(C198="Malha",'Custos insumos'!$B$24,IF(C198="Dublagem Cretone",'Custos insumos'!$D$7,IF(C198="Dublagem Spun",'Custos insumos'!$D$4,IF(C198="Espelhamento",'Custos insumos'!$B$11,IF(C198="Espelhamento 2x",2*'Custos insumos'!$B$11,IF(C198="Esp. + Pel.",'Custos insumos'!$B$11,IF(C198="Pel. + Spun",'Custos insumos'!$D$4,IF(C198="Dublagem Cretone PES",'Custos insumos'!$D$7,IF(C198="Dublagem Barreira",'Custos insumos'!$D$11,IF(C198="Dublagem - MO + Filme",'Custos insumos'!$D$4,IF(C198="Dublagem Cretone HM50",'Custos insumos'!$F$9,IF(C198="Dublagem Cretone HM70",'Custos insumos'!$F$10,)))))))))))))</f>
        <v>1.962</v>
      </c>
      <c r="N198" s="30">
        <f>IF(B198="Texion Textil",0,IF(B198="Três Elos",0,IF(C198="Malha",0,IF(C198="Dublagem Cretone",'Custos insumos'!$D$23,IF(C198="Dublagem Spun",'Custos insumos'!$D$16,IF(C198="Espelhamento",0,IF(C198="Espelhamento 2x",0,IF(C198="Esp. + Pel.",0,IF(C198="Pel. + Spun",'Custos insumos'!$D$16,IF(C198="Dublagem Cretone PES",'Custos insumos'!$F$25,IF(C198="Dublagem Barreira",'Custos insumos'!$D$22,)))))))))))</f>
        <v>0</v>
      </c>
      <c r="O198" s="18"/>
      <c r="P198" s="53">
        <f t="shared" si="72"/>
        <v>0.24024472573839672</v>
      </c>
      <c r="Q198" s="50">
        <f t="shared" si="73"/>
        <v>711</v>
      </c>
      <c r="R198" s="50" cm="1">
        <f t="array" ref="R198">_xlfn.IFS(C198="Calandra",(350),C198="Peletização",(421),C198="Dublagem Spun",(250),C198="Dublagem Cretone PES",(180),C198="Felpagem",(270/E198),C198="Emborrachamento",(200),C198="Espelhamento",(250),C198="Malha",(1),C198="Dublagem Cretone",(180),C198="Malha",(1),C198="Dublagem Spun - MO",250,C198="Dublagem Cretone - MO",180,C198="Dublagem Cretone PES - MO",180,C198="Espelhamento - MO",250,C198="Emborrachamento",100,C198="Malha",0,C198="Dublagem Barreira",100,C198="Pel. + Cal.",350,C198="Fel. + Pel. + Cal.",270,C198="Pel. + Spun",250,C198="Espelhamento - L: 1,45m",200,C198="Espelhamento - L: 1,65m",200,C198="Estampagem",100,C198="Fel. + Cal.",270,C198="Dublagem Juta",180,C198="Dublagem Cretone - MO (Juta)",180,C198="Dublagem Tapete",150,C198="Esp. + Pel.",200,C198="Espelhamento 2x",100)</f>
        <v>180</v>
      </c>
      <c r="S198" s="50">
        <f t="shared" si="74"/>
        <v>540.18599999999992</v>
      </c>
      <c r="T198" s="18" cm="1">
        <f t="array" ref="T198">_xlfn.IFS(C198="Calandra",0.4,C198="Felpagem",0.3,C198="Dublagem Spun",0.8,C198="Dublagem Cretone",0.8,C198="Dublagem Cretone PES",0.8,C198="Espelhamento",0.8,C198="Peletização",0.5,C198="Dublagem Spun - MO",0.8,C198="Dublagem Cretone - MO",0.8,C198="Dublagem Cretone PES - MO",0.8,C198="Espelhamento - MO",0.8,C198="Emborrachamento",1,C198="Malha",0,C198="Dublagem Barreira",1,C198="Pel. + Cal.",0.4,C198="Fel. + Pel. + Cal.",0.5,C198="Pel. + Spun",0.8,C198="Espelhamento - L: 1,45m",0.8,C198="Espelhamento - L: 1,65m",0.8,C198="Estampagem",1,C198="Fel. + Cal.",0.4,C198="Dublagem Juta",0.8,C198="Dublagem Cretone - MO (Juta)",0.8,C198="Dublagem Tapete",0.8,C198="Esp. + Pel.",0.8,C198="Espelhamento 2x",0.8)</f>
        <v>0.8</v>
      </c>
      <c r="U198" s="18">
        <v>1</v>
      </c>
      <c r="V198" s="18">
        <v>1</v>
      </c>
      <c r="W198" s="18"/>
      <c r="X198" s="18">
        <v>39.67</v>
      </c>
      <c r="Y198" s="18">
        <v>38.51</v>
      </c>
      <c r="Z198" s="18">
        <v>116.78</v>
      </c>
      <c r="AA198" s="18"/>
    </row>
    <row r="199" spans="1:27" ht="14.25" customHeight="1" x14ac:dyDescent="0.35">
      <c r="A199" s="18"/>
      <c r="B199" s="22" t="s">
        <v>370</v>
      </c>
      <c r="C199" s="23" t="s">
        <v>468</v>
      </c>
      <c r="D199" s="23" t="s">
        <v>466</v>
      </c>
      <c r="E199" s="24">
        <v>1</v>
      </c>
      <c r="F199" s="25"/>
      <c r="G199" s="25">
        <v>2.37</v>
      </c>
      <c r="H199" s="26" t="s">
        <v>243</v>
      </c>
      <c r="I199" s="27">
        <f t="shared" si="84"/>
        <v>2.37</v>
      </c>
      <c r="J199" s="28">
        <v>45664</v>
      </c>
      <c r="K199" s="29" t="s">
        <v>371</v>
      </c>
      <c r="L199" s="30">
        <f t="shared" si="85"/>
        <v>1.0008000000000001</v>
      </c>
      <c r="M199" s="30">
        <f>'Custos insumos'!N3</f>
        <v>0.6611999999999999</v>
      </c>
      <c r="N199" s="30">
        <f>'Custos insumos'!L18</f>
        <v>0.70799999999999996</v>
      </c>
      <c r="O199" s="18"/>
      <c r="P199" s="53" t="e">
        <f t="shared" ref="P199" si="89">(Q199-S199)/Q199</f>
        <v>#N/A</v>
      </c>
      <c r="Q199" s="50" t="e">
        <f t="shared" ref="Q199" si="90">G199*R199</f>
        <v>#N/A</v>
      </c>
      <c r="R199" s="50" t="e" cm="1">
        <f t="array" ref="R199">_xlfn.IFS(C199="Calandra",(350),C199="Peletização",(421),C199="Dublagem Spun",(250),C199="Dublagem Cretone PES",(180),C199="Felpagem",(270/E199),C199="Emborrachamento",(200),C199="Espelhamento",(250),C199="Malha",(1),C199="Dublagem Cretone",(180),C199="Malha",(1),C199="Dublagem Spun - MO",250,C199="Dublagem Cretone - MO",180,C199="Dublagem Cretone PES - MO",180,C199="Espelhamento - MO",250,C199="Emborrachamento",100,C199="Malha",0,C199="Dublagem Barreira",100,C199="Pel. + Cal.",350,C199="Fel. + Pel. + Cal.",270,C199="Pel. + Spun",250,C199="Espelhamento - L: 1,45m",200,C199="Espelhamento - L: 1,65m",200,C199="Estampagem",100,C199="Fel. + Cal.",270,C199="Dublagem Juta",180,C199="Dublagem Cretone - MO (Juta)",180,C199="Dublagem Tapete",150,C199="Esp. + Pel.",200,C199="Espelhamento 2x",100)</f>
        <v>#N/A</v>
      </c>
      <c r="S199" s="50" t="e">
        <f t="shared" ref="S199" si="91">(T199*X199)+(U199*Y199)+(V199*Z199)+((M199+N199)*(R199))</f>
        <v>#N/A</v>
      </c>
      <c r="T199" s="18" t="e" cm="1">
        <f t="array" ref="T199">_xlfn.IFS(C199="Calandra",0.4,C199="Felpagem",0.3,C199="Dublagem Spun",0.8,C199="Dublagem Cretone",0.8,C199="Dublagem Cretone PES",0.8,C199="Espelhamento",0.8,C199="Peletização",0.5,C199="Dublagem Spun - MO",0.8,C199="Dublagem Cretone - MO",0.8,C199="Dublagem Cretone PES - MO",0.8,C199="Espelhamento - MO",0.8,C199="Emborrachamento",1,C199="Malha",0,C199="Dublagem Barreira",1,C199="Pel. + Cal.",0.4,C199="Fel. + Pel. + Cal.",0.5,C199="Pel. + Spun",0.8,C199="Espelhamento - L: 1,45m",0.8,C199="Espelhamento - L: 1,65m",0.8,C199="Estampagem",1,C199="Fel. + Cal.",0.4,C199="Dublagem Juta",0.8,C199="Dublagem Cretone - MO (Juta)",0.8,C199="Dublagem Tapete",0.8,C199="Esp. + Pel.",0.8,C199="Espelhamento 2x",0.8)</f>
        <v>#N/A</v>
      </c>
      <c r="U199" s="18"/>
      <c r="V199" s="18"/>
      <c r="W199" s="18"/>
      <c r="X199" s="18"/>
      <c r="Y199" s="18"/>
      <c r="Z199" s="18"/>
      <c r="AA199" s="18"/>
    </row>
    <row r="200" spans="1:27" ht="14.25" customHeight="1" x14ac:dyDescent="0.35">
      <c r="A200" s="18"/>
      <c r="B200" s="22" t="s">
        <v>370</v>
      </c>
      <c r="C200" s="23" t="s">
        <v>469</v>
      </c>
      <c r="D200" s="23" t="s">
        <v>366</v>
      </c>
      <c r="E200" s="24">
        <v>1</v>
      </c>
      <c r="F200" s="25"/>
      <c r="G200" s="25">
        <v>1.73</v>
      </c>
      <c r="H200" s="26" t="s">
        <v>243</v>
      </c>
      <c r="I200" s="27">
        <f t="shared" si="84"/>
        <v>1.73</v>
      </c>
      <c r="J200" s="28">
        <v>45664</v>
      </c>
      <c r="K200" s="29" t="s">
        <v>371</v>
      </c>
      <c r="L200" s="30">
        <f t="shared" si="85"/>
        <v>1.046</v>
      </c>
      <c r="M200" s="30">
        <f>'Custos insumos'!N4</f>
        <v>0.68399999999999994</v>
      </c>
      <c r="N200" s="30">
        <f>IF(B200="Texion Textil",0,IF(B200="Três Elos",0,IF(C200="Malha",0,IF(C200="Dublagem Cretone",'Custos insumos'!$D$23,IF(C200="Dublagem Spun",'Custos insumos'!$D$16,IF(C200="Espelhamento",0,IF(C200="Espelhamento 2x",0,IF(C200="Esp. + Pel.",0,IF(C200="Pel. + Spun",'Custos insumos'!$D$16,IF(C200="Dublagem Cretone PES",'Custos insumos'!$F$25,IF(C200="Dublagem Barreira",'Custos insumos'!$D$22,)))))))))))</f>
        <v>0</v>
      </c>
      <c r="O200" s="18"/>
      <c r="P200" s="53" t="e">
        <f t="shared" si="72"/>
        <v>#N/A</v>
      </c>
      <c r="Q200" s="50" t="e">
        <f t="shared" si="73"/>
        <v>#N/A</v>
      </c>
      <c r="R200" s="50" t="e" cm="1">
        <f t="array" ref="R200">_xlfn.IFS(C200="Calandra",(350),C200="Peletização",(421),C200="Dublagem Spun",(250),C200="Dublagem Cretone PES",(180),C200="Felpagem",(270/E200),C200="Emborrachamento",(200),C200="Espelhamento",(250),C200="Malha",(1),C200="Dublagem Cretone",(180),C200="Malha",(1),C200="Dublagem Spun - MO",250,C200="Dublagem Cretone - MO",180,C200="Dublagem Cretone PES - MO",180,C200="Espelhamento - MO",250,C200="Emborrachamento",100,C200="Malha",0,C200="Dublagem Barreira",100,C200="Pel. + Cal.",350,C200="Fel. + Pel. + Cal.",270,C200="Pel. + Spun",250,C200="Espelhamento - L: 1,45m",200,C200="Espelhamento - L: 1,65m",200,C200="Estampagem",100,C200="Fel. + Cal.",270,C200="Dublagem Juta",180,C200="Dublagem Cretone - MO (Juta)",180,C200="Dublagem Tapete",150,C200="Esp. + Pel.",200,C200="Espelhamento 2x",100)</f>
        <v>#N/A</v>
      </c>
      <c r="S200" s="50" t="e">
        <f t="shared" si="74"/>
        <v>#N/A</v>
      </c>
      <c r="T200" s="18" t="e" cm="1">
        <f t="array" ref="T200">_xlfn.IFS(C200="Calandra",0.4,C200="Felpagem",0.3,C200="Dublagem Spun",0.8,C200="Dublagem Cretone",0.8,C200="Dublagem Cretone PES",0.8,C200="Espelhamento",0.8,C200="Peletização",0.5,C200="Dublagem Spun - MO",0.8,C200="Dublagem Cretone - MO",0.8,C200="Dublagem Cretone PES - MO",0.8,C200="Espelhamento - MO",0.8,C200="Emborrachamento",1,C200="Malha",0,C200="Dublagem Barreira",1,C200="Pel. + Cal.",0.4,C200="Fel. + Pel. + Cal.",0.5,C200="Pel. + Spun",0.8,C200="Espelhamento - L: 1,45m",0.8,C200="Espelhamento - L: 1,65m",0.8,C200="Estampagem",1,C200="Fel. + Cal.",0.4,C200="Dublagem Juta",0.8,C200="Dublagem Cretone - MO (Juta)",0.8,C200="Dublagem Tapete",0.8,C200="Esp. + Pel.",0.8,C200="Espelhamento 2x",0.8)</f>
        <v>#N/A</v>
      </c>
      <c r="U200" s="18"/>
      <c r="V200" s="18"/>
      <c r="W200" s="18"/>
      <c r="X200" s="18"/>
      <c r="Y200" s="18"/>
      <c r="Z200" s="18"/>
      <c r="AA200" s="18"/>
    </row>
    <row r="201" spans="1:27" ht="14.25" customHeight="1" x14ac:dyDescent="0.35">
      <c r="A201" s="18"/>
      <c r="B201" s="22" t="s">
        <v>370</v>
      </c>
      <c r="C201" s="23" t="s">
        <v>408</v>
      </c>
      <c r="D201" s="23" t="s">
        <v>239</v>
      </c>
      <c r="E201" s="24">
        <v>1</v>
      </c>
      <c r="F201" s="25"/>
      <c r="G201" s="25">
        <v>1.3</v>
      </c>
      <c r="H201" s="26" t="s">
        <v>243</v>
      </c>
      <c r="I201" s="27">
        <f t="shared" si="84"/>
        <v>1.3</v>
      </c>
      <c r="J201" s="28">
        <v>45664</v>
      </c>
      <c r="K201" s="29" t="s">
        <v>371</v>
      </c>
      <c r="L201" s="30">
        <f t="shared" si="85"/>
        <v>1.3</v>
      </c>
      <c r="M201" s="30">
        <f>'Custos insumos'!H25</f>
        <v>0</v>
      </c>
      <c r="N201" s="30">
        <f>IF(B201="Texion Textil",0,IF(B201="Três Elos",0,IF(C201="Malha",0,IF(C201="Dublagem Cretone",'Custos insumos'!$D$23,IF(C201="Dublagem Spun",'Custos insumos'!$D$16,IF(C201="Espelhamento",0,IF(C201="Espelhamento 2x",0,IF(C201="Esp. + Pel.",0,IF(C201="Pel. + Spun",'Custos insumos'!$D$16,IF(C201="Dublagem Cretone PES",'Custos insumos'!$F$25,IF(C201="Dublagem Barreira",'Custos insumos'!$D$22,)))))))))))</f>
        <v>0</v>
      </c>
      <c r="O201" s="18"/>
      <c r="P201" s="53" t="e">
        <f t="shared" si="72"/>
        <v>#N/A</v>
      </c>
      <c r="Q201" s="50" t="e">
        <f t="shared" si="73"/>
        <v>#N/A</v>
      </c>
      <c r="R201" s="50" t="e" cm="1">
        <f t="array" ref="R201">_xlfn.IFS(C201="Calandra",(350),C201="Peletização",(421),C201="Dublagem Spun",(250),C201="Dublagem Cretone PES",(180),C201="Felpagem",(270/E201),C201="Emborrachamento",(200),C201="Espelhamento",(250),C201="Malha",(1),C201="Dublagem Cretone",(180),C201="Malha",(1),C201="Dublagem Spun - MO",250,C201="Dublagem Cretone - MO",180,C201="Dublagem Cretone PES - MO",180,C201="Espelhamento - MO",250,C201="Emborrachamento",100,C201="Malha",0,C201="Dublagem Barreira",100,C201="Pel. + Cal.",350,C201="Fel. + Pel. + Cal.",270,C201="Pel. + Spun",250,C201="Espelhamento - L: 1,45m",200,C201="Espelhamento - L: 1,65m",200,C201="Estampagem",100,C201="Fel. + Cal.",270,C201="Dublagem Juta",180,C201="Dublagem Cretone - MO (Juta)",180,C201="Dublagem Tapete",150,C201="Esp. + Pel.",200,C201="Espelhamento 2x",100)</f>
        <v>#N/A</v>
      </c>
      <c r="S201" s="50" t="e">
        <f t="shared" si="74"/>
        <v>#N/A</v>
      </c>
      <c r="T201" s="18" t="e" cm="1">
        <f t="array" ref="T201">_xlfn.IFS(C201="Calandra",0.4,C201="Felpagem",0.3,C201="Dublagem Spun",0.8,C201="Dublagem Cretone",0.8,C201="Dublagem Cretone PES",0.8,C201="Espelhamento",0.8,C201="Peletização",0.5,C201="Dublagem Spun - MO",0.8,C201="Dublagem Cretone - MO",0.8,C201="Dublagem Cretone PES - MO",0.8,C201="Espelhamento - MO",0.8,C201="Emborrachamento",1,C201="Malha",0,C201="Dublagem Barreira",1,C201="Pel. + Cal.",0.4,C201="Fel. + Pel. + Cal.",0.5,C201="Pel. + Spun",0.8,C201="Espelhamento - L: 1,45m",0.8,C201="Espelhamento - L: 1,65m",0.8,C201="Estampagem",1,C201="Fel. + Cal.",0.4,C201="Dublagem Juta",0.8,C201="Dublagem Cretone - MO (Juta)",0.8,C201="Dublagem Tapete",0.8,C201="Esp. + Pel.",0.8,C201="Espelhamento 2x",0.8)</f>
        <v>#N/A</v>
      </c>
      <c r="U201" s="18"/>
      <c r="V201" s="18"/>
      <c r="W201" s="18"/>
      <c r="X201" s="18"/>
      <c r="Y201" s="18"/>
      <c r="Z201" s="18"/>
      <c r="AA201" s="18"/>
    </row>
    <row r="202" spans="1:27" ht="14.25" customHeight="1" x14ac:dyDescent="0.35">
      <c r="A202" s="18"/>
      <c r="B202" s="22" t="s">
        <v>370</v>
      </c>
      <c r="C202" s="23" t="s">
        <v>471</v>
      </c>
      <c r="D202" s="23" t="s">
        <v>372</v>
      </c>
      <c r="E202" s="24">
        <v>1</v>
      </c>
      <c r="F202" s="25"/>
      <c r="G202" s="25">
        <v>6.1</v>
      </c>
      <c r="H202" s="26" t="s">
        <v>243</v>
      </c>
      <c r="I202" s="27">
        <f t="shared" si="84"/>
        <v>6.1</v>
      </c>
      <c r="J202" s="28">
        <v>45664</v>
      </c>
      <c r="K202" s="29" t="s">
        <v>371</v>
      </c>
      <c r="L202" s="30">
        <f t="shared" si="85"/>
        <v>1.6222399999999999</v>
      </c>
      <c r="M202" s="30">
        <f>'Custos insumos'!J31+'Custos insumos'!N3</f>
        <v>3.7697599999999998</v>
      </c>
      <c r="N202" s="30">
        <f>'Custos insumos'!L18</f>
        <v>0.70799999999999996</v>
      </c>
      <c r="O202" s="18"/>
      <c r="P202" s="53" t="e">
        <f t="shared" ref="P202" si="92">(Q202-S202)/Q202</f>
        <v>#N/A</v>
      </c>
      <c r="Q202" s="50" t="e">
        <f t="shared" ref="Q202" si="93">G202*R202</f>
        <v>#N/A</v>
      </c>
      <c r="R202" s="50" t="e" cm="1">
        <f t="array" ref="R202">_xlfn.IFS(C202="Calandra",(350),C202="Peletização",(421),C202="Dublagem Spun",(250),C202="Dublagem Cretone PES",(180),C202="Felpagem",(270/E202),C202="Emborrachamento",(200),C202="Espelhamento",(250),C202="Malha",(1),C202="Dublagem Cretone",(180),C202="Malha",(1),C202="Dublagem Spun - MO",250,C202="Dublagem Cretone - MO",180,C202="Dublagem Cretone PES - MO",180,C202="Espelhamento - MO",250,C202="Emborrachamento",100,C202="Malha",0,C202="Dublagem Barreira",100,C202="Pel. + Cal.",350,C202="Fel. + Pel. + Cal.",270,C202="Pel. + Spun",250,C202="Espelhamento - L: 1,45m",200,C202="Espelhamento - L: 1,65m",200,C202="Estampagem",100,C202="Fel. + Cal.",270,C202="Dublagem Juta",180,C202="Dublagem Cretone - MO (Juta)",180,C202="Dublagem Tapete",150,C202="Esp. + Pel.",200,C202="Espelhamento 2x",100)</f>
        <v>#N/A</v>
      </c>
      <c r="S202" s="50" t="e">
        <f t="shared" ref="S202" si="94">(T202*X202)+(U202*Y202)+(V202*Z202)+((M202+N202)*(R202))</f>
        <v>#N/A</v>
      </c>
      <c r="T202" s="18" t="e" cm="1">
        <f t="array" ref="T202">_xlfn.IFS(C202="Calandra",0.4,C202="Felpagem",0.3,C202="Dublagem Spun",0.8,C202="Dublagem Cretone",0.8,C202="Dublagem Cretone PES",0.8,C202="Espelhamento",0.8,C202="Peletização",0.5,C202="Dublagem Spun - MO",0.8,C202="Dublagem Cretone - MO",0.8,C202="Dublagem Cretone PES - MO",0.8,C202="Espelhamento - MO",0.8,C202="Emborrachamento",1,C202="Malha",0,C202="Dublagem Barreira",1,C202="Pel. + Cal.",0.4,C202="Fel. + Pel. + Cal.",0.5,C202="Pel. + Spun",0.8,C202="Espelhamento - L: 1,45m",0.8,C202="Espelhamento - L: 1,65m",0.8,C202="Estampagem",1,C202="Fel. + Cal.",0.4,C202="Dublagem Juta",0.8,C202="Dublagem Cretone - MO (Juta)",0.8,C202="Dublagem Tapete",0.8,C202="Esp. + Pel.",0.8,C202="Espelhamento 2x",0.8)</f>
        <v>#N/A</v>
      </c>
      <c r="U202" s="18"/>
      <c r="V202" s="18"/>
      <c r="W202" s="18"/>
      <c r="X202" s="18"/>
      <c r="Y202" s="18"/>
      <c r="Z202" s="18"/>
      <c r="AA202" s="18"/>
    </row>
    <row r="203" spans="1:27" ht="14.25" customHeight="1" x14ac:dyDescent="0.35">
      <c r="A203" s="18"/>
      <c r="B203" s="22" t="s">
        <v>370</v>
      </c>
      <c r="C203" s="23" t="s">
        <v>470</v>
      </c>
      <c r="D203" s="23" t="s">
        <v>411</v>
      </c>
      <c r="E203" s="24">
        <v>1</v>
      </c>
      <c r="F203" s="25"/>
      <c r="G203" s="25">
        <v>4.5</v>
      </c>
      <c r="H203" s="26" t="s">
        <v>243</v>
      </c>
      <c r="I203" s="27">
        <f t="shared" si="84"/>
        <v>4.5</v>
      </c>
      <c r="J203" s="28">
        <v>45664</v>
      </c>
      <c r="K203" s="29" t="s">
        <v>371</v>
      </c>
      <c r="L203" s="30">
        <f t="shared" si="85"/>
        <v>1.3914400000000002</v>
      </c>
      <c r="M203" s="30">
        <f>'Custos insumos'!J31</f>
        <v>3.1085599999999998</v>
      </c>
      <c r="N203" s="30">
        <f>IF(B203="Texion Textil",0,IF(B203="Três Elos",0,IF(C203="Malha",0,IF(C203="Dublagem Cretone",'Custos insumos'!$D$23,IF(C203="Dublagem Spun",'Custos insumos'!$D$16,IF(C203="Espelhamento",0,IF(C203="Espelhamento 2x",0,IF(C203="Esp. + Pel.",0,IF(C203="Pel. + Spun",'Custos insumos'!$D$16,IF(C203="Dublagem Cretone PES",'Custos insumos'!$F$25,IF(C203="Dublagem Barreira",'Custos insumos'!$D$22,)))))))))))</f>
        <v>0</v>
      </c>
      <c r="O203" s="18"/>
      <c r="P203" s="53" t="e">
        <f t="shared" si="72"/>
        <v>#N/A</v>
      </c>
      <c r="Q203" s="50" t="e">
        <f t="shared" si="73"/>
        <v>#N/A</v>
      </c>
      <c r="R203" s="50" t="e" cm="1">
        <f t="array" ref="R203">_xlfn.IFS(C203="Calandra",(350),C203="Peletização",(421),C203="Dublagem Spun",(250),C203="Dublagem Cretone PES",(180),C203="Felpagem",(270/E203),C203="Emborrachamento",(200),C203="Espelhamento",(250),C203="Malha",(1),C203="Dublagem Cretone",(180),C203="Malha",(1),C203="Dublagem Spun - MO",250,C203="Dublagem Cretone - MO",180,C203="Dublagem Cretone PES - MO",180,C203="Espelhamento - MO",250,C203="Emborrachamento",100,C203="Malha",0,C203="Dublagem Barreira",100,C203="Pel. + Cal.",350,C203="Fel. + Pel. + Cal.",270,C203="Pel. + Spun",250,C203="Espelhamento - L: 1,45m",200,C203="Espelhamento - L: 1,65m",200,C203="Estampagem",100,C203="Fel. + Cal.",270,C203="Dublagem Juta",180,C203="Dublagem Cretone - MO (Juta)",180,C203="Dublagem Tapete",150,C203="Esp. + Pel.",200,C203="Espelhamento 2x",100)</f>
        <v>#N/A</v>
      </c>
      <c r="S203" s="50" t="e">
        <f t="shared" si="74"/>
        <v>#N/A</v>
      </c>
      <c r="T203" s="18" t="e" cm="1">
        <f t="array" ref="T203">_xlfn.IFS(C203="Calandra",0.4,C203="Felpagem",0.3,C203="Dublagem Spun",0.8,C203="Dublagem Cretone",0.8,C203="Dublagem Cretone PES",0.8,C203="Espelhamento",0.8,C203="Peletização",0.5,C203="Dublagem Spun - MO",0.8,C203="Dublagem Cretone - MO",0.8,C203="Dublagem Cretone PES - MO",0.8,C203="Espelhamento - MO",0.8,C203="Emborrachamento",1,C203="Malha",0,C203="Dublagem Barreira",1,C203="Pel. + Cal.",0.4,C203="Fel. + Pel. + Cal.",0.5,C203="Pel. + Spun",0.8,C203="Espelhamento - L: 1,45m",0.8,C203="Espelhamento - L: 1,65m",0.8,C203="Estampagem",1,C203="Fel. + Cal.",0.4,C203="Dublagem Juta",0.8,C203="Dublagem Cretone - MO (Juta)",0.8,C203="Dublagem Tapete",0.8,C203="Esp. + Pel.",0.8,C203="Espelhamento 2x",0.8)</f>
        <v>#N/A</v>
      </c>
      <c r="U203" s="18"/>
      <c r="V203" s="18"/>
      <c r="W203" s="18"/>
      <c r="X203" s="18"/>
      <c r="Y203" s="18"/>
      <c r="Z203" s="18"/>
      <c r="AA203" s="18"/>
    </row>
    <row r="204" spans="1:27" ht="14.25" customHeight="1" x14ac:dyDescent="0.35">
      <c r="A204" s="18"/>
      <c r="B204" s="22" t="s">
        <v>336</v>
      </c>
      <c r="C204" s="23" t="s">
        <v>260</v>
      </c>
      <c r="D204" s="23" t="s">
        <v>417</v>
      </c>
      <c r="E204" s="24">
        <v>1</v>
      </c>
      <c r="F204" s="27">
        <v>2.9</v>
      </c>
      <c r="G204" s="25">
        <f>F204</f>
        <v>2.9</v>
      </c>
      <c r="H204" s="26" t="s">
        <v>243</v>
      </c>
      <c r="I204" s="27">
        <f t="shared" si="84"/>
        <v>2.9</v>
      </c>
      <c r="J204" s="28">
        <v>45663</v>
      </c>
      <c r="K204" s="29" t="s">
        <v>307</v>
      </c>
      <c r="L204" s="30">
        <f t="shared" si="85"/>
        <v>2.9</v>
      </c>
      <c r="M204" s="30">
        <f>IF(B204="Texion Textil",0,IF(C204="Malha",'Custos insumos'!$B$24,IF(C204="Dublagem Cretone",'Custos insumos'!$D$7,IF(C204="Dublagem Spun",'Custos insumos'!$D$4,IF(C204="Espelhamento",'Custos insumos'!$B$11,IF(C204="Espelhamento 2x",2*'Custos insumos'!$B$11,IF(C204="Esp. + Pel.",'Custos insumos'!$B$11,IF(C204="Pel. + Spun",'Custos insumos'!$D$4,IF(C204="Dublagem Cretone PES",'Custos insumos'!$D$7,IF(C204="Dublagem Barreira",'Custos insumos'!$D$11,IF(C204="Dublagem - MO + Filme",'Custos insumos'!$D$4,IF(C204="Dublagem Cretone HM50",'Custos insumos'!$F$9,IF(C204="Dublagem Cretone HM70",'Custos insumos'!$F$10,)))))))))))))</f>
        <v>0</v>
      </c>
      <c r="N204" s="30">
        <f>IF(B204="Texion Textil",0,IF(B204="Três Elos",0,IF(C204="Malha",0,IF(C204="Dublagem Cretone",'Custos insumos'!$D$23,IF(C204="Dublagem Spun",'Custos insumos'!$D$16,IF(C204="Espelhamento",0,IF(C204="Espelhamento 2x",0,IF(C204="Esp. + Pel.",0,IF(C204="Pel. + Spun",'Custos insumos'!$D$16,IF(C204="Dublagem Cretone PES",'Custos insumos'!$F$25,IF(C204="Dublagem Barreira",'Custos insumos'!$D$22,)))))))))))</f>
        <v>0</v>
      </c>
      <c r="O204" s="18"/>
      <c r="P204" s="53">
        <f t="shared" si="72"/>
        <v>0.74203310344827578</v>
      </c>
      <c r="Q204" s="50">
        <f t="shared" si="73"/>
        <v>725</v>
      </c>
      <c r="R204" s="50" cm="1">
        <f t="array" ref="R204">_xlfn.IFS(C204="Calandra",(350),C204="Peletização",(421),C204="Dublagem Spun",(250),C204="Dublagem Cretone PES",(180),C204="Felpagem",(270/E204),C204="Emborrachamento",(200),C204="Espelhamento",(250),C204="Malha",(1),C204="Dublagem Cretone",(180),C204="Malha",(1),C204="Dublagem Spun - MO",250,C204="Dublagem Cretone - MO",180,C204="Dublagem Cretone PES - MO",180,C204="Espelhamento - MO",250,C204="Emborrachamento",100,C204="Malha",0,C204="Dublagem Barreira",100,C204="Pel. + Cal.",350,C204="Fel. + Pel. + Cal.",270,C204="Pel. + Spun",250,C204="Espelhamento - L: 1,45m",200,C204="Espelhamento - L: 1,65m",200,C204="Estampagem",100,C204="Fel. + Cal.",270,C204="Dublagem Juta",180,C204="Dublagem Cretone - MO (Juta)",180,C204="Dublagem Tapete",150,C204="Esp. + Pel.",200,C204="Espelhamento 2x",100)</f>
        <v>250</v>
      </c>
      <c r="S204" s="50">
        <f t="shared" si="74"/>
        <v>187.02600000000001</v>
      </c>
      <c r="T204" s="18" cm="1">
        <f t="array" ref="T204">_xlfn.IFS(C204="Calandra",0.4,C204="Felpagem",0.3,C204="Dublagem Spun",0.8,C204="Dublagem Cretone",0.8,C204="Dublagem Cretone PES",0.8,C204="Espelhamento",0.8,C204="Peletização",0.5,C204="Dublagem Spun - MO",0.8,C204="Dublagem Cretone - MO",0.8,C204="Dublagem Cretone PES - MO",0.8,C204="Espelhamento - MO",0.8,C204="Emborrachamento",1,C204="Malha",0,C204="Dublagem Barreira",1,C204="Pel. + Cal.",0.4,C204="Fel. + Pel. + Cal.",0.5,C204="Pel. + Spun",0.8,C204="Espelhamento - L: 1,45m",0.8,C204="Espelhamento - L: 1,65m",0.8,C204="Estampagem",1,C204="Fel. + Cal.",0.4,C204="Dublagem Juta",0.8,C204="Dublagem Cretone - MO (Juta)",0.8,C204="Dublagem Tapete",0.8,C204="Esp. + Pel.",0.8,C204="Espelhamento 2x",0.8)</f>
        <v>0.8</v>
      </c>
      <c r="U204" s="18">
        <v>1</v>
      </c>
      <c r="V204" s="18">
        <v>1</v>
      </c>
      <c r="W204" s="18"/>
      <c r="X204" s="18">
        <v>39.67</v>
      </c>
      <c r="Y204" s="18">
        <v>38.51</v>
      </c>
      <c r="Z204" s="18">
        <v>116.78</v>
      </c>
      <c r="AA204" s="18"/>
    </row>
    <row r="205" spans="1:27" ht="14.25" customHeight="1" x14ac:dyDescent="0.35">
      <c r="A205" s="18"/>
      <c r="B205" s="22" t="s">
        <v>336</v>
      </c>
      <c r="C205" s="23" t="s">
        <v>260</v>
      </c>
      <c r="D205" s="23"/>
      <c r="E205" s="24">
        <v>1</v>
      </c>
      <c r="F205" s="27">
        <v>1.1499999999999999</v>
      </c>
      <c r="G205" s="25">
        <f>F205</f>
        <v>1.1499999999999999</v>
      </c>
      <c r="H205" s="26" t="s">
        <v>243</v>
      </c>
      <c r="I205" s="27">
        <f t="shared" si="84"/>
        <v>1.1499999999999999</v>
      </c>
      <c r="J205" s="28">
        <v>45663</v>
      </c>
      <c r="K205" s="29" t="s">
        <v>307</v>
      </c>
      <c r="L205" s="30">
        <f t="shared" si="85"/>
        <v>1.1499999999999999</v>
      </c>
      <c r="M205" s="30">
        <f>IF(B205="Texion Textil",0,IF(C205="Malha",'Custos insumos'!$B$24,IF(C205="Dublagem Cretone",'Custos insumos'!$D$7,IF(C205="Dublagem Spun",'Custos insumos'!$D$4,IF(C205="Espelhamento",'Custos insumos'!$B$11,IF(C205="Espelhamento 2x",2*'Custos insumos'!$B$11,IF(C205="Esp. + Pel.",'Custos insumos'!$B$11,IF(C205="Pel. + Spun",'Custos insumos'!$D$4,IF(C205="Dublagem Cretone PES",'Custos insumos'!$D$7,IF(C205="Dublagem Barreira",'Custos insumos'!$D$11,IF(C205="Dublagem - MO + Filme",'Custos insumos'!$D$4,IF(C205="Dublagem Cretone HM50",'Custos insumos'!$F$9,IF(C205="Dublagem Cretone HM70",'Custos insumos'!$F$10,)))))))))))))</f>
        <v>0</v>
      </c>
      <c r="N205" s="30">
        <f>IF(B205="Texion Textil",0,IF(B205="Três Elos",0,IF(C205="Malha",0,IF(C205="Dublagem Cretone",'Custos insumos'!$D$23,IF(C205="Dublagem Spun",'Custos insumos'!$D$16,IF(C205="Espelhamento",0,IF(C205="Espelhamento 2x",0,IF(C205="Esp. + Pel.",0,IF(C205="Pel. + Spun",'Custos insumos'!$D$16,IF(C205="Dublagem Cretone PES",'Custos insumos'!$F$25,IF(C205="Dublagem Barreira",'Custos insumos'!$D$22,)))))))))))</f>
        <v>0</v>
      </c>
      <c r="O205" s="18"/>
      <c r="P205" s="53">
        <f t="shared" si="72"/>
        <v>0.34947478260869563</v>
      </c>
      <c r="Q205" s="50">
        <f t="shared" si="73"/>
        <v>287.5</v>
      </c>
      <c r="R205" s="50" cm="1">
        <f t="array" ref="R205">_xlfn.IFS(C205="Calandra",(350),C205="Peletização",(421),C205="Dublagem Spun",(250),C205="Dublagem Cretone PES",(180),C205="Felpagem",(270/E205),C205="Emborrachamento",(200),C205="Espelhamento",(250),C205="Malha",(1),C205="Dublagem Cretone",(180),C205="Malha",(1),C205="Dublagem Spun - MO",250,C205="Dublagem Cretone - MO",180,C205="Dublagem Cretone PES - MO",180,C205="Espelhamento - MO",250,C205="Emborrachamento",100,C205="Malha",0,C205="Dublagem Barreira",100,C205="Pel. + Cal.",350,C205="Fel. + Pel. + Cal.",270,C205="Pel. + Spun",250,C205="Espelhamento - L: 1,45m",200,C205="Espelhamento - L: 1,65m",200,C205="Estampagem",100,C205="Fel. + Cal.",270,C205="Dublagem Juta",180,C205="Dublagem Cretone - MO (Juta)",180,C205="Dublagem Tapete",150,C205="Esp. + Pel.",200,C205="Espelhamento 2x",100)</f>
        <v>250</v>
      </c>
      <c r="S205" s="50">
        <f t="shared" si="74"/>
        <v>187.02600000000001</v>
      </c>
      <c r="T205" s="18" cm="1">
        <f t="array" ref="T205">_xlfn.IFS(C205="Calandra",0.4,C205="Felpagem",0.3,C205="Dublagem Spun",0.8,C205="Dublagem Cretone",0.8,C205="Dublagem Cretone PES",0.8,C205="Espelhamento",0.8,C205="Peletização",0.5,C205="Dublagem Spun - MO",0.8,C205="Dublagem Cretone - MO",0.8,C205="Dublagem Cretone PES - MO",0.8,C205="Espelhamento - MO",0.8,C205="Emborrachamento",1,C205="Malha",0,C205="Dublagem Barreira",1,C205="Pel. + Cal.",0.4,C205="Fel. + Pel. + Cal.",0.5,C205="Pel. + Spun",0.8,C205="Espelhamento - L: 1,45m",0.8,C205="Espelhamento - L: 1,65m",0.8,C205="Estampagem",1,C205="Fel. + Cal.",0.4,C205="Dublagem Juta",0.8,C205="Dublagem Cretone - MO (Juta)",0.8,C205="Dublagem Tapete",0.8,C205="Esp. + Pel.",0.8,C205="Espelhamento 2x",0.8)</f>
        <v>0.8</v>
      </c>
      <c r="U205" s="18">
        <v>1</v>
      </c>
      <c r="V205" s="18">
        <v>1</v>
      </c>
      <c r="W205" s="18"/>
      <c r="X205" s="18">
        <v>39.67</v>
      </c>
      <c r="Y205" s="18">
        <v>38.51</v>
      </c>
      <c r="Z205" s="18">
        <v>116.78</v>
      </c>
      <c r="AA205" s="18"/>
    </row>
    <row r="206" spans="1:27" ht="14.25" customHeight="1" x14ac:dyDescent="0.35">
      <c r="A206" s="18"/>
      <c r="B206" s="22" t="s">
        <v>336</v>
      </c>
      <c r="C206" s="23" t="s">
        <v>249</v>
      </c>
      <c r="D206" s="23"/>
      <c r="E206" s="24">
        <v>1</v>
      </c>
      <c r="F206" s="35">
        <v>3.6</v>
      </c>
      <c r="G206" s="25">
        <f>F206</f>
        <v>3.6</v>
      </c>
      <c r="H206" s="26" t="s">
        <v>243</v>
      </c>
      <c r="I206" s="27">
        <f t="shared" si="84"/>
        <v>3.6</v>
      </c>
      <c r="J206" s="28">
        <v>45663</v>
      </c>
      <c r="K206" s="36"/>
      <c r="L206" s="30">
        <f t="shared" si="85"/>
        <v>1.75908</v>
      </c>
      <c r="M206" s="30">
        <f>IF(B206="Texion Textil",0,IF(C206="Malha",'Custos insumos'!$B$24,IF(C206="Dublagem Cretone",'Custos insumos'!$D$7,IF(C206="Dublagem Spun",'Custos insumos'!$D$4,IF(C206="Espelhamento",'Custos insumos'!$B$11,IF(C206="Espelhamento 2x",2*'Custos insumos'!$B$11,IF(C206="Esp. + Pel.",'Custos insumos'!$B$11,IF(C206="Pel. + Spun",'Custos insumos'!$D$4,IF(C206="Dublagem Cretone PES",'Custos insumos'!$D$7,IF(C206="Dublagem Barreira",'Custos insumos'!$D$11,IF(C206="Dublagem - MO + Filme",'Custos insumos'!$D$4,IF(C206="Dublagem Cretone HM50",'Custos insumos'!$F$9,IF(C206="Dublagem Cretone HM70",'Custos insumos'!$F$10,)))))))))))))</f>
        <v>1.1232</v>
      </c>
      <c r="N206" s="30">
        <f>IF(B206="Texion Textil",0,IF(B206="Três Elos",0,IF(C206="Malha",0,IF(C206="Dublagem Cretone",'Custos insumos'!$D$23,IF(C206="Dublagem Spun",'Custos insumos'!$D$16,IF(C206="Espelhamento",0,IF(C206="Espelhamento 2x",0,IF(C206="Esp. + Pel.",0,IF(C206="Pel. + Spun",'Custos insumos'!$D$16,IF(C206="Dublagem Cretone PES",'Custos insumos'!$F$25,IF(C206="Dublagem Barreira",'Custos insumos'!$D$22,)))))))))))</f>
        <v>0.71771999999999991</v>
      </c>
      <c r="O206" s="18"/>
      <c r="P206" s="53">
        <f t="shared" si="72"/>
        <v>0.28082666666666672</v>
      </c>
      <c r="Q206" s="50">
        <f t="shared" si="73"/>
        <v>900</v>
      </c>
      <c r="R206" s="50" cm="1">
        <f t="array" ref="R206">_xlfn.IFS(C206="Calandra",(350),C206="Peletização",(421),C206="Dublagem Spun",(250),C206="Dublagem Cretone PES",(180),C206="Felpagem",(270/E206),C206="Emborrachamento",(200),C206="Espelhamento",(250),C206="Malha",(1),C206="Dublagem Cretone",(180),C206="Malha",(1),C206="Dublagem Spun - MO",250,C206="Dublagem Cretone - MO",180,C206="Dublagem Cretone PES - MO",180,C206="Espelhamento - MO",250,C206="Emborrachamento",100,C206="Malha",0,C206="Dublagem Barreira",100,C206="Pel. + Cal.",350,C206="Fel. + Pel. + Cal.",270,C206="Pel. + Spun",250,C206="Espelhamento - L: 1,45m",200,C206="Espelhamento - L: 1,65m",200,C206="Estampagem",100,C206="Fel. + Cal.",270,C206="Dublagem Juta",180,C206="Dublagem Cretone - MO (Juta)",180,C206="Dublagem Tapete",150,C206="Esp. + Pel.",200,C206="Espelhamento 2x",100)</f>
        <v>250</v>
      </c>
      <c r="S206" s="50">
        <f t="shared" si="74"/>
        <v>647.25599999999997</v>
      </c>
      <c r="T206" s="18" cm="1">
        <f t="array" ref="T206">_xlfn.IFS(C206="Calandra",0.4,C206="Felpagem",0.3,C206="Dublagem Spun",0.8,C206="Dublagem Cretone",0.8,C206="Dublagem Cretone PES",0.8,C206="Espelhamento",0.8,C206="Peletização",0.5,C206="Dublagem Spun - MO",0.8,C206="Dublagem Cretone - MO",0.8,C206="Dublagem Cretone PES - MO",0.8,C206="Espelhamento - MO",0.8,C206="Emborrachamento",1,C206="Malha",0,C206="Dublagem Barreira",1,C206="Pel. + Cal.",0.4,C206="Fel. + Pel. + Cal.",0.5,C206="Pel. + Spun",0.8,C206="Espelhamento - L: 1,45m",0.8,C206="Espelhamento - L: 1,65m",0.8,C206="Estampagem",1,C206="Fel. + Cal.",0.4,C206="Dublagem Juta",0.8,C206="Dublagem Cretone - MO (Juta)",0.8,C206="Dublagem Tapete",0.8,C206="Esp. + Pel.",0.8,C206="Espelhamento 2x",0.8)</f>
        <v>0.8</v>
      </c>
      <c r="U206" s="18">
        <v>1</v>
      </c>
      <c r="V206" s="18">
        <v>1</v>
      </c>
      <c r="W206" s="18"/>
      <c r="X206" s="18">
        <v>39.67</v>
      </c>
      <c r="Y206" s="18">
        <v>38.51</v>
      </c>
      <c r="Z206" s="18">
        <v>116.78</v>
      </c>
      <c r="AA206" s="18"/>
    </row>
    <row r="207" spans="1:27" ht="14.25" customHeight="1" x14ac:dyDescent="0.35">
      <c r="A207" s="18"/>
      <c r="B207" s="22" t="s">
        <v>336</v>
      </c>
      <c r="C207" s="23" t="s">
        <v>244</v>
      </c>
      <c r="D207" s="23"/>
      <c r="E207" s="24">
        <v>1</v>
      </c>
      <c r="F207" s="25">
        <f>4.1+1.5</f>
        <v>5.6</v>
      </c>
      <c r="G207" s="25">
        <f>F207</f>
        <v>5.6</v>
      </c>
      <c r="H207" s="26" t="s">
        <v>243</v>
      </c>
      <c r="I207" s="27">
        <f t="shared" si="84"/>
        <v>5.6</v>
      </c>
      <c r="J207" s="28">
        <v>45663</v>
      </c>
      <c r="K207" s="36"/>
      <c r="L207" s="30">
        <f t="shared" si="85"/>
        <v>2.0999999999999996</v>
      </c>
      <c r="M207" s="30">
        <v>3.5</v>
      </c>
      <c r="N207" s="30">
        <f>IF(B207="Texion Textil",0,IF(B207="Três Elos",0,IF(C207="Malha",0,IF(C207="Dublagem Cretone",'Custos insumos'!$D$23,IF(C207="Dublagem Spun",'Custos insumos'!$D$16,IF(C207="Espelhamento",0,IF(C207="Espelhamento 2x",0,IF(C207="Esp. + Pel.",0,IF(C207="Pel. + Spun",'Custos insumos'!$D$16,IF(C207="Dublagem Cretone PES",'Custos insumos'!$F$25,IF(C207="Dublagem Barreira",'Custos insumos'!$D$22,)))))))))))</f>
        <v>0</v>
      </c>
      <c r="O207" s="18"/>
      <c r="P207" s="53">
        <f t="shared" si="72"/>
        <v>0.2009285714285714</v>
      </c>
      <c r="Q207" s="50">
        <f t="shared" si="73"/>
        <v>1120</v>
      </c>
      <c r="R207" s="50" cm="1">
        <f t="array" ref="R207">_xlfn.IFS(C207="Calandra",(350),C207="Peletização",(421),C207="Dublagem Spun",(250),C207="Dublagem Cretone PES",(180),C207="Felpagem",(270/E207),C207="Emborrachamento",(200),C207="Espelhamento",(250),C207="Malha",(1),C207="Dublagem Cretone",(180),C207="Malha",(1),C207="Dublagem Spun - MO",250,C207="Dublagem Cretone - MO",180,C207="Dublagem Cretone PES - MO",180,C207="Espelhamento - MO",250,C207="Emborrachamento",100,C207="Malha",0,C207="Dublagem Barreira",100,C207="Pel. + Cal.",350,C207="Fel. + Pel. + Cal.",270,C207="Pel. + Spun",250,C207="Espelhamento - L: 1,45m",200,C207="Espelhamento - L: 1,65m",200,C207="Estampagem",100,C207="Fel. + Cal.",270,C207="Dublagem Juta",180,C207="Dublagem Cretone - MO (Juta)",180,C207="Dublagem Tapete",150,C207="Esp. + Pel.",200,C207="Espelhamento 2x",100)</f>
        <v>200</v>
      </c>
      <c r="S207" s="50">
        <f t="shared" si="74"/>
        <v>894.96</v>
      </c>
      <c r="T207" s="18" cm="1">
        <f t="array" ref="T207">_xlfn.IFS(C207="Calandra",0.4,C207="Felpagem",0.3,C207="Dublagem Spun",0.8,C207="Dublagem Cretone",0.8,C207="Dublagem Cretone PES",0.8,C207="Espelhamento",0.8,C207="Peletização",0.5,C207="Dublagem Spun - MO",0.8,C207="Dublagem Cretone - MO",0.8,C207="Dublagem Cretone PES - MO",0.8,C207="Espelhamento - MO",0.8,C207="Emborrachamento",1,C207="Malha",0,C207="Dublagem Barreira",1,C207="Pel. + Cal.",0.4,C207="Fel. + Pel. + Cal.",0.5,C207="Pel. + Spun",0.8,C207="Espelhamento - L: 1,45m",0.8,C207="Espelhamento - L: 1,65m",0.8,C207="Estampagem",1,C207="Fel. + Cal.",0.4,C207="Dublagem Juta",0.8,C207="Dublagem Cretone - MO (Juta)",0.8,C207="Dublagem Tapete",0.8,C207="Esp. + Pel.",0.8,C207="Espelhamento 2x",0.8)</f>
        <v>1</v>
      </c>
      <c r="U207" s="18">
        <v>1</v>
      </c>
      <c r="V207" s="18">
        <v>1</v>
      </c>
      <c r="W207" s="18"/>
      <c r="X207" s="18">
        <v>39.67</v>
      </c>
      <c r="Y207" s="18">
        <v>38.51</v>
      </c>
      <c r="Z207" s="18">
        <v>116.78</v>
      </c>
      <c r="AA207" s="18"/>
    </row>
    <row r="208" spans="1:27" ht="14.25" customHeight="1" x14ac:dyDescent="0.35">
      <c r="A208" s="18"/>
      <c r="B208" s="22" t="s">
        <v>336</v>
      </c>
      <c r="C208" s="23" t="s">
        <v>408</v>
      </c>
      <c r="D208" s="23" t="s">
        <v>239</v>
      </c>
      <c r="E208" s="24">
        <v>1</v>
      </c>
      <c r="F208" s="25">
        <v>0</v>
      </c>
      <c r="G208" s="25">
        <v>1</v>
      </c>
      <c r="H208" s="26" t="s">
        <v>243</v>
      </c>
      <c r="I208" s="27">
        <f t="shared" si="84"/>
        <v>1</v>
      </c>
      <c r="J208" s="28">
        <v>45663</v>
      </c>
      <c r="K208" s="36"/>
      <c r="L208" s="30">
        <f t="shared" si="85"/>
        <v>1</v>
      </c>
      <c r="M208" s="30">
        <f>IF(B208="Texion Textil",0,IF(C208="Malha",'Custos insumos'!$B$24,IF(C208="Dublagem Cretone",'Custos insumos'!$D$7,IF(C208="Dublagem Spun",'Custos insumos'!$D$4,IF(C208="Espelhamento",'Custos insumos'!$B$11,IF(C208="Espelhamento 2x",2*'Custos insumos'!$B$11,IF(C208="Esp. + Pel.",'Custos insumos'!$B$11,IF(C208="Pel. + Spun",'Custos insumos'!$D$4,IF(C208="Dublagem Cretone PES",'Custos insumos'!$D$7,IF(C208="Dublagem Barreira",'Custos insumos'!$D$11,IF(C208="Dublagem - MO + Filme",'Custos insumos'!$D$4,IF(C208="Dublagem Cretone HM50",'Custos insumos'!$F$9,IF(C208="Dublagem Cretone HM70",'Custos insumos'!$F$10,)))))))))))))</f>
        <v>0</v>
      </c>
      <c r="N208" s="30">
        <f>IF(B208="Texion Textil",0,IF(B208="Três Elos",0,IF(C208="Malha",0,IF(C208="Dublagem Cretone",'Custos insumos'!$D$23,IF(C208="Dublagem Spun",'Custos insumos'!$D$16,IF(C208="Espelhamento",0,IF(C208="Espelhamento 2x",0,IF(C208="Esp. + Pel.",0,IF(C208="Pel. + Spun",'Custos insumos'!$D$16,IF(C208="Dublagem Cretone PES",'Custos insumos'!$F$25,IF(C208="Dublagem Barreira",'Custos insumos'!$D$22,)))))))))))</f>
        <v>0</v>
      </c>
      <c r="O208" s="18"/>
      <c r="P208" s="53" t="e">
        <f t="shared" si="72"/>
        <v>#N/A</v>
      </c>
      <c r="Q208" s="50" t="e">
        <f t="shared" si="73"/>
        <v>#N/A</v>
      </c>
      <c r="R208" s="50" t="e" cm="1">
        <f t="array" ref="R208">_xlfn.IFS(C208="Calandra",(350),C208="Peletização",(421),C208="Dublagem Spun",(250),C208="Dublagem Cretone PES",(180),C208="Felpagem",(270/E208),C208="Emborrachamento",(200),C208="Espelhamento",(250),C208="Malha",(1),C208="Dublagem Cretone",(180),C208="Malha",(1),C208="Dublagem Spun - MO",250,C208="Dublagem Cretone - MO",180,C208="Dublagem Cretone PES - MO",180,C208="Espelhamento - MO",250,C208="Emborrachamento",100,C208="Malha",0,C208="Dublagem Barreira",100,C208="Pel. + Cal.",350,C208="Fel. + Pel. + Cal.",270,C208="Pel. + Spun",250,C208="Espelhamento - L: 1,45m",200,C208="Espelhamento - L: 1,65m",200,C208="Estampagem",100,C208="Fel. + Cal.",270,C208="Dublagem Juta",180,C208="Dublagem Cretone - MO (Juta)",180,C208="Dublagem Tapete",150,C208="Esp. + Pel.",200,C208="Espelhamento 2x",100)</f>
        <v>#N/A</v>
      </c>
      <c r="S208" s="50" t="e">
        <f t="shared" si="74"/>
        <v>#N/A</v>
      </c>
      <c r="T208" s="18" t="e" cm="1">
        <f t="array" ref="T208">_xlfn.IFS(C208="Calandra",0.4,C208="Felpagem",0.3,C208="Dublagem Spun",0.8,C208="Dublagem Cretone",0.8,C208="Dublagem Cretone PES",0.8,C208="Espelhamento",0.8,C208="Peletização",0.5,C208="Dublagem Spun - MO",0.8,C208="Dublagem Cretone - MO",0.8,C208="Dublagem Cretone PES - MO",0.8,C208="Espelhamento - MO",0.8,C208="Emborrachamento",1,C208="Malha",0,C208="Dublagem Barreira",1,C208="Pel. + Cal.",0.4,C208="Fel. + Pel. + Cal.",0.5,C208="Pel. + Spun",0.8,C208="Espelhamento - L: 1,45m",0.8,C208="Espelhamento - L: 1,65m",0.8,C208="Estampagem",1,C208="Fel. + Cal.",0.4,C208="Dublagem Juta",0.8,C208="Dublagem Cretone - MO (Juta)",0.8,C208="Dublagem Tapete",0.8,C208="Esp. + Pel.",0.8,C208="Espelhamento 2x",0.8)</f>
        <v>#N/A</v>
      </c>
      <c r="U208" s="18">
        <v>1</v>
      </c>
      <c r="V208" s="18">
        <v>1</v>
      </c>
      <c r="W208" s="18"/>
      <c r="X208" s="18">
        <v>39.67</v>
      </c>
      <c r="Y208" s="18">
        <v>38.51</v>
      </c>
      <c r="Z208" s="18">
        <v>116.78</v>
      </c>
      <c r="AA208" s="18"/>
    </row>
    <row r="209" spans="1:27" ht="14.25" customHeight="1" x14ac:dyDescent="0.35">
      <c r="A209" s="18"/>
      <c r="B209" s="22" t="s">
        <v>336</v>
      </c>
      <c r="C209" s="23" t="s">
        <v>286</v>
      </c>
      <c r="D209" s="23" t="s">
        <v>239</v>
      </c>
      <c r="E209" s="24">
        <v>1</v>
      </c>
      <c r="F209" s="35">
        <v>1.72</v>
      </c>
      <c r="G209" s="25">
        <v>1.5</v>
      </c>
      <c r="H209" s="26" t="s">
        <v>243</v>
      </c>
      <c r="I209" s="27">
        <f t="shared" si="84"/>
        <v>1.5</v>
      </c>
      <c r="J209" s="28">
        <v>45663</v>
      </c>
      <c r="K209" s="36" t="s">
        <v>339</v>
      </c>
      <c r="L209" s="30">
        <f t="shared" si="85"/>
        <v>1.5</v>
      </c>
      <c r="M209" s="30">
        <f>IF(B209="Texion Textil",0,IF(C209="Malha",'Custos insumos'!$B$24,IF(C209="Dublagem Cretone",'Custos insumos'!$D$7,IF(C209="Dublagem Spun",'Custos insumos'!$D$4,IF(C209="Espelhamento",'Custos insumos'!$B$11,IF(C209="Espelhamento 2x",2*'Custos insumos'!$B$11,IF(C209="Esp. + Pel.",'Custos insumos'!$B$11,IF(C209="Pel. + Spun",'Custos insumos'!$D$4,IF(C209="Dublagem Cretone PES",'Custos insumos'!$D$7,IF(C209="Dublagem Barreira",'Custos insumos'!$D$11,IF(C209="Dublagem - MO + Filme",'Custos insumos'!$D$4,IF(C209="Dublagem Cretone HM50",'Custos insumos'!$F$9,IF(C209="Dublagem Cretone HM70",'Custos insumos'!$F$10,)))))))))))))</f>
        <v>0</v>
      </c>
      <c r="N209" s="30">
        <f>IF(B209="Texion Textil",0,IF(B209="Três Elos",0,IF(C209="Malha",0,IF(C209="Dublagem Cretone",'Custos insumos'!$D$23,IF(C209="Dublagem Spun",'Custos insumos'!$D$16,IF(C209="Espelhamento",0,IF(C209="Espelhamento 2x",0,IF(C209="Esp. + Pel.",0,IF(C209="Pel. + Spun",'Custos insumos'!$D$16,IF(C209="Dublagem Cretone PES",'Custos insumos'!$F$25,IF(C209="Dublagem Barreira",'Custos insumos'!$D$22,)))))))))))</f>
        <v>0</v>
      </c>
      <c r="O209" s="18"/>
      <c r="P209" s="53">
        <f t="shared" si="72"/>
        <v>0.16877333333333328</v>
      </c>
      <c r="Q209" s="50">
        <f t="shared" si="73"/>
        <v>225</v>
      </c>
      <c r="R209" s="50" cm="1">
        <f t="array" ref="R209">_xlfn.IFS(C209="Calandra",(350),C209="Peletização",(421),C209="Dublagem Spun",(250),C209="Dublagem Cretone PES",(180),C209="Felpagem",(270/E209),C209="Emborrachamento",(200),C209="Espelhamento",(250),C209="Malha",(1),C209="Dublagem Cretone",(180),C209="Malha",(1),C209="Dublagem Spun - MO",250,C209="Dublagem Cretone - MO",180,C209="Dublagem Cretone PES - MO",180,C209="Espelhamento - MO",250,C209="Emborrachamento",100,C209="Malha",0,C209="Dublagem Barreira",100,C209="Pel. + Cal.",350,C209="Fel. + Pel. + Cal.",270,C209="Pel. + Spun",250,C209="Espelhamento - L: 1,45m",200,C209="Espelhamento - L: 1,65m",200,C209="Estampagem",100,C209="Fel. + Cal.",270,C209="Dublagem Juta",180,C209="Dublagem Cretone - MO (Juta)",180,C209="Dublagem Tapete",150,C209="Esp. + Pel.",200,C209="Espelhamento 2x",100)</f>
        <v>150</v>
      </c>
      <c r="S209" s="50">
        <f t="shared" si="74"/>
        <v>187.02600000000001</v>
      </c>
      <c r="T209" s="18" cm="1">
        <f t="array" ref="T209">_xlfn.IFS(C209="Calandra",0.4,C209="Felpagem",0.3,C209="Dublagem Spun",0.8,C209="Dublagem Cretone",0.8,C209="Dublagem Cretone PES",0.8,C209="Espelhamento",0.8,C209="Peletização",0.5,C209="Dublagem Spun - MO",0.8,C209="Dublagem Cretone - MO",0.8,C209="Dublagem Cretone PES - MO",0.8,C209="Espelhamento - MO",0.8,C209="Emborrachamento",1,C209="Malha",0,C209="Dublagem Barreira",1,C209="Pel. + Cal.",0.4,C209="Fel. + Pel. + Cal.",0.5,C209="Pel. + Spun",0.8,C209="Espelhamento - L: 1,45m",0.8,C209="Espelhamento - L: 1,65m",0.8,C209="Estampagem",1,C209="Fel. + Cal.",0.4,C209="Dublagem Juta",0.8,C209="Dublagem Cretone - MO (Juta)",0.8,C209="Dublagem Tapete",0.8,C209="Esp. + Pel.",0.8,C209="Espelhamento 2x",0.8)</f>
        <v>0.8</v>
      </c>
      <c r="U209" s="18">
        <v>1</v>
      </c>
      <c r="V209" s="18">
        <v>1</v>
      </c>
      <c r="W209" s="18"/>
      <c r="X209" s="18">
        <v>39.67</v>
      </c>
      <c r="Y209" s="18">
        <v>38.51</v>
      </c>
      <c r="Z209" s="18">
        <v>116.78</v>
      </c>
      <c r="AA209" s="18"/>
    </row>
    <row r="210" spans="1:27" ht="14.25" customHeight="1" x14ac:dyDescent="0.35">
      <c r="A210" s="18"/>
      <c r="B210" s="22" t="s">
        <v>336</v>
      </c>
      <c r="C210" s="23" t="s">
        <v>286</v>
      </c>
      <c r="D210" s="23"/>
      <c r="E210" s="24">
        <v>1</v>
      </c>
      <c r="F210" s="35">
        <v>2.57</v>
      </c>
      <c r="G210" s="25">
        <v>2.67</v>
      </c>
      <c r="H210" s="26" t="s">
        <v>243</v>
      </c>
      <c r="I210" s="27">
        <f t="shared" si="84"/>
        <v>2.67</v>
      </c>
      <c r="J210" s="28">
        <v>45663</v>
      </c>
      <c r="K210" s="36" t="s">
        <v>339</v>
      </c>
      <c r="L210" s="30">
        <f t="shared" si="85"/>
        <v>1.8173999999999999</v>
      </c>
      <c r="M210" s="30">
        <f>'Custos insumos'!$H$3</f>
        <v>0.85260000000000002</v>
      </c>
      <c r="N210" s="30">
        <f>IF(B210="Texion Textil",0,IF(B210="Três Elos",0,IF(C210="Malha",0,IF(C210="Dublagem Cretone",'Custos insumos'!$D$23,IF(C210="Dublagem Spun",'Custos insumos'!$D$16,IF(C210="Espelhamento",0,IF(C210="Espelhamento 2x",0,IF(C210="Esp. + Pel.",0,IF(C210="Pel. + Spun",'Custos insumos'!$D$16,IF(C210="Dublagem Cretone PES",'Custos insumos'!$F$25,IF(C210="Dublagem Barreira",'Custos insumos'!$D$22,)))))))))))</f>
        <v>0</v>
      </c>
      <c r="O210" s="18"/>
      <c r="P210" s="53">
        <f t="shared" si="72"/>
        <v>0.21369288389513108</v>
      </c>
      <c r="Q210" s="50">
        <f t="shared" si="73"/>
        <v>400.5</v>
      </c>
      <c r="R210" s="50" cm="1">
        <f t="array" ref="R210">_xlfn.IFS(C210="Calandra",(350),C210="Peletização",(421),C210="Dublagem Spun",(250),C210="Dublagem Cretone PES",(180),C210="Felpagem",(270/E210),C210="Emborrachamento",(200),C210="Espelhamento",(250),C210="Malha",(1),C210="Dublagem Cretone",(180),C210="Malha",(1),C210="Dublagem Spun - MO",250,C210="Dublagem Cretone - MO",180,C210="Dublagem Cretone PES - MO",180,C210="Espelhamento - MO",250,C210="Emborrachamento",100,C210="Malha",0,C210="Dublagem Barreira",100,C210="Pel. + Cal.",350,C210="Fel. + Pel. + Cal.",270,C210="Pel. + Spun",250,C210="Espelhamento - L: 1,45m",200,C210="Espelhamento - L: 1,65m",200,C210="Estampagem",100,C210="Fel. + Cal.",270,C210="Dublagem Juta",180,C210="Dublagem Cretone - MO (Juta)",180,C210="Dublagem Tapete",150,C210="Esp. + Pel.",200,C210="Espelhamento 2x",100)</f>
        <v>150</v>
      </c>
      <c r="S210" s="50">
        <f t="shared" si="74"/>
        <v>314.916</v>
      </c>
      <c r="T210" s="18" cm="1">
        <f t="array" ref="T210">_xlfn.IFS(C210="Calandra",0.4,C210="Felpagem",0.3,C210="Dublagem Spun",0.8,C210="Dublagem Cretone",0.8,C210="Dublagem Cretone PES",0.8,C210="Espelhamento",0.8,C210="Peletização",0.5,C210="Dublagem Spun - MO",0.8,C210="Dublagem Cretone - MO",0.8,C210="Dublagem Cretone PES - MO",0.8,C210="Espelhamento - MO",0.8,C210="Emborrachamento",1,C210="Malha",0,C210="Dublagem Barreira",1,C210="Pel. + Cal.",0.4,C210="Fel. + Pel. + Cal.",0.5,C210="Pel. + Spun",0.8,C210="Espelhamento - L: 1,45m",0.8,C210="Espelhamento - L: 1,65m",0.8,C210="Estampagem",1,C210="Fel. + Cal.",0.4,C210="Dublagem Juta",0.8,C210="Dublagem Cretone - MO (Juta)",0.8,C210="Dublagem Tapete",0.8,C210="Esp. + Pel.",0.8,C210="Espelhamento 2x",0.8)</f>
        <v>0.8</v>
      </c>
      <c r="U210" s="18">
        <v>1</v>
      </c>
      <c r="V210" s="18">
        <v>1</v>
      </c>
      <c r="W210" s="18"/>
      <c r="X210" s="18">
        <v>39.67</v>
      </c>
      <c r="Y210" s="18">
        <v>38.51</v>
      </c>
      <c r="Z210" s="18">
        <v>116.78</v>
      </c>
      <c r="AA210" s="18"/>
    </row>
    <row r="211" spans="1:27" ht="14.25" customHeight="1" x14ac:dyDescent="0.35">
      <c r="A211" s="18"/>
      <c r="B211" s="22" t="s">
        <v>336</v>
      </c>
      <c r="C211" s="23" t="s">
        <v>286</v>
      </c>
      <c r="D211" s="23" t="s">
        <v>373</v>
      </c>
      <c r="E211" s="24">
        <v>1</v>
      </c>
      <c r="F211" s="35"/>
      <c r="G211" s="25">
        <v>3.29</v>
      </c>
      <c r="H211" s="26" t="s">
        <v>243</v>
      </c>
      <c r="I211" s="27">
        <f t="shared" si="84"/>
        <v>3.29</v>
      </c>
      <c r="J211" s="28">
        <v>45663</v>
      </c>
      <c r="K211" s="36" t="s">
        <v>339</v>
      </c>
      <c r="L211" s="30">
        <f t="shared" si="85"/>
        <v>1.7762</v>
      </c>
      <c r="M211" s="30">
        <f>'Custos insumos'!H6</f>
        <v>1.5138</v>
      </c>
      <c r="N211" s="30">
        <f>IF(B211="Texion Textil",0,IF(B211="Três Elos",0,IF(C211="Malha",0,IF(C211="Dublagem Cretone",'Custos insumos'!$D$23,IF(C211="Dublagem Spun",'Custos insumos'!$D$16,IF(C211="Espelhamento",0,IF(C211="Espelhamento 2x",0,IF(C211="Esp. + Pel.",0,IF(C211="Pel. + Spun",'Custos insumos'!$D$16,IF(C211="Dublagem Cretone PES",'Custos insumos'!$F$25,IF(C211="Dublagem Barreira",'Custos insumos'!$D$22,)))))))))))</f>
        <v>0</v>
      </c>
      <c r="O211" s="18"/>
      <c r="P211" s="53">
        <f t="shared" si="72"/>
        <v>0.16089969604863222</v>
      </c>
      <c r="Q211" s="50">
        <f t="shared" si="73"/>
        <v>493.5</v>
      </c>
      <c r="R211" s="50" cm="1">
        <f t="array" ref="R211">_xlfn.IFS(C211="Calandra",(350),C211="Peletização",(421),C211="Dublagem Spun",(250),C211="Dublagem Cretone PES",(180),C211="Felpagem",(270/E211),C211="Emborrachamento",(200),C211="Espelhamento",(250),C211="Malha",(1),C211="Dublagem Cretone",(180),C211="Malha",(1),C211="Dublagem Spun - MO",250,C211="Dublagem Cretone - MO",180,C211="Dublagem Cretone PES - MO",180,C211="Espelhamento - MO",250,C211="Emborrachamento",100,C211="Malha",0,C211="Dublagem Barreira",100,C211="Pel. + Cal.",350,C211="Fel. + Pel. + Cal.",270,C211="Pel. + Spun",250,C211="Espelhamento - L: 1,45m",200,C211="Espelhamento - L: 1,65m",200,C211="Estampagem",100,C211="Fel. + Cal.",270,C211="Dublagem Juta",180,C211="Dublagem Cretone - MO (Juta)",180,C211="Dublagem Tapete",150,C211="Esp. + Pel.",200,C211="Espelhamento 2x",100)</f>
        <v>150</v>
      </c>
      <c r="S211" s="50">
        <f t="shared" si="74"/>
        <v>414.096</v>
      </c>
      <c r="T211" s="18" cm="1">
        <f t="array" ref="T211">_xlfn.IFS(C211="Calandra",0.4,C211="Felpagem",0.3,C211="Dublagem Spun",0.8,C211="Dublagem Cretone",0.8,C211="Dublagem Cretone PES",0.8,C211="Espelhamento",0.8,C211="Peletização",0.5,C211="Dublagem Spun - MO",0.8,C211="Dublagem Cretone - MO",0.8,C211="Dublagem Cretone PES - MO",0.8,C211="Espelhamento - MO",0.8,C211="Emborrachamento",1,C211="Malha",0,C211="Dublagem Barreira",1,C211="Pel. + Cal.",0.4,C211="Fel. + Pel. + Cal.",0.5,C211="Pel. + Spun",0.8,C211="Espelhamento - L: 1,45m",0.8,C211="Espelhamento - L: 1,65m",0.8,C211="Estampagem",1,C211="Fel. + Cal.",0.4,C211="Dublagem Juta",0.8,C211="Dublagem Cretone - MO (Juta)",0.8,C211="Dublagem Tapete",0.8,C211="Esp. + Pel.",0.8,C211="Espelhamento 2x",0.8)</f>
        <v>0.8</v>
      </c>
      <c r="U211" s="18">
        <v>1</v>
      </c>
      <c r="V211" s="18">
        <v>1</v>
      </c>
      <c r="W211" s="18"/>
      <c r="X211" s="18">
        <v>39.67</v>
      </c>
      <c r="Y211" s="18">
        <v>38.51</v>
      </c>
      <c r="Z211" s="18">
        <v>116.78</v>
      </c>
      <c r="AA211" s="18"/>
    </row>
    <row r="212" spans="1:27" ht="14.25" customHeight="1" x14ac:dyDescent="0.35">
      <c r="A212" s="18"/>
      <c r="B212" s="22" t="s">
        <v>336</v>
      </c>
      <c r="C212" s="23" t="s">
        <v>286</v>
      </c>
      <c r="D212" s="23" t="s">
        <v>416</v>
      </c>
      <c r="E212" s="24">
        <v>1</v>
      </c>
      <c r="F212" s="35">
        <f>1.3+1.12+0.55</f>
        <v>2.9699999999999998</v>
      </c>
      <c r="G212" s="25">
        <v>3.42</v>
      </c>
      <c r="H212" s="26" t="s">
        <v>243</v>
      </c>
      <c r="I212" s="27">
        <f t="shared" si="84"/>
        <v>3.42</v>
      </c>
      <c r="J212" s="28">
        <v>45663</v>
      </c>
      <c r="K212" s="36" t="s">
        <v>342</v>
      </c>
      <c r="L212" s="30">
        <f t="shared" si="85"/>
        <v>1.7174</v>
      </c>
      <c r="M212" s="30">
        <f>'Custos insumos'!H3</f>
        <v>0.85260000000000002</v>
      </c>
      <c r="N212" s="30">
        <v>0.85</v>
      </c>
      <c r="O212" s="18"/>
      <c r="P212" s="53">
        <f t="shared" si="72"/>
        <v>0.13759064327485382</v>
      </c>
      <c r="Q212" s="50">
        <f t="shared" si="73"/>
        <v>513</v>
      </c>
      <c r="R212" s="50" cm="1">
        <f t="array" ref="R212">_xlfn.IFS(C212="Calandra",(350),C212="Peletização",(421),C212="Dublagem Spun",(250),C212="Dublagem Cretone PES",(180),C212="Felpagem",(270/E212),C212="Emborrachamento",(200),C212="Espelhamento",(250),C212="Malha",(1),C212="Dublagem Cretone",(180),C212="Malha",(1),C212="Dublagem Spun - MO",250,C212="Dublagem Cretone - MO",180,C212="Dublagem Cretone PES - MO",180,C212="Espelhamento - MO",250,C212="Emborrachamento",100,C212="Malha",0,C212="Dublagem Barreira",100,C212="Pel. + Cal.",350,C212="Fel. + Pel. + Cal.",270,C212="Pel. + Spun",250,C212="Espelhamento - L: 1,45m",200,C212="Espelhamento - L: 1,65m",200,C212="Estampagem",100,C212="Fel. + Cal.",270,C212="Dublagem Juta",180,C212="Dublagem Cretone - MO (Juta)",180,C212="Dublagem Tapete",150,C212="Esp. + Pel.",200,C212="Espelhamento 2x",100)</f>
        <v>150</v>
      </c>
      <c r="S212" s="50">
        <f t="shared" si="74"/>
        <v>442.416</v>
      </c>
      <c r="T212" s="18" cm="1">
        <f t="array" ref="T212">_xlfn.IFS(C212="Calandra",0.4,C212="Felpagem",0.3,C212="Dublagem Spun",0.8,C212="Dublagem Cretone",0.8,C212="Dublagem Cretone PES",0.8,C212="Espelhamento",0.8,C212="Peletização",0.5,C212="Dublagem Spun - MO",0.8,C212="Dublagem Cretone - MO",0.8,C212="Dublagem Cretone PES - MO",0.8,C212="Espelhamento - MO",0.8,C212="Emborrachamento",1,C212="Malha",0,C212="Dublagem Barreira",1,C212="Pel. + Cal.",0.4,C212="Fel. + Pel. + Cal.",0.5,C212="Pel. + Spun",0.8,C212="Espelhamento - L: 1,45m",0.8,C212="Espelhamento - L: 1,65m",0.8,C212="Estampagem",1,C212="Fel. + Cal.",0.4,C212="Dublagem Juta",0.8,C212="Dublagem Cretone - MO (Juta)",0.8,C212="Dublagem Tapete",0.8,C212="Esp. + Pel.",0.8,C212="Espelhamento 2x",0.8)</f>
        <v>0.8</v>
      </c>
      <c r="U212" s="18">
        <v>1</v>
      </c>
      <c r="V212" s="18">
        <v>1</v>
      </c>
      <c r="W212" s="18"/>
      <c r="X212" s="18">
        <v>39.67</v>
      </c>
      <c r="Y212" s="18">
        <v>38.51</v>
      </c>
      <c r="Z212" s="18">
        <v>116.78</v>
      </c>
      <c r="AA212" s="18"/>
    </row>
    <row r="213" spans="1:27" ht="14.25" customHeight="1" x14ac:dyDescent="0.35">
      <c r="A213" s="18"/>
      <c r="B213" s="43" t="s">
        <v>343</v>
      </c>
      <c r="C213" s="32" t="s">
        <v>344</v>
      </c>
      <c r="D213" s="32"/>
      <c r="E213" s="24">
        <v>1</v>
      </c>
      <c r="F213" s="35">
        <v>3.05</v>
      </c>
      <c r="G213" s="25">
        <f t="shared" ref="G213:G218" si="95">F213</f>
        <v>3.05</v>
      </c>
      <c r="H213" s="26" t="s">
        <v>243</v>
      </c>
      <c r="I213" s="27"/>
      <c r="J213" s="28">
        <v>45663</v>
      </c>
      <c r="K213" s="36"/>
      <c r="L213" s="30">
        <f t="shared" si="85"/>
        <v>1.484</v>
      </c>
      <c r="M213" s="30">
        <f>'Custos insumos'!F7</f>
        <v>1.5659999999999998</v>
      </c>
      <c r="N213" s="30"/>
      <c r="O213" s="18"/>
      <c r="P213" s="53" t="e">
        <f t="shared" si="72"/>
        <v>#N/A</v>
      </c>
      <c r="Q213" s="50" t="e">
        <f t="shared" si="73"/>
        <v>#N/A</v>
      </c>
      <c r="R213" s="50" t="e" cm="1">
        <f t="array" ref="R213">_xlfn.IFS(C213="Calandra",(350),C213="Peletização",(421),C213="Dublagem Spun",(250),C213="Dublagem Cretone PES",(180),C213="Felpagem",(270/E213),C213="Emborrachamento",(200),C213="Espelhamento",(250),C213="Malha",(1),C213="Dublagem Cretone",(180),C213="Malha",(1),C213="Dublagem Spun - MO",250,C213="Dublagem Cretone - MO",180,C213="Dublagem Cretone PES - MO",180,C213="Espelhamento - MO",250,C213="Emborrachamento",100,C213="Malha",0,C213="Dublagem Barreira",100,C213="Pel. + Cal.",350,C213="Fel. + Pel. + Cal.",270,C213="Pel. + Spun",250,C213="Espelhamento - L: 1,45m",200,C213="Espelhamento - L: 1,65m",200,C213="Estampagem",100,C213="Fel. + Cal.",270,C213="Dublagem Juta",180,C213="Dublagem Cretone - MO (Juta)",180,C213="Dublagem Tapete",150,C213="Esp. + Pel.",200,C213="Espelhamento 2x",100)</f>
        <v>#N/A</v>
      </c>
      <c r="S213" s="50" t="e">
        <f t="shared" si="74"/>
        <v>#N/A</v>
      </c>
      <c r="T213" s="18" t="e" cm="1">
        <f t="array" ref="T213">_xlfn.IFS(C213="Calandra",0.4,C213="Felpagem",0.3,C213="Dublagem Spun",0.8,C213="Dublagem Cretone",0.8,C213="Dublagem Cretone PES",0.8,C213="Espelhamento",0.8,C213="Peletização",0.5,C213="Dublagem Spun - MO",0.8,C213="Dublagem Cretone - MO",0.8,C213="Dublagem Cretone PES - MO",0.8,C213="Espelhamento - MO",0.8,C213="Emborrachamento",1,C213="Malha",0,C213="Dublagem Barreira",1,C213="Pel. + Cal.",0.4,C213="Fel. + Pel. + Cal.",0.5,C213="Pel. + Spun",0.8,C213="Espelhamento - L: 1,45m",0.8,C213="Espelhamento - L: 1,65m",0.8,C213="Estampagem",1,C213="Fel. + Cal.",0.4,C213="Dublagem Juta",0.8,C213="Dublagem Cretone - MO (Juta)",0.8,C213="Dublagem Tapete",0.8,C213="Esp. + Pel.",0.8,C213="Espelhamento 2x",0.8)</f>
        <v>#N/A</v>
      </c>
      <c r="U213" s="18">
        <v>1</v>
      </c>
      <c r="V213" s="18">
        <v>1</v>
      </c>
      <c r="W213" s="18"/>
      <c r="X213" s="18">
        <v>39.67</v>
      </c>
      <c r="Y213" s="18">
        <v>38.51</v>
      </c>
      <c r="Z213" s="18">
        <v>116.78</v>
      </c>
      <c r="AA213" s="18"/>
    </row>
    <row r="214" spans="1:27" ht="14.25" customHeight="1" x14ac:dyDescent="0.35">
      <c r="A214" s="18"/>
      <c r="B214" s="43" t="s">
        <v>343</v>
      </c>
      <c r="C214" s="32" t="s">
        <v>345</v>
      </c>
      <c r="D214" s="32"/>
      <c r="E214" s="24">
        <v>1</v>
      </c>
      <c r="F214" s="35">
        <v>3.7</v>
      </c>
      <c r="G214" s="25">
        <f t="shared" si="95"/>
        <v>3.7</v>
      </c>
      <c r="H214" s="26" t="s">
        <v>243</v>
      </c>
      <c r="I214" s="27"/>
      <c r="J214" s="28">
        <v>45663</v>
      </c>
      <c r="K214" s="36"/>
      <c r="L214" s="30">
        <f t="shared" si="85"/>
        <v>1.4680000000000004</v>
      </c>
      <c r="M214" s="30">
        <f>'Custos insumos'!F9</f>
        <v>2.2319999999999998</v>
      </c>
      <c r="N214" s="30"/>
      <c r="O214" s="18"/>
      <c r="P214" s="53" t="e">
        <f t="shared" si="72"/>
        <v>#N/A</v>
      </c>
      <c r="Q214" s="50" t="e">
        <f t="shared" si="73"/>
        <v>#N/A</v>
      </c>
      <c r="R214" s="50" t="e" cm="1">
        <f t="array" ref="R214">_xlfn.IFS(C214="Calandra",(350),C214="Peletização",(421),C214="Dublagem Spun",(250),C214="Dublagem Cretone PES",(180),C214="Felpagem",(270/E214),C214="Emborrachamento",(200),C214="Espelhamento",(250),C214="Malha",(1),C214="Dublagem Cretone",(180),C214="Malha",(1),C214="Dublagem Spun - MO",250,C214="Dublagem Cretone - MO",180,C214="Dublagem Cretone PES - MO",180,C214="Espelhamento - MO",250,C214="Emborrachamento",100,C214="Malha",0,C214="Dublagem Barreira",100,C214="Pel. + Cal.",350,C214="Fel. + Pel. + Cal.",270,C214="Pel. + Spun",250,C214="Espelhamento - L: 1,45m",200,C214="Espelhamento - L: 1,65m",200,C214="Estampagem",100,C214="Fel. + Cal.",270,C214="Dublagem Juta",180,C214="Dublagem Cretone - MO (Juta)",180,C214="Dublagem Tapete",150,C214="Esp. + Pel.",200,C214="Espelhamento 2x",100)</f>
        <v>#N/A</v>
      </c>
      <c r="S214" s="50" t="e">
        <f t="shared" si="74"/>
        <v>#N/A</v>
      </c>
      <c r="T214" s="18" t="e" cm="1">
        <f t="array" ref="T214">_xlfn.IFS(C214="Calandra",0.4,C214="Felpagem",0.3,C214="Dublagem Spun",0.8,C214="Dublagem Cretone",0.8,C214="Dublagem Cretone PES",0.8,C214="Espelhamento",0.8,C214="Peletização",0.5,C214="Dublagem Spun - MO",0.8,C214="Dublagem Cretone - MO",0.8,C214="Dublagem Cretone PES - MO",0.8,C214="Espelhamento - MO",0.8,C214="Emborrachamento",1,C214="Malha",0,C214="Dublagem Barreira",1,C214="Pel. + Cal.",0.4,C214="Fel. + Pel. + Cal.",0.5,C214="Pel. + Spun",0.8,C214="Espelhamento - L: 1,45m",0.8,C214="Espelhamento - L: 1,65m",0.8,C214="Estampagem",1,C214="Fel. + Cal.",0.4,C214="Dublagem Juta",0.8,C214="Dublagem Cretone - MO (Juta)",0.8,C214="Dublagem Tapete",0.8,C214="Esp. + Pel.",0.8,C214="Espelhamento 2x",0.8)</f>
        <v>#N/A</v>
      </c>
      <c r="U214" s="18">
        <v>1</v>
      </c>
      <c r="V214" s="18">
        <v>1</v>
      </c>
      <c r="W214" s="18"/>
      <c r="X214" s="18">
        <v>39.67</v>
      </c>
      <c r="Y214" s="18">
        <v>38.51</v>
      </c>
      <c r="Z214" s="18">
        <v>116.78</v>
      </c>
      <c r="AA214" s="18"/>
    </row>
    <row r="215" spans="1:27" ht="14.25" customHeight="1" x14ac:dyDescent="0.35">
      <c r="A215" s="18"/>
      <c r="B215" s="43" t="s">
        <v>343</v>
      </c>
      <c r="C215" s="32" t="s">
        <v>346</v>
      </c>
      <c r="D215" s="32"/>
      <c r="E215" s="24">
        <v>1</v>
      </c>
      <c r="F215" s="35">
        <v>4.5999999999999996</v>
      </c>
      <c r="G215" s="25">
        <f t="shared" si="95"/>
        <v>4.5999999999999996</v>
      </c>
      <c r="H215" s="26" t="s">
        <v>243</v>
      </c>
      <c r="I215" s="27"/>
      <c r="J215" s="28">
        <v>45663</v>
      </c>
      <c r="K215" s="36"/>
      <c r="L215" s="30">
        <f t="shared" si="85"/>
        <v>1.4679999999999995</v>
      </c>
      <c r="M215" s="30">
        <f>'Custos insumos'!F10</f>
        <v>3.1320000000000001</v>
      </c>
      <c r="N215" s="30"/>
      <c r="O215" s="18"/>
      <c r="P215" s="53" t="e">
        <f t="shared" si="72"/>
        <v>#N/A</v>
      </c>
      <c r="Q215" s="50" t="e">
        <f t="shared" si="73"/>
        <v>#N/A</v>
      </c>
      <c r="R215" s="50" t="e" cm="1">
        <f t="array" ref="R215">_xlfn.IFS(C215="Calandra",(350),C215="Peletização",(421),C215="Dublagem Spun",(250),C215="Dublagem Cretone PES",(180),C215="Felpagem",(270/E215),C215="Emborrachamento",(200),C215="Espelhamento",(250),C215="Malha",(1),C215="Dublagem Cretone",(180),C215="Malha",(1),C215="Dublagem Spun - MO",250,C215="Dublagem Cretone - MO",180,C215="Dublagem Cretone PES - MO",180,C215="Espelhamento - MO",250,C215="Emborrachamento",100,C215="Malha",0,C215="Dublagem Barreira",100,C215="Pel. + Cal.",350,C215="Fel. + Pel. + Cal.",270,C215="Pel. + Spun",250,C215="Espelhamento - L: 1,45m",200,C215="Espelhamento - L: 1,65m",200,C215="Estampagem",100,C215="Fel. + Cal.",270,C215="Dublagem Juta",180,C215="Dublagem Cretone - MO (Juta)",180,C215="Dublagem Tapete",150,C215="Esp. + Pel.",200,C215="Espelhamento 2x",100)</f>
        <v>#N/A</v>
      </c>
      <c r="S215" s="50" t="e">
        <f t="shared" si="74"/>
        <v>#N/A</v>
      </c>
      <c r="T215" s="18" t="e" cm="1">
        <f t="array" ref="T215">_xlfn.IFS(C215="Calandra",0.4,C215="Felpagem",0.3,C215="Dublagem Spun",0.8,C215="Dublagem Cretone",0.8,C215="Dublagem Cretone PES",0.8,C215="Espelhamento",0.8,C215="Peletização",0.5,C215="Dublagem Spun - MO",0.8,C215="Dublagem Cretone - MO",0.8,C215="Dublagem Cretone PES - MO",0.8,C215="Espelhamento - MO",0.8,C215="Emborrachamento",1,C215="Malha",0,C215="Dublagem Barreira",1,C215="Pel. + Cal.",0.4,C215="Fel. + Pel. + Cal.",0.5,C215="Pel. + Spun",0.8,C215="Espelhamento - L: 1,45m",0.8,C215="Espelhamento - L: 1,65m",0.8,C215="Estampagem",1,C215="Fel. + Cal.",0.4,C215="Dublagem Juta",0.8,C215="Dublagem Cretone - MO (Juta)",0.8,C215="Dublagem Tapete",0.8,C215="Esp. + Pel.",0.8,C215="Espelhamento 2x",0.8)</f>
        <v>#N/A</v>
      </c>
      <c r="U215" s="18">
        <v>1</v>
      </c>
      <c r="V215" s="18">
        <v>1</v>
      </c>
      <c r="W215" s="18"/>
      <c r="X215" s="18">
        <v>39.67</v>
      </c>
      <c r="Y215" s="18">
        <v>38.51</v>
      </c>
      <c r="Z215" s="18">
        <v>116.78</v>
      </c>
      <c r="AA215" s="18"/>
    </row>
    <row r="216" spans="1:27" ht="14.25" customHeight="1" x14ac:dyDescent="0.35">
      <c r="A216" s="18"/>
      <c r="B216" s="43" t="s">
        <v>231</v>
      </c>
      <c r="C216" s="32" t="s">
        <v>142</v>
      </c>
      <c r="D216" s="32"/>
      <c r="E216" s="33">
        <v>1</v>
      </c>
      <c r="F216" s="35">
        <v>0.65</v>
      </c>
      <c r="G216" s="25">
        <f t="shared" si="95"/>
        <v>0.65</v>
      </c>
      <c r="H216" s="26" t="s">
        <v>243</v>
      </c>
      <c r="I216" s="27">
        <f t="shared" ref="I216:I233" si="96">G216/E216</f>
        <v>0.65</v>
      </c>
      <c r="J216" s="28">
        <v>45663</v>
      </c>
      <c r="K216" s="36"/>
      <c r="L216" s="30">
        <f t="shared" si="85"/>
        <v>0.65</v>
      </c>
      <c r="M216" s="30">
        <f>IF(B216="Texion Textil",0,IF(C216="Malha",'Custos insumos'!$B$24,IF(C216="Dublagem Cretone",'Custos insumos'!$D$7,IF(C216="Dublagem Spun",'Custos insumos'!$D$4,IF(C216="Espelhamento",'Custos insumos'!$B$11,IF(C216="Espelhamento 2x",2*'Custos insumos'!$B$11,IF(C216="Esp. + Pel.",'Custos insumos'!$B$11,IF(C216="Pel. + Spun",'Custos insumos'!$D$4,IF(C216="Dublagem Cretone PES",'Custos insumos'!$D$7,IF(C216="Dublagem Barreira",'Custos insumos'!$D$11,IF(C216="Dublagem - MO + Filme",'Custos insumos'!$D$4,IF(C216="Dublagem Cretone HM50",'Custos insumos'!$F$9,IF(C216="Dublagem Cretone HM70",'Custos insumos'!$F$10,)))))))))))))</f>
        <v>0</v>
      </c>
      <c r="N216" s="30">
        <f>IF(B216="Texion Textil",0,IF(B216="Três Elos",0,IF(C216="Malha",0,IF(C216="Dublagem Cretone",'Custos insumos'!$D$23,IF(C216="Dublagem Spun",'Custos insumos'!$D$16,IF(C216="Espelhamento",0,IF(C216="Espelhamento 2x",0,IF(C216="Esp. + Pel.",0,IF(C216="Pel. + Spun",'Custos insumos'!$D$16,IF(C216="Dublagem Cretone PES",'Custos insumos'!$F$25,IF(C216="Dublagem Barreira",'Custos insumos'!$D$22,)))))))))))</f>
        <v>0</v>
      </c>
      <c r="O216" s="18"/>
      <c r="P216" s="53">
        <f t="shared" si="72"/>
        <v>0.2476571428571428</v>
      </c>
      <c r="Q216" s="50">
        <f t="shared" si="73"/>
        <v>227.5</v>
      </c>
      <c r="R216" s="50" cm="1">
        <f t="array" ref="R216">_xlfn.IFS(C216="Calandra",(350),C216="Peletização",(421),C216="Dublagem Spun",(250),C216="Dublagem Cretone PES",(180),C216="Felpagem",(270/E216),C216="Emborrachamento",(200),C216="Espelhamento",(250),C216="Malha",(1),C216="Dublagem Cretone",(180),C216="Malha",(1),C216="Dublagem Spun - MO",250,C216="Dublagem Cretone - MO",180,C216="Dublagem Cretone PES - MO",180,C216="Espelhamento - MO",250,C216="Emborrachamento",100,C216="Malha",0,C216="Dublagem Barreira",100,C216="Pel. + Cal.",350,C216="Fel. + Pel. + Cal.",270,C216="Pel. + Spun",250,C216="Espelhamento - L: 1,45m",200,C216="Espelhamento - L: 1,65m",200,C216="Estampagem",100,C216="Fel. + Cal.",270,C216="Dublagem Juta",180,C216="Dublagem Cretone - MO (Juta)",180,C216="Dublagem Tapete",150,C216="Esp. + Pel.",200,C216="Espelhamento 2x",100)</f>
        <v>350</v>
      </c>
      <c r="S216" s="50">
        <f t="shared" si="74"/>
        <v>171.15800000000002</v>
      </c>
      <c r="T216" s="18" cm="1">
        <f t="array" ref="T216">_xlfn.IFS(C216="Calandra",0.4,C216="Felpagem",0.3,C216="Dublagem Spun",0.8,C216="Dublagem Cretone",0.8,C216="Dublagem Cretone PES",0.8,C216="Espelhamento",0.8,C216="Peletização",0.5,C216="Dublagem Spun - MO",0.8,C216="Dublagem Cretone - MO",0.8,C216="Dublagem Cretone PES - MO",0.8,C216="Espelhamento - MO",0.8,C216="Emborrachamento",1,C216="Malha",0,C216="Dublagem Barreira",1,C216="Pel. + Cal.",0.4,C216="Fel. + Pel. + Cal.",0.5,C216="Pel. + Spun",0.8,C216="Espelhamento - L: 1,45m",0.8,C216="Espelhamento - L: 1,65m",0.8,C216="Estampagem",1,C216="Fel. + Cal.",0.4,C216="Dublagem Juta",0.8,C216="Dublagem Cretone - MO (Juta)",0.8,C216="Dublagem Tapete",0.8,C216="Esp. + Pel.",0.8,C216="Espelhamento 2x",0.8)</f>
        <v>0.4</v>
      </c>
      <c r="U216" s="18">
        <v>1</v>
      </c>
      <c r="V216" s="18">
        <v>1</v>
      </c>
      <c r="W216" s="18"/>
      <c r="X216" s="18">
        <v>39.67</v>
      </c>
      <c r="Y216" s="18">
        <v>38.51</v>
      </c>
      <c r="Z216" s="18">
        <v>116.78</v>
      </c>
      <c r="AA216" s="18"/>
    </row>
    <row r="217" spans="1:27" ht="14.25" customHeight="1" x14ac:dyDescent="0.35">
      <c r="A217" s="18"/>
      <c r="B217" s="43" t="s">
        <v>347</v>
      </c>
      <c r="C217" s="32" t="s">
        <v>142</v>
      </c>
      <c r="D217" s="32"/>
      <c r="E217" s="33">
        <v>1</v>
      </c>
      <c r="F217" s="35">
        <v>0.9</v>
      </c>
      <c r="G217" s="25">
        <f t="shared" si="95"/>
        <v>0.9</v>
      </c>
      <c r="H217" s="26" t="s">
        <v>243</v>
      </c>
      <c r="I217" s="27">
        <f t="shared" si="96"/>
        <v>0.9</v>
      </c>
      <c r="J217" s="28">
        <v>45663</v>
      </c>
      <c r="K217" s="36"/>
      <c r="L217" s="30">
        <f t="shared" si="85"/>
        <v>0.9</v>
      </c>
      <c r="M217" s="30">
        <f>IF(B217="Texion Textil",0,IF(C217="Malha",'Custos insumos'!$B$24,IF(C217="Dublagem Cretone",'Custos insumos'!$D$7,IF(C217="Dublagem Spun",'Custos insumos'!$D$4,IF(C217="Espelhamento",'Custos insumos'!$B$11,IF(C217="Espelhamento 2x",2*'Custos insumos'!$B$11,IF(C217="Esp. + Pel.",'Custos insumos'!$B$11,IF(C217="Pel. + Spun",'Custos insumos'!$D$4,IF(C217="Dublagem Cretone PES",'Custos insumos'!$D$7,IF(C217="Dublagem Barreira",'Custos insumos'!$D$11,IF(C217="Dublagem - MO + Filme",'Custos insumos'!$D$4,IF(C217="Dublagem Cretone HM50",'Custos insumos'!$F$9,IF(C217="Dublagem Cretone HM70",'Custos insumos'!$F$10,)))))))))))))</f>
        <v>0</v>
      </c>
      <c r="N217" s="30">
        <f>IF(B217="Texion Textil",0,IF(B217="Três Elos",0,IF(C217="Malha",0,IF(C217="Dublagem Cretone",'Custos insumos'!$D$23,IF(C217="Dublagem Spun",'Custos insumos'!$D$16,IF(C217="Espelhamento",0,IF(C217="Espelhamento 2x",0,IF(C217="Esp. + Pel.",0,IF(C217="Pel. + Spun",'Custos insumos'!$D$16,IF(C217="Dublagem Cretone PES",'Custos insumos'!$F$25,IF(C217="Dublagem Barreira",'Custos insumos'!$D$22,)))))))))))</f>
        <v>0</v>
      </c>
      <c r="O217" s="18"/>
      <c r="P217" s="53">
        <f t="shared" si="72"/>
        <v>0.45664126984126979</v>
      </c>
      <c r="Q217" s="50">
        <f t="shared" si="73"/>
        <v>315</v>
      </c>
      <c r="R217" s="50" cm="1">
        <f t="array" ref="R217">_xlfn.IFS(C217="Calandra",(350),C217="Peletização",(421),C217="Dublagem Spun",(250),C217="Dublagem Cretone PES",(180),C217="Felpagem",(270/E217),C217="Emborrachamento",(200),C217="Espelhamento",(250),C217="Malha",(1),C217="Dublagem Cretone",(180),C217="Malha",(1),C217="Dublagem Spun - MO",250,C217="Dublagem Cretone - MO",180,C217="Dublagem Cretone PES - MO",180,C217="Espelhamento - MO",250,C217="Emborrachamento",100,C217="Malha",0,C217="Dublagem Barreira",100,C217="Pel. + Cal.",350,C217="Fel. + Pel. + Cal.",270,C217="Pel. + Spun",250,C217="Espelhamento - L: 1,45m",200,C217="Espelhamento - L: 1,65m",200,C217="Estampagem",100,C217="Fel. + Cal.",270,C217="Dublagem Juta",180,C217="Dublagem Cretone - MO (Juta)",180,C217="Dublagem Tapete",150,C217="Esp. + Pel.",200,C217="Espelhamento 2x",100)</f>
        <v>350</v>
      </c>
      <c r="S217" s="50">
        <f t="shared" si="74"/>
        <v>171.15800000000002</v>
      </c>
      <c r="T217" s="18" cm="1">
        <f t="array" ref="T217">_xlfn.IFS(C217="Calandra",0.4,C217="Felpagem",0.3,C217="Dublagem Spun",0.8,C217="Dublagem Cretone",0.8,C217="Dublagem Cretone PES",0.8,C217="Espelhamento",0.8,C217="Peletização",0.5,C217="Dublagem Spun - MO",0.8,C217="Dublagem Cretone - MO",0.8,C217="Dublagem Cretone PES - MO",0.8,C217="Espelhamento - MO",0.8,C217="Emborrachamento",1,C217="Malha",0,C217="Dublagem Barreira",1,C217="Pel. + Cal.",0.4,C217="Fel. + Pel. + Cal.",0.5,C217="Pel. + Spun",0.8,C217="Espelhamento - L: 1,45m",0.8,C217="Espelhamento - L: 1,65m",0.8,C217="Estampagem",1,C217="Fel. + Cal.",0.4,C217="Dublagem Juta",0.8,C217="Dublagem Cretone - MO (Juta)",0.8,C217="Dublagem Tapete",0.8,C217="Esp. + Pel.",0.8,C217="Espelhamento 2x",0.8)</f>
        <v>0.4</v>
      </c>
      <c r="U217" s="18">
        <v>1</v>
      </c>
      <c r="V217" s="18">
        <v>1</v>
      </c>
      <c r="W217" s="18"/>
      <c r="X217" s="18">
        <v>39.67</v>
      </c>
      <c r="Y217" s="18">
        <v>38.51</v>
      </c>
      <c r="Z217" s="18">
        <v>116.78</v>
      </c>
      <c r="AA217" s="18"/>
    </row>
    <row r="218" spans="1:27" ht="14.25" customHeight="1" x14ac:dyDescent="0.35">
      <c r="A218" s="18"/>
      <c r="B218" s="43" t="s">
        <v>347</v>
      </c>
      <c r="C218" s="32" t="s">
        <v>144</v>
      </c>
      <c r="D218" s="32"/>
      <c r="E218" s="33">
        <v>1</v>
      </c>
      <c r="F218" s="35">
        <v>0.55000000000000004</v>
      </c>
      <c r="G218" s="25">
        <f t="shared" si="95"/>
        <v>0.55000000000000004</v>
      </c>
      <c r="H218" s="26" t="s">
        <v>243</v>
      </c>
      <c r="I218" s="27">
        <f t="shared" si="96"/>
        <v>0.55000000000000004</v>
      </c>
      <c r="J218" s="28">
        <v>45663</v>
      </c>
      <c r="K218" s="36"/>
      <c r="L218" s="30">
        <f t="shared" si="85"/>
        <v>0.55000000000000004</v>
      </c>
      <c r="M218" s="30">
        <f>IF(B218="Texion Textil",0,IF(C218="Malha",'Custos insumos'!$B$24,IF(C218="Dublagem Cretone",'Custos insumos'!$D$7,IF(C218="Dublagem Spun",'Custos insumos'!$D$4,IF(C218="Espelhamento",'Custos insumos'!$B$11,IF(C218="Espelhamento 2x",2*'Custos insumos'!$B$11,IF(C218="Esp. + Pel.",'Custos insumos'!$B$11,IF(C218="Pel. + Spun",'Custos insumos'!$D$4,IF(C218="Dublagem Cretone PES",'Custos insumos'!$D$7,IF(C218="Dublagem Barreira",'Custos insumos'!$D$11,IF(C218="Dublagem - MO + Filme",'Custos insumos'!$D$4,IF(C218="Dublagem Cretone HM50",'Custos insumos'!$F$9,IF(C218="Dublagem Cretone HM70",'Custos insumos'!$F$10,)))))))))))))</f>
        <v>0</v>
      </c>
      <c r="N218" s="30">
        <f>IF(B218="Texion Textil",0,IF(B218="Três Elos",0,IF(C218="Malha",0,IF(C218="Dublagem Cretone",'Custos insumos'!$D$23,IF(C218="Dublagem Spun",'Custos insumos'!$D$16,IF(C218="Espelhamento",0,IF(C218="Espelhamento 2x",0,IF(C218="Esp. + Pel.",0,IF(C218="Pel. + Spun",'Custos insumos'!$D$16,IF(C218="Dublagem Cretone PES",'Custos insumos'!$F$25,IF(C218="Dublagem Barreira",'Custos insumos'!$D$22,)))))))))))</f>
        <v>0</v>
      </c>
      <c r="O218" s="18"/>
      <c r="P218" s="53">
        <f t="shared" si="72"/>
        <v>0.24368386957460594</v>
      </c>
      <c r="Q218" s="50">
        <f t="shared" si="73"/>
        <v>231.55</v>
      </c>
      <c r="R218" s="50" cm="1">
        <f t="array" ref="R218">_xlfn.IFS(C218="Calandra",(350),C218="Peletização",(421),C218="Dublagem Spun",(250),C218="Dublagem Cretone PES",(180),C218="Felpagem",(270/E218),C218="Emborrachamento",(200),C218="Espelhamento",(250),C218="Malha",(1),C218="Dublagem Cretone",(180),C218="Malha",(1),C218="Dublagem Spun - MO",250,C218="Dublagem Cretone - MO",180,C218="Dublagem Cretone PES - MO",180,C218="Espelhamento - MO",250,C218="Emborrachamento",100,C218="Malha",0,C218="Dublagem Barreira",100,C218="Pel. + Cal.",350,C218="Fel. + Pel. + Cal.",270,C218="Pel. + Spun",250,C218="Espelhamento - L: 1,45m",200,C218="Espelhamento - L: 1,65m",200,C218="Estampagem",100,C218="Fel. + Cal.",270,C218="Dublagem Juta",180,C218="Dublagem Cretone - MO (Juta)",180,C218="Dublagem Tapete",150,C218="Esp. + Pel.",200,C218="Espelhamento 2x",100)</f>
        <v>421</v>
      </c>
      <c r="S218" s="50">
        <f t="shared" si="74"/>
        <v>175.125</v>
      </c>
      <c r="T218" s="18" cm="1">
        <f t="array" ref="T218">_xlfn.IFS(C218="Calandra",0.4,C218="Felpagem",0.3,C218="Dublagem Spun",0.8,C218="Dublagem Cretone",0.8,C218="Dublagem Cretone PES",0.8,C218="Espelhamento",0.8,C218="Peletização",0.5,C218="Dublagem Spun - MO",0.8,C218="Dublagem Cretone - MO",0.8,C218="Dublagem Cretone PES - MO",0.8,C218="Espelhamento - MO",0.8,C218="Emborrachamento",1,C218="Malha",0,C218="Dublagem Barreira",1,C218="Pel. + Cal.",0.4,C218="Fel. + Pel. + Cal.",0.5,C218="Pel. + Spun",0.8,C218="Espelhamento - L: 1,45m",0.8,C218="Espelhamento - L: 1,65m",0.8,C218="Estampagem",1,C218="Fel. + Cal.",0.4,C218="Dublagem Juta",0.8,C218="Dublagem Cretone - MO (Juta)",0.8,C218="Dublagem Tapete",0.8,C218="Esp. + Pel.",0.8,C218="Espelhamento 2x",0.8)</f>
        <v>0.5</v>
      </c>
      <c r="U218" s="18">
        <v>1</v>
      </c>
      <c r="V218" s="18">
        <v>1</v>
      </c>
      <c r="W218" s="18"/>
      <c r="X218" s="18">
        <v>39.67</v>
      </c>
      <c r="Y218" s="18">
        <v>38.51</v>
      </c>
      <c r="Z218" s="18">
        <v>116.78</v>
      </c>
      <c r="AA218" s="18"/>
    </row>
    <row r="219" spans="1:27" ht="14.25" customHeight="1" x14ac:dyDescent="0.35">
      <c r="A219" s="18"/>
      <c r="B219" s="43"/>
      <c r="C219" s="32" t="s">
        <v>254</v>
      </c>
      <c r="D219" s="32"/>
      <c r="E219" s="33">
        <v>1</v>
      </c>
      <c r="F219" s="35">
        <v>0.4</v>
      </c>
      <c r="G219" s="25">
        <v>0.45</v>
      </c>
      <c r="H219" s="26" t="s">
        <v>243</v>
      </c>
      <c r="I219" s="27">
        <f t="shared" si="96"/>
        <v>0.45</v>
      </c>
      <c r="J219" s="28">
        <v>45663</v>
      </c>
      <c r="K219" s="36"/>
      <c r="L219" s="30">
        <f t="shared" si="85"/>
        <v>0.45</v>
      </c>
      <c r="M219" s="30">
        <f>IF(B219="Texion Textil",0,IF(C219="Malha",'Custos insumos'!$B$24,IF(C219="Dublagem Cretone",'Custos insumos'!$D$7,IF(C219="Dublagem Spun",'Custos insumos'!$D$4,IF(C219="Espelhamento",'Custos insumos'!$B$11,IF(C219="Espelhamento 2x",2*'Custos insumos'!$B$11,IF(C219="Esp. + Pel.",'Custos insumos'!$B$11,IF(C219="Pel. + Spun",'Custos insumos'!$D$4,IF(C219="Dublagem Cretone PES",'Custos insumos'!$D$7,IF(C219="Dublagem Barreira",'Custos insumos'!$D$11,IF(C219="Dublagem - MO + Filme",'Custos insumos'!$D$4,IF(C219="Dublagem Cretone HM50",'Custos insumos'!$F$9,IF(C219="Dublagem Cretone HM70",'Custos insumos'!$F$10,)))))))))))))</f>
        <v>0</v>
      </c>
      <c r="N219" s="30">
        <f>IF(B219="Texion Textil",0,IF(B219="Três Elos",0,IF(C219="Malha",0,IF(C219="Dublagem Cretone",'Custos insumos'!$D$23,IF(C219="Dublagem Spun",'Custos insumos'!$D$16,IF(C219="Espelhamento",0,IF(C219="Espelhamento 2x",0,IF(C219="Esp. + Pel.",0,IF(C219="Pel. + Spun",'Custos insumos'!$D$16,IF(C219="Dublagem Cretone PES",'Custos insumos'!$F$25,IF(C219="Dublagem Barreira",'Custos insumos'!$D$22,)))))))))))</f>
        <v>0</v>
      </c>
      <c r="O219" s="50">
        <f t="shared" ref="O219:O223" si="97">4*44*Q219</f>
        <v>21384</v>
      </c>
      <c r="P219" s="53">
        <f t="shared" si="72"/>
        <v>-0.37605761316872433</v>
      </c>
      <c r="Q219" s="50">
        <f t="shared" si="73"/>
        <v>121.5</v>
      </c>
      <c r="R219" s="50" cm="1">
        <f t="array" ref="R219">_xlfn.IFS(C219="Calandra",(350),C219="Peletização",(421),C219="Dublagem Spun",(250),C219="Dublagem Cretone PES",(180),C219="Felpagem",(270/E219),C219="Emborrachamento",(200),C219="Espelhamento",(250),C219="Malha",(1),C219="Dublagem Cretone",(180),C219="Malha",(1),C219="Dublagem Spun - MO",250,C219="Dublagem Cretone - MO",180,C219="Dublagem Cretone PES - MO",180,C219="Espelhamento - MO",250,C219="Emborrachamento",100,C219="Malha",0,C219="Dublagem Barreira",100,C219="Pel. + Cal.",350,C219="Fel. + Pel. + Cal.",270,C219="Pel. + Spun",250,C219="Espelhamento - L: 1,45m",200,C219="Espelhamento - L: 1,65m",200,C219="Estampagem",100,C219="Fel. + Cal.",270,C219="Dublagem Juta",180,C219="Dublagem Cretone - MO (Juta)",180,C219="Dublagem Tapete",150,C219="Esp. + Pel.",200,C219="Espelhamento 2x",100)</f>
        <v>270</v>
      </c>
      <c r="S219" s="50">
        <f t="shared" si="74"/>
        <v>167.191</v>
      </c>
      <c r="T219" s="18" cm="1">
        <f t="array" ref="T219">_xlfn.IFS(C219="Calandra",0.4,C219="Felpagem",0.3,C219="Dublagem Spun",0.8,C219="Dublagem Cretone",0.8,C219="Dublagem Cretone PES",0.8,C219="Espelhamento",0.8,C219="Peletização",0.5,C219="Dublagem Spun - MO",0.8,C219="Dublagem Cretone - MO",0.8,C219="Dublagem Cretone PES - MO",0.8,C219="Espelhamento - MO",0.8,C219="Emborrachamento",1,C219="Malha",0,C219="Dublagem Barreira",1,C219="Pel. + Cal.",0.4,C219="Fel. + Pel. + Cal.",0.5,C219="Pel. + Spun",0.8,C219="Espelhamento - L: 1,45m",0.8,C219="Espelhamento - L: 1,65m",0.8,C219="Estampagem",1,C219="Fel. + Cal.",0.4,C219="Dublagem Juta",0.8,C219="Dublagem Cretone - MO (Juta)",0.8,C219="Dublagem Tapete",0.8,C219="Esp. + Pel.",0.8,C219="Espelhamento 2x",0.8)</f>
        <v>0.3</v>
      </c>
      <c r="U219" s="18">
        <v>1</v>
      </c>
      <c r="V219" s="18">
        <v>1</v>
      </c>
      <c r="W219" s="18"/>
      <c r="X219" s="18">
        <v>39.67</v>
      </c>
      <c r="Y219" s="18">
        <v>38.51</v>
      </c>
      <c r="Z219" s="18">
        <v>116.78</v>
      </c>
      <c r="AA219" s="18"/>
    </row>
    <row r="220" spans="1:27" ht="14.25" customHeight="1" x14ac:dyDescent="0.35">
      <c r="A220" s="18"/>
      <c r="B220" s="43"/>
      <c r="C220" s="32" t="s">
        <v>144</v>
      </c>
      <c r="D220" s="32"/>
      <c r="E220" s="33">
        <v>1</v>
      </c>
      <c r="F220" s="35">
        <v>0.65</v>
      </c>
      <c r="G220" s="25">
        <f>F220</f>
        <v>0.65</v>
      </c>
      <c r="H220" s="26" t="s">
        <v>243</v>
      </c>
      <c r="I220" s="27">
        <f t="shared" si="96"/>
        <v>0.65</v>
      </c>
      <c r="J220" s="28">
        <v>45663</v>
      </c>
      <c r="K220" s="36"/>
      <c r="L220" s="30">
        <f t="shared" si="85"/>
        <v>0.65</v>
      </c>
      <c r="M220" s="30">
        <f>IF(B220="Texion Textil",0,IF(C220="Malha",'Custos insumos'!$B$24,IF(C220="Dublagem Cretone",'Custos insumos'!$D$7,IF(C220="Dublagem Spun",'Custos insumos'!$D$4,IF(C220="Espelhamento",'Custos insumos'!$B$11,IF(C220="Espelhamento 2x",2*'Custos insumos'!$B$11,IF(C220="Esp. + Pel.",'Custos insumos'!$B$11,IF(C220="Pel. + Spun",'Custos insumos'!$D$4,IF(C220="Dublagem Cretone PES",'Custos insumos'!$D$7,IF(C220="Dublagem Barreira",'Custos insumos'!$D$11,IF(C220="Dublagem - MO + Filme",'Custos insumos'!$D$4,IF(C220="Dublagem Cretone HM50",'Custos insumos'!$F$9,IF(C220="Dublagem Cretone HM70",'Custos insumos'!$F$10,)))))))))))))</f>
        <v>0</v>
      </c>
      <c r="N220" s="30">
        <f>IF(B220="Texion Textil",0,IF(B220="Três Elos",0,IF(C220="Malha",0,IF(C220="Dublagem Cretone",'Custos insumos'!$D$23,IF(C220="Dublagem Spun",'Custos insumos'!$D$16,IF(C220="Espelhamento",0,IF(C220="Espelhamento 2x",0,IF(C220="Esp. + Pel.",0,IF(C220="Pel. + Spun",'Custos insumos'!$D$16,IF(C220="Dublagem Cretone PES",'Custos insumos'!$F$25,IF(C220="Dublagem Barreira",'Custos insumos'!$D$22,)))))))))))</f>
        <v>0</v>
      </c>
      <c r="O220" s="50">
        <f t="shared" si="97"/>
        <v>48162.400000000009</v>
      </c>
      <c r="P220" s="53">
        <f t="shared" si="72"/>
        <v>0.36004019733235892</v>
      </c>
      <c r="Q220" s="50">
        <f t="shared" si="73"/>
        <v>273.65000000000003</v>
      </c>
      <c r="R220" s="50" cm="1">
        <f t="array" ref="R220">_xlfn.IFS(C220="Calandra",(350),C220="Peletização",(421),C220="Dublagem Spun",(250),C220="Dublagem Cretone PES",(180),C220="Felpagem",(270/E220),C220="Emborrachamento",(200),C220="Espelhamento",(250),C220="Malha",(1),C220="Dublagem Cretone",(180),C220="Malha",(1),C220="Dublagem Spun - MO",250,C220="Dublagem Cretone - MO",180,C220="Dublagem Cretone PES - MO",180,C220="Espelhamento - MO",250,C220="Emborrachamento",100,C220="Malha",0,C220="Dublagem Barreira",100,C220="Pel. + Cal.",350,C220="Fel. + Pel. + Cal.",270,C220="Pel. + Spun",250,C220="Espelhamento - L: 1,45m",200,C220="Espelhamento - L: 1,65m",200,C220="Estampagem",100,C220="Fel. + Cal.",270,C220="Dublagem Juta",180,C220="Dublagem Cretone - MO (Juta)",180,C220="Dublagem Tapete",150,C220="Esp. + Pel.",200,C220="Espelhamento 2x",100)</f>
        <v>421</v>
      </c>
      <c r="S220" s="50">
        <f t="shared" si="74"/>
        <v>175.125</v>
      </c>
      <c r="T220" s="18" cm="1">
        <f t="array" ref="T220">_xlfn.IFS(C220="Calandra",0.4,C220="Felpagem",0.3,C220="Dublagem Spun",0.8,C220="Dublagem Cretone",0.8,C220="Dublagem Cretone PES",0.8,C220="Espelhamento",0.8,C220="Peletização",0.5,C220="Dublagem Spun - MO",0.8,C220="Dublagem Cretone - MO",0.8,C220="Dublagem Cretone PES - MO",0.8,C220="Espelhamento - MO",0.8,C220="Emborrachamento",1,C220="Malha",0,C220="Dublagem Barreira",1,C220="Pel. + Cal.",0.4,C220="Fel. + Pel. + Cal.",0.5,C220="Pel. + Spun",0.8,C220="Espelhamento - L: 1,45m",0.8,C220="Espelhamento - L: 1,65m",0.8,C220="Estampagem",1,C220="Fel. + Cal.",0.4,C220="Dublagem Juta",0.8,C220="Dublagem Cretone - MO (Juta)",0.8,C220="Dublagem Tapete",0.8,C220="Esp. + Pel.",0.8,C220="Espelhamento 2x",0.8)</f>
        <v>0.5</v>
      </c>
      <c r="U220" s="18">
        <v>1</v>
      </c>
      <c r="V220" s="18">
        <v>1</v>
      </c>
      <c r="W220" s="18"/>
      <c r="X220" s="18">
        <v>39.67</v>
      </c>
      <c r="Y220" s="18">
        <v>38.51</v>
      </c>
      <c r="Z220" s="18">
        <v>116.78</v>
      </c>
      <c r="AA220" s="18"/>
    </row>
    <row r="221" spans="1:27" ht="14.25" customHeight="1" x14ac:dyDescent="0.35">
      <c r="A221" s="18"/>
      <c r="B221" s="43"/>
      <c r="C221" s="32" t="s">
        <v>142</v>
      </c>
      <c r="D221" s="32"/>
      <c r="E221" s="33">
        <v>1</v>
      </c>
      <c r="F221" s="35">
        <v>0.65</v>
      </c>
      <c r="G221" s="25">
        <f>F221</f>
        <v>0.65</v>
      </c>
      <c r="H221" s="26" t="s">
        <v>243</v>
      </c>
      <c r="I221" s="27">
        <f t="shared" si="96"/>
        <v>0.65</v>
      </c>
      <c r="J221" s="28">
        <v>45663</v>
      </c>
      <c r="K221" s="36"/>
      <c r="L221" s="30">
        <f t="shared" si="85"/>
        <v>0.65</v>
      </c>
      <c r="M221" s="30">
        <f>IF(B221="Texion Textil",0,IF(C221="Malha",'Custos insumos'!$B$24,IF(C221="Dublagem Cretone",'Custos insumos'!$D$7,IF(C221="Dublagem Spun",'Custos insumos'!$D$4,IF(C221="Espelhamento",'Custos insumos'!$B$11,IF(C221="Espelhamento 2x",2*'Custos insumos'!$B$11,IF(C221="Esp. + Pel.",'Custos insumos'!$B$11,IF(C221="Pel. + Spun",'Custos insumos'!$D$4,IF(C221="Dublagem Cretone PES",'Custos insumos'!$D$7,IF(C221="Dublagem Barreira",'Custos insumos'!$D$11,IF(C221="Dublagem - MO + Filme",'Custos insumos'!$D$4,IF(C221="Dublagem Cretone HM50",'Custos insumos'!$F$9,IF(C221="Dublagem Cretone HM70",'Custos insumos'!$F$10,)))))))))))))</f>
        <v>0</v>
      </c>
      <c r="N221" s="30">
        <f>IF(B221="Texion Textil",0,IF(B221="Três Elos",0,IF(C221="Malha",0,IF(C221="Dublagem Cretone",'Custos insumos'!$D$23,IF(C221="Dublagem Spun",'Custos insumos'!$D$16,IF(C221="Espelhamento",0,IF(C221="Espelhamento 2x",0,IF(C221="Esp. + Pel.",0,IF(C221="Pel. + Spun",'Custos insumos'!$D$16,IF(C221="Dublagem Cretone PES",'Custos insumos'!$F$25,IF(C221="Dublagem Barreira",'Custos insumos'!$D$22,)))))))))))</f>
        <v>0</v>
      </c>
      <c r="O221" s="50">
        <f t="shared" si="97"/>
        <v>40040</v>
      </c>
      <c r="P221" s="53">
        <f t="shared" si="72"/>
        <v>0.2476571428571428</v>
      </c>
      <c r="Q221" s="50">
        <f t="shared" si="73"/>
        <v>227.5</v>
      </c>
      <c r="R221" s="50" cm="1">
        <f t="array" ref="R221">_xlfn.IFS(C221="Calandra",(350),C221="Peletização",(421),C221="Dublagem Spun",(250),C221="Dublagem Cretone PES",(180),C221="Felpagem",(270/E221),C221="Emborrachamento",(200),C221="Espelhamento",(250),C221="Malha",(1),C221="Dublagem Cretone",(180),C221="Malha",(1),C221="Dublagem Spun - MO",250,C221="Dublagem Cretone - MO",180,C221="Dublagem Cretone PES - MO",180,C221="Espelhamento - MO",250,C221="Emborrachamento",100,C221="Malha",0,C221="Dublagem Barreira",100,C221="Pel. + Cal.",350,C221="Fel. + Pel. + Cal.",270,C221="Pel. + Spun",250,C221="Espelhamento - L: 1,45m",200,C221="Espelhamento - L: 1,65m",200,C221="Estampagem",100,C221="Fel. + Cal.",270,C221="Dublagem Juta",180,C221="Dublagem Cretone - MO (Juta)",180,C221="Dublagem Tapete",150,C221="Esp. + Pel.",200,C221="Espelhamento 2x",100)</f>
        <v>350</v>
      </c>
      <c r="S221" s="50">
        <f t="shared" si="74"/>
        <v>171.15800000000002</v>
      </c>
      <c r="T221" s="18" cm="1">
        <f t="array" ref="T221">_xlfn.IFS(C221="Calandra",0.4,C221="Felpagem",0.3,C221="Dublagem Spun",0.8,C221="Dublagem Cretone",0.8,C221="Dublagem Cretone PES",0.8,C221="Espelhamento",0.8,C221="Peletização",0.5,C221="Dublagem Spun - MO",0.8,C221="Dublagem Cretone - MO",0.8,C221="Dublagem Cretone PES - MO",0.8,C221="Espelhamento - MO",0.8,C221="Emborrachamento",1,C221="Malha",0,C221="Dublagem Barreira",1,C221="Pel. + Cal.",0.4,C221="Fel. + Pel. + Cal.",0.5,C221="Pel. + Spun",0.8,C221="Espelhamento - L: 1,45m",0.8,C221="Espelhamento - L: 1,65m",0.8,C221="Estampagem",1,C221="Fel. + Cal.",0.4,C221="Dublagem Juta",0.8,C221="Dublagem Cretone - MO (Juta)",0.8,C221="Dublagem Tapete",0.8,C221="Esp. + Pel.",0.8,C221="Espelhamento 2x",0.8)</f>
        <v>0.4</v>
      </c>
      <c r="U221" s="18">
        <v>1</v>
      </c>
      <c r="V221" s="18">
        <v>1</v>
      </c>
      <c r="W221" s="18"/>
      <c r="X221" s="18">
        <v>39.67</v>
      </c>
      <c r="Y221" s="18">
        <v>38.51</v>
      </c>
      <c r="Z221" s="18">
        <v>116.78</v>
      </c>
      <c r="AA221" s="18"/>
    </row>
    <row r="222" spans="1:27" ht="14.25" customHeight="1" x14ac:dyDescent="0.35">
      <c r="A222" s="18"/>
      <c r="B222" s="43"/>
      <c r="C222" s="32" t="s">
        <v>257</v>
      </c>
      <c r="D222" s="32"/>
      <c r="E222" s="33">
        <v>1</v>
      </c>
      <c r="F222" s="35">
        <v>1.1499999999999999</v>
      </c>
      <c r="G222" s="25">
        <f>F222</f>
        <v>1.1499999999999999</v>
      </c>
      <c r="H222" s="26" t="s">
        <v>243</v>
      </c>
      <c r="I222" s="27">
        <f t="shared" si="96"/>
        <v>1.1499999999999999</v>
      </c>
      <c r="J222" s="28">
        <v>45663</v>
      </c>
      <c r="K222" s="36" t="s">
        <v>258</v>
      </c>
      <c r="L222" s="30">
        <f t="shared" si="85"/>
        <v>1.1499999999999999</v>
      </c>
      <c r="M222" s="30">
        <f>IF(B222="Texion Textil",0,IF(C222="Malha",'Custos insumos'!$B$24,IF(C222="Dublagem Cretone",'Custos insumos'!$D$7,IF(C222="Dublagem Spun",'Custos insumos'!$D$4,IF(C222="Espelhamento",'Custos insumos'!$B$11,IF(C222="Espelhamento 2x",2*'Custos insumos'!$B$11,IF(C222="Esp. + Pel.",'Custos insumos'!$B$11,IF(C222="Pel. + Spun",'Custos insumos'!$D$4,IF(C222="Dublagem Cretone PES",'Custos insumos'!$D$7,IF(C222="Dublagem Barreira",'Custos insumos'!$D$11,IF(C222="Dublagem - MO + Filme",'Custos insumos'!$D$4,IF(C222="Dublagem Cretone HM50",'Custos insumos'!$F$9,IF(C222="Dublagem Cretone HM70",'Custos insumos'!$F$10,)))))))))))))</f>
        <v>0</v>
      </c>
      <c r="N222" s="30">
        <f>IF(B222="Texion Textil",0,IF(B222="Três Elos",0,IF(C222="Malha",0,IF(C222="Dublagem Cretone",'Custos insumos'!$D$23,IF(C222="Dublagem Spun",'Custos insumos'!$D$16,IF(C222="Espelhamento",0,IF(C222="Espelhamento 2x",0,IF(C222="Esp. + Pel.",0,IF(C222="Pel. + Spun",'Custos insumos'!$D$16,IF(C222="Dublagem Cretone PES",'Custos insumos'!$F$25,IF(C222="Dublagem Barreira",'Custos insumos'!$D$22,)))))))))))</f>
        <v>0</v>
      </c>
      <c r="O222" s="50">
        <f t="shared" si="97"/>
        <v>50600</v>
      </c>
      <c r="P222" s="53">
        <f t="shared" si="72"/>
        <v>0.34947478260869563</v>
      </c>
      <c r="Q222" s="50">
        <f t="shared" si="73"/>
        <v>287.5</v>
      </c>
      <c r="R222" s="50" cm="1">
        <f t="array" ref="R222">_xlfn.IFS(C222="Calandra",(350),C222="Peletização",(421),C222="Dublagem Spun",(250),C222="Dublagem Cretone PES",(180),C222="Felpagem",(270/E222),C222="Emborrachamento",(200),C222="Espelhamento",(250),C222="Malha",(1),C222="Dublagem Cretone",(180),C222="Malha",(1),C222="Dublagem Spun - MO",250,C222="Dublagem Cretone - MO",180,C222="Dublagem Cretone PES - MO",180,C222="Espelhamento - MO",250,C222="Emborrachamento",100,C222="Malha",0,C222="Dublagem Barreira",100,C222="Pel. + Cal.",350,C222="Fel. + Pel. + Cal.",270,C222="Pel. + Spun",250,C222="Espelhamento - L: 1,45m",200,C222="Espelhamento - L: 1,65m",200,C222="Estampagem",100,C222="Fel. + Cal.",270,C222="Dublagem Juta",180,C222="Dublagem Cretone - MO (Juta)",180,C222="Dublagem Tapete",150,C222="Esp. + Pel.",200,C222="Espelhamento 2x",100)</f>
        <v>250</v>
      </c>
      <c r="S222" s="50">
        <f t="shared" si="74"/>
        <v>187.02600000000001</v>
      </c>
      <c r="T222" s="18" cm="1">
        <f t="array" ref="T222">_xlfn.IFS(C222="Calandra",0.4,C222="Felpagem",0.3,C222="Dublagem Spun",0.8,C222="Dublagem Cretone",0.8,C222="Dublagem Cretone PES",0.8,C222="Espelhamento",0.8,C222="Peletização",0.5,C222="Dublagem Spun - MO",0.8,C222="Dublagem Cretone - MO",0.8,C222="Dublagem Cretone PES - MO",0.8,C222="Espelhamento - MO",0.8,C222="Emborrachamento",1,C222="Malha",0,C222="Dublagem Barreira",1,C222="Pel. + Cal.",0.4,C222="Fel. + Pel. + Cal.",0.5,C222="Pel. + Spun",0.8,C222="Espelhamento - L: 1,45m",0.8,C222="Espelhamento - L: 1,65m",0.8,C222="Estampagem",1,C222="Fel. + Cal.",0.4,C222="Dublagem Juta",0.8,C222="Dublagem Cretone - MO (Juta)",0.8,C222="Dublagem Tapete",0.8,C222="Esp. + Pel.",0.8,C222="Espelhamento 2x",0.8)</f>
        <v>0.8</v>
      </c>
      <c r="U222" s="18">
        <v>1</v>
      </c>
      <c r="V222" s="18">
        <v>1</v>
      </c>
      <c r="W222" s="18"/>
      <c r="X222" s="18">
        <v>39.67</v>
      </c>
      <c r="Y222" s="18">
        <v>38.51</v>
      </c>
      <c r="Z222" s="18">
        <v>116.78</v>
      </c>
      <c r="AA222" s="18"/>
    </row>
    <row r="223" spans="1:27" ht="14.25" customHeight="1" x14ac:dyDescent="0.35">
      <c r="A223" s="18"/>
      <c r="B223" s="43"/>
      <c r="C223" s="32" t="s">
        <v>106</v>
      </c>
      <c r="D223" s="32"/>
      <c r="E223" s="33">
        <v>1</v>
      </c>
      <c r="F223" s="35">
        <v>2.4</v>
      </c>
      <c r="G223" s="25">
        <v>2.35</v>
      </c>
      <c r="H223" s="26" t="s">
        <v>243</v>
      </c>
      <c r="I223" s="27">
        <f t="shared" si="96"/>
        <v>2.35</v>
      </c>
      <c r="J223" s="28">
        <v>45663</v>
      </c>
      <c r="K223" s="36" t="s">
        <v>259</v>
      </c>
      <c r="L223" s="30">
        <f t="shared" si="85"/>
        <v>1.0276000000000003</v>
      </c>
      <c r="M223" s="30">
        <f>'Custos insumos'!L11</f>
        <v>1.3223999999999998</v>
      </c>
      <c r="N223" s="30">
        <f>IF(B223="Texion Textil",0,IF(B223="Três Elos",0,IF(C223="Malha",0,IF(C223="Dublagem Cretone",'Custos insumos'!$D$23,IF(C223="Dublagem Spun",'Custos insumos'!$D$16,IF(C223="Espelhamento",0,IF(C223="Espelhamento 2x",0,IF(C223="Esp. + Pel.",0,IF(C223="Pel. + Spun",'Custos insumos'!$D$16,IF(C223="Dublagem Cretone PES",'Custos insumos'!$F$25,IF(C223="Dublagem Barreira",'Custos insumos'!$D$22,)))))))))))</f>
        <v>0</v>
      </c>
      <c r="O223" s="50">
        <f t="shared" si="97"/>
        <v>103400</v>
      </c>
      <c r="P223" s="53">
        <f t="shared" si="72"/>
        <v>0.11893446808510642</v>
      </c>
      <c r="Q223" s="50">
        <f t="shared" si="73"/>
        <v>587.5</v>
      </c>
      <c r="R223" s="50" cm="1">
        <f t="array" ref="R223">_xlfn.IFS(C223="Calandra",(350),C223="Peletização",(421),C223="Dublagem Spun",(250),C223="Dublagem Cretone PES",(180),C223="Felpagem",(270/E223),C223="Emborrachamento",(200),C223="Espelhamento",(250),C223="Malha",(1),C223="Dublagem Cretone",(180),C223="Malha",(1),C223="Dublagem Spun - MO",250,C223="Dublagem Cretone - MO",180,C223="Dublagem Cretone PES - MO",180,C223="Espelhamento - MO",250,C223="Emborrachamento",100,C223="Malha",0,C223="Dublagem Barreira",100,C223="Pel. + Cal.",350,C223="Fel. + Pel. + Cal.",270,C223="Pel. + Spun",250,C223="Espelhamento - L: 1,45m",200,C223="Espelhamento - L: 1,65m",200,C223="Estampagem",100,C223="Fel. + Cal.",270,C223="Dublagem Juta",180,C223="Dublagem Cretone - MO (Juta)",180,C223="Dublagem Tapete",150,C223="Esp. + Pel.",200,C223="Espelhamento 2x",100)</f>
        <v>250</v>
      </c>
      <c r="S223" s="50">
        <f t="shared" si="74"/>
        <v>517.62599999999998</v>
      </c>
      <c r="T223" s="18" cm="1">
        <f t="array" ref="T223">_xlfn.IFS(C223="Calandra",0.4,C223="Felpagem",0.3,C223="Dublagem Spun",0.8,C223="Dublagem Cretone",0.8,C223="Dublagem Cretone PES",0.8,C223="Espelhamento",0.8,C223="Peletização",0.5,C223="Dublagem Spun - MO",0.8,C223="Dublagem Cretone - MO",0.8,C223="Dublagem Cretone PES - MO",0.8,C223="Espelhamento - MO",0.8,C223="Emborrachamento",1,C223="Malha",0,C223="Dublagem Barreira",1,C223="Pel. + Cal.",0.4,C223="Fel. + Pel. + Cal.",0.5,C223="Pel. + Spun",0.8,C223="Espelhamento - L: 1,45m",0.8,C223="Espelhamento - L: 1,65m",0.8,C223="Estampagem",1,C223="Fel. + Cal.",0.4,C223="Dublagem Juta",0.8,C223="Dublagem Cretone - MO (Juta)",0.8,C223="Dublagem Tapete",0.8,C223="Esp. + Pel.",0.8,C223="Espelhamento 2x",0.8)</f>
        <v>0.8</v>
      </c>
      <c r="U223" s="18">
        <v>1</v>
      </c>
      <c r="V223" s="18">
        <v>1</v>
      </c>
      <c r="W223" s="18"/>
      <c r="X223" s="18">
        <v>39.67</v>
      </c>
      <c r="Y223" s="18">
        <v>38.51</v>
      </c>
      <c r="Z223" s="18">
        <v>116.78</v>
      </c>
      <c r="AA223" s="18"/>
    </row>
    <row r="224" spans="1:27" ht="14.25" customHeight="1" x14ac:dyDescent="0.35">
      <c r="A224" s="18"/>
      <c r="B224" s="43"/>
      <c r="C224" s="32" t="s">
        <v>374</v>
      </c>
      <c r="D224" s="32"/>
      <c r="E224" s="33"/>
      <c r="F224" s="35"/>
      <c r="G224" s="25">
        <v>4.8</v>
      </c>
      <c r="H224" s="26" t="s">
        <v>243</v>
      </c>
      <c r="I224" s="27" t="e">
        <f t="shared" si="96"/>
        <v>#DIV/0!</v>
      </c>
      <c r="J224" s="28">
        <v>45664</v>
      </c>
      <c r="K224" s="29" t="s">
        <v>371</v>
      </c>
      <c r="L224" s="30">
        <f t="shared" si="85"/>
        <v>1.6914400000000001</v>
      </c>
      <c r="M224" s="30">
        <f>'Custos insumos'!J31</f>
        <v>3.1085599999999998</v>
      </c>
      <c r="N224" s="30"/>
      <c r="O224" s="50"/>
      <c r="P224" s="53" t="e">
        <f t="shared" si="72"/>
        <v>#N/A</v>
      </c>
      <c r="Q224" s="50" t="e">
        <f t="shared" si="73"/>
        <v>#N/A</v>
      </c>
      <c r="R224" s="50" t="e" cm="1">
        <f t="array" ref="R224">_xlfn.IFS(C224="Calandra",(350),C224="Peletização",(421),C224="Dublagem Spun",(250),C224="Dublagem Cretone PES",(180),C224="Felpagem",(270/E224),C224="Emborrachamento",(200),C224="Espelhamento",(250),C224="Malha",(1),C224="Dublagem Cretone",(180),C224="Malha",(1),C224="Dublagem Spun - MO",250,C224="Dublagem Cretone - MO",180,C224="Dublagem Cretone PES - MO",180,C224="Espelhamento - MO",250,C224="Emborrachamento",100,C224="Malha",0,C224="Dublagem Barreira",100,C224="Pel. + Cal.",350,C224="Fel. + Pel. + Cal.",270,C224="Pel. + Spun",250,C224="Espelhamento - L: 1,45m",200,C224="Espelhamento - L: 1,65m",200,C224="Estampagem",100,C224="Fel. + Cal.",270,C224="Dublagem Juta",180,C224="Dublagem Cretone - MO (Juta)",180,C224="Dublagem Tapete",150,C224="Esp. + Pel.",200,C224="Espelhamento 2x",100)</f>
        <v>#N/A</v>
      </c>
      <c r="S224" s="50" t="e">
        <f t="shared" si="74"/>
        <v>#N/A</v>
      </c>
      <c r="T224" s="18" t="e" cm="1">
        <f t="array" ref="T224">_xlfn.IFS(C224="Calandra",0.4,C224="Felpagem",0.3,C224="Dublagem Spun",0.8,C224="Dublagem Cretone",0.8,C224="Dublagem Cretone PES",0.8,C224="Espelhamento",0.8,C224="Peletização",0.5,C224="Dublagem Spun - MO",0.8,C224="Dublagem Cretone - MO",0.8,C224="Dublagem Cretone PES - MO",0.8,C224="Espelhamento - MO",0.8,C224="Emborrachamento",1,C224="Malha",0,C224="Dublagem Barreira",1,C224="Pel. + Cal.",0.4,C224="Fel. + Pel. + Cal.",0.5,C224="Pel. + Spun",0.8,C224="Espelhamento - L: 1,45m",0.8,C224="Espelhamento - L: 1,65m",0.8,C224="Estampagem",1,C224="Fel. + Cal.",0.4,C224="Dublagem Juta",0.8,C224="Dublagem Cretone - MO (Juta)",0.8,C224="Dublagem Tapete",0.8,C224="Esp. + Pel.",0.8,C224="Espelhamento 2x",0.8)</f>
        <v>#N/A</v>
      </c>
      <c r="U224" s="18"/>
      <c r="V224" s="18"/>
      <c r="W224" s="18"/>
      <c r="X224" s="18"/>
      <c r="Y224" s="18"/>
      <c r="Z224" s="18"/>
      <c r="AA224" s="18"/>
    </row>
    <row r="225" spans="1:27" ht="14.25" customHeight="1" x14ac:dyDescent="0.35">
      <c r="A225" s="18"/>
      <c r="B225" s="43"/>
      <c r="C225" s="32" t="s">
        <v>322</v>
      </c>
      <c r="D225" s="32"/>
      <c r="E225" s="33">
        <v>1</v>
      </c>
      <c r="F225" s="35">
        <v>4.75</v>
      </c>
      <c r="G225" s="25">
        <v>5.25</v>
      </c>
      <c r="H225" s="26" t="s">
        <v>243</v>
      </c>
      <c r="I225" s="27">
        <f t="shared" si="96"/>
        <v>5.25</v>
      </c>
      <c r="J225" s="28">
        <v>45663</v>
      </c>
      <c r="K225" s="36" t="s">
        <v>259</v>
      </c>
      <c r="L225" s="30">
        <f t="shared" si="85"/>
        <v>1.2708000000000004</v>
      </c>
      <c r="M225" s="30">
        <f>IF(B225="Texion Textil",0,IF(C225="Malha",'Custos insumos'!$B$24,IF(C225="Dublagem Cretone",'Custos insumos'!$D$7,IF(C225="Dublagem Spun",'Custos insumos'!$D$4,IF(C225="Espelhamento",'Custos insumos'!$B$11,IF(C225="Espelhamento 2x",2*'Custos insumos'!$B$11,IF(C225="Esp. + Pel.",'Custos insumos'!$B$11,IF(C225="Pel. + Spun",'Custos insumos'!$D$4,IF(C225="Dublagem Cretone PES",'Custos insumos'!$D$7,IF(C225="Dublagem Barreira",'Custos insumos'!$H$4,IF(C225="Dublagem - MO + Filme",'Custos insumos'!$D$4,IF(C225="Dublagem Cretone HM50",'Custos insumos'!$F$9,IF(C225="Dublagem Cretone HM70",'Custos insumos'!$F$10,)))))))))))))</f>
        <v>0.88200000000000001</v>
      </c>
      <c r="N225" s="30">
        <f>IF(B225="Texion Textil",0,IF(B225="Três Elos",0,IF(C225="Malha",0,IF(C225="Dublagem Cretone",'Custos insumos'!$D$23,IF(C225="Dublagem Spun",'Custos insumos'!$D$16,IF(C225="Espelhamento",0,IF(C225="Espelhamento 2x",0,IF(C225="Esp. + Pel.",0,IF(C225="Pel. + Spun",'Custos insumos'!$D$16,IF(C225="Dublagem Cretone PES",'Custos insumos'!$F$25,IF(C225="Dublagem Barreira",'Custos insumos'!$L$22,)))))))))))</f>
        <v>3.0972</v>
      </c>
      <c r="O225" s="50">
        <f t="shared" ref="O225:O233" si="98">4*44*Q225</f>
        <v>92400</v>
      </c>
      <c r="P225" s="53">
        <f t="shared" si="72"/>
        <v>-0.12929523809523807</v>
      </c>
      <c r="Q225" s="50">
        <f t="shared" si="73"/>
        <v>525</v>
      </c>
      <c r="R225" s="50" cm="1">
        <f t="array" ref="R225">_xlfn.IFS(C225="Calandra",(350),C225="Peletização",(421),C225="Dublagem Spun",(250),C225="Dublagem Cretone PES",(180),C225="Felpagem",(270/E225),C225="Emborrachamento",(200),C225="Espelhamento",(250),C225="Malha",(1),C225="Dublagem Cretone",(180),C225="Malha",(1),C225="Dublagem Spun - MO",250,C225="Dublagem Cretone - MO",180,C225="Dublagem Cretone PES - MO",180,C225="Espelhamento - MO",250,C225="Emborrachamento",100,C225="Malha",0,C225="Dublagem Barreira",100,C225="Pel. + Cal.",350,C225="Fel. + Pel. + Cal.",270,C225="Pel. + Spun",250,C225="Espelhamento - L: 1,45m",200,C225="Espelhamento - L: 1,65m",200,C225="Estampagem",100,C225="Fel. + Cal.",270,C225="Dublagem Juta",180,C225="Dublagem Cretone - MO (Juta)",180,C225="Dublagem Tapete",150,C225="Esp. + Pel.",200,C225="Espelhamento 2x",100)</f>
        <v>100</v>
      </c>
      <c r="S225" s="50">
        <f t="shared" si="74"/>
        <v>592.88</v>
      </c>
      <c r="T225" s="18" cm="1">
        <f t="array" ref="T225">_xlfn.IFS(C225="Calandra",0.4,C225="Felpagem",0.3,C225="Dublagem Spun",0.8,C225="Dublagem Cretone",0.8,C225="Dublagem Cretone PES",0.8,C225="Espelhamento",0.8,C225="Peletização",0.5,C225="Dublagem Spun - MO",0.8,C225="Dublagem Cretone - MO",0.8,C225="Dublagem Cretone PES - MO",0.8,C225="Espelhamento - MO",0.8,C225="Emborrachamento",1,C225="Malha",0,C225="Dublagem Barreira",1,C225="Pel. + Cal.",0.4,C225="Fel. + Pel. + Cal.",0.5,C225="Pel. + Spun",0.8,C225="Espelhamento - L: 1,45m",0.8,C225="Espelhamento - L: 1,65m",0.8,C225="Estampagem",1,C225="Fel. + Cal.",0.4,C225="Dublagem Juta",0.8,C225="Dublagem Cretone - MO (Juta)",0.8,C225="Dublagem Tapete",0.8,C225="Esp. + Pel.",0.8,C225="Espelhamento 2x",0.8)</f>
        <v>1</v>
      </c>
      <c r="U225" s="18">
        <v>1</v>
      </c>
      <c r="V225" s="18">
        <v>1</v>
      </c>
      <c r="W225" s="18"/>
      <c r="X225" s="18">
        <v>39.67</v>
      </c>
      <c r="Y225" s="18">
        <v>38.51</v>
      </c>
      <c r="Z225" s="18">
        <v>116.78</v>
      </c>
      <c r="AA225" s="18"/>
    </row>
    <row r="226" spans="1:27" ht="14.25" customHeight="1" x14ac:dyDescent="0.35">
      <c r="A226" s="18"/>
      <c r="B226" s="43"/>
      <c r="C226" s="32" t="s">
        <v>451</v>
      </c>
      <c r="D226" s="69"/>
      <c r="E226" s="70">
        <v>1</v>
      </c>
      <c r="F226" s="35"/>
      <c r="G226" s="25">
        <v>3.05</v>
      </c>
      <c r="H226" s="26"/>
      <c r="I226" s="27">
        <f t="shared" si="96"/>
        <v>3.05</v>
      </c>
      <c r="J226" s="28"/>
      <c r="K226" s="36"/>
      <c r="L226" s="30">
        <f t="shared" si="85"/>
        <v>1.6579999999999999</v>
      </c>
      <c r="M226" s="30">
        <f>'Custos insumos'!N6</f>
        <v>1.3919999999999999</v>
      </c>
      <c r="N226" s="30">
        <v>0</v>
      </c>
      <c r="O226" s="50" t="e">
        <f t="shared" si="98"/>
        <v>#N/A</v>
      </c>
      <c r="P226" s="53"/>
      <c r="Q226" s="50" t="e">
        <f t="shared" si="73"/>
        <v>#N/A</v>
      </c>
      <c r="R226" s="50" t="e" cm="1">
        <f t="array" ref="R226">_xlfn.IFS(C226="Calandra",(350),C226="Peletização",(421),C226="Dublagem Spun",(250),C226="Dublagem Cretone PES",(180),C226="Felpagem",(270/E226),C226="Emborrachamento",(200),C226="Espelhamento",(250),C226="Malha",(1),C226="Dublagem Cretone",(180),C226="Malha",(1),C226="Dublagem Spun - MO",250,C226="Dublagem Cretone - MO",180,C226="Dublagem Cretone PES - MO",180,C226="Espelhamento - MO",250,C226="Emborrachamento",100,C226="Malha",0,C226="Dublagem Barreira",100,C226="Pel. + Cal.",350,C226="Fel. + Pel. + Cal.",270,C226="Pel. + Spun",250,C226="Espelhamento - L: 1,45m",200,C226="Espelhamento - L: 1,65m",200,C226="Estampagem",100,C226="Fel. + Cal.",270,C226="Dublagem Juta",180,C226="Dublagem Cretone - MO (Juta)",180,C226="Dublagem Tapete",150,C226="Esp. + Pel.",200,C226="Espelhamento 2x",100)</f>
        <v>#N/A</v>
      </c>
      <c r="S226" s="50"/>
      <c r="T226" s="18"/>
      <c r="U226" s="18"/>
      <c r="V226" s="18"/>
      <c r="W226" s="18"/>
      <c r="X226" s="18"/>
      <c r="Y226" s="18"/>
      <c r="Z226" s="18"/>
      <c r="AA226" s="18"/>
    </row>
    <row r="227" spans="1:27" ht="14.25" customHeight="1" x14ac:dyDescent="0.35">
      <c r="A227" s="18"/>
      <c r="B227" s="43"/>
      <c r="C227" s="32" t="s">
        <v>431</v>
      </c>
      <c r="D227" s="32"/>
      <c r="E227" s="33">
        <v>1</v>
      </c>
      <c r="F227" s="35">
        <v>1.1499999999999999</v>
      </c>
      <c r="G227" s="25">
        <f>2.15</f>
        <v>2.15</v>
      </c>
      <c r="H227" s="26" t="s">
        <v>243</v>
      </c>
      <c r="I227" s="27">
        <f t="shared" si="96"/>
        <v>2.15</v>
      </c>
      <c r="J227" s="28">
        <v>45663</v>
      </c>
      <c r="K227" s="36" t="s">
        <v>258</v>
      </c>
      <c r="L227" s="30">
        <f t="shared" si="85"/>
        <v>1.3939999999999999</v>
      </c>
      <c r="M227" s="30">
        <f>'Custos insumos'!$L$4</f>
        <v>0.75600000000000001</v>
      </c>
      <c r="N227" s="30">
        <v>0</v>
      </c>
      <c r="O227" s="50" t="e">
        <f t="shared" ref="O227" si="99">4*44*Q227</f>
        <v>#N/A</v>
      </c>
      <c r="P227" s="53" t="e">
        <f t="shared" ref="P227" si="100">(Q227-S227)/Q227</f>
        <v>#N/A</v>
      </c>
      <c r="Q227" s="50" t="e">
        <f t="shared" ref="Q227" si="101">G227*R227</f>
        <v>#N/A</v>
      </c>
      <c r="R227" s="50" t="e" cm="1">
        <f t="array" ref="R227">_xlfn.IFS(C227="Calandra",(350),C227="Peletização",(421),C227="Dublagem Spun",(250),C227="Dublagem Cretone PES",(180),C227="Felpagem",(270/E227),C227="Emborrachamento",(200),C227="Espelhamento",(250),C227="Malha",(1),C227="Dublagem Cretone",(180),C227="Malha",(1),C227="Dublagem Spun - MO",250,C227="Dublagem Cretone - MO",180,C227="Dublagem Cretone PES - MO",180,C227="Espelhamento - MO",250,C227="Emborrachamento",100,C227="Malha",0,C227="Dublagem Barreira",100,C227="Pel. + Cal.",350,C227="Fel. + Pel. + Cal.",270,C227="Pel. + Spun",250,C227="Espelhamento - L: 1,45m",200,C227="Espelhamento - L: 1,65m",200,C227="Estampagem",100,C227="Fel. + Cal.",270,C227="Dublagem Juta",180,C227="Dublagem Cretone - MO (Juta)",180,C227="Dublagem Tapete",150,C227="Esp. + Pel.",200,C227="Espelhamento 2x",100)</f>
        <v>#N/A</v>
      </c>
      <c r="S227" s="50" t="e">
        <f t="shared" ref="S227" si="102">(T227*X227)+(U227*Y227)+(V227*Z227)+((M227+N227)*(R227))</f>
        <v>#N/A</v>
      </c>
      <c r="T227" s="18" t="e" cm="1">
        <f t="array" ref="T227">_xlfn.IFS(C227="Calandra",0.4,C227="Felpagem",0.3,C227="Dublagem Spun",0.8,C227="Dublagem Cretone",0.8,C227="Dublagem Cretone PES",0.8,C227="Espelhamento",0.8,C227="Peletização",0.5,C227="Dublagem Spun - MO",0.8,C227="Dublagem Cretone - MO",0.8,C227="Dublagem Cretone PES - MO",0.8,C227="Espelhamento - MO",0.8,C227="Emborrachamento",1,C227="Malha",0,C227="Dublagem Barreira",1,C227="Pel. + Cal.",0.4,C227="Fel. + Pel. + Cal.",0.5,C227="Pel. + Spun",0.8,C227="Espelhamento - L: 1,45m",0.8,C227="Espelhamento - L: 1,65m",0.8,C227="Estampagem",1,C227="Fel. + Cal.",0.4,C227="Dublagem Juta",0.8,C227="Dublagem Cretone - MO (Juta)",0.8,C227="Dublagem Tapete",0.8,C227="Esp. + Pel.",0.8,C227="Espelhamento 2x",0.8)</f>
        <v>#N/A</v>
      </c>
      <c r="U227" s="18">
        <v>1</v>
      </c>
      <c r="V227" s="18">
        <v>1</v>
      </c>
      <c r="W227" s="18"/>
      <c r="X227" s="18">
        <v>39.67</v>
      </c>
      <c r="Y227" s="18">
        <v>38.51</v>
      </c>
      <c r="Z227" s="18">
        <v>116.78</v>
      </c>
      <c r="AA227" s="18"/>
    </row>
    <row r="228" spans="1:27" ht="14.25" customHeight="1" x14ac:dyDescent="0.35">
      <c r="A228" s="18"/>
      <c r="B228" s="43"/>
      <c r="C228" s="32" t="s">
        <v>375</v>
      </c>
      <c r="D228" s="32"/>
      <c r="E228" s="33">
        <v>1</v>
      </c>
      <c r="F228" s="35">
        <v>1.1499999999999999</v>
      </c>
      <c r="G228" s="25">
        <f>F228</f>
        <v>1.1499999999999999</v>
      </c>
      <c r="H228" s="26" t="s">
        <v>243</v>
      </c>
      <c r="I228" s="27">
        <f t="shared" si="96"/>
        <v>1.1499999999999999</v>
      </c>
      <c r="J228" s="28">
        <v>45663</v>
      </c>
      <c r="K228" s="36" t="s">
        <v>258</v>
      </c>
      <c r="L228" s="30">
        <f t="shared" si="85"/>
        <v>1.1499999999999999</v>
      </c>
      <c r="M228" s="30">
        <f>IF(B228="Texion Textil",0,IF(C228="Malha",'Custos insumos'!$B$24,IF(C228="Dublagem Cretone",'Custos insumos'!$D$7,IF(C228="Dublagem Spun",'Custos insumos'!$D$4,IF(C228="Espelhamento",'Custos insumos'!$B$11,IF(C228="Espelhamento 2x",2*'Custos insumos'!$B$11,IF(C228="Esp. + Pel.",'Custos insumos'!$B$11,IF(C228="Pel. + Spun",'Custos insumos'!$D$4,IF(C228="Dublagem Cretone PES",'Custos insumos'!$D$7,IF(C228="Dublagem Barreira",'Custos insumos'!$D$11,IF(C228="Dublagem - MO + Filme",'Custos insumos'!$D$4,IF(C228="Dublagem Cretone HM50",'Custos insumos'!$F$9,IF(C228="Dublagem Cretone HM70",'Custos insumos'!$F$10,)))))))))))))</f>
        <v>0</v>
      </c>
      <c r="N228" s="30">
        <f>IF(B228="Texion Textil",0,IF(B228="Três Elos",0,IF(C228="Malha",0,IF(C228="Dublagem Cretone",'Custos insumos'!$D$23,IF(C228="Dublagem Spun",'Custos insumos'!$D$16,IF(C228="Espelhamento",0,IF(C228="Espelhamento 2x",0,IF(C228="Esp. + Pel.",0,IF(C228="Pel. + Spun",'Custos insumos'!$D$16,IF(C228="Dublagem Cretone PES",'Custos insumos'!$F$25,IF(C228="Dublagem Barreira",'Custos insumos'!$D$22,)))))))))))</f>
        <v>0</v>
      </c>
      <c r="O228" s="50" t="e">
        <f t="shared" si="98"/>
        <v>#N/A</v>
      </c>
      <c r="P228" s="53" t="e">
        <f t="shared" si="72"/>
        <v>#N/A</v>
      </c>
      <c r="Q228" s="50" t="e">
        <f t="shared" si="73"/>
        <v>#N/A</v>
      </c>
      <c r="R228" s="50" t="e" cm="1">
        <f t="array" ref="R228">_xlfn.IFS(C228="Calandra",(350),C228="Peletização",(421),C228="Dublagem Spun",(250),C228="Dublagem Cretone PES",(180),C228="Felpagem",(270/E228),C228="Emborrachamento",(200),C228="Espelhamento",(250),C228="Malha",(1),C228="Dublagem Cretone",(180),C228="Malha",(1),C228="Dublagem Spun - MO",250,C228="Dublagem Cretone - MO",180,C228="Dublagem Cretone PES - MO",180,C228="Espelhamento - MO",250,C228="Emborrachamento",100,C228="Malha",0,C228="Dublagem Barreira",100,C228="Pel. + Cal.",350,C228="Fel. + Pel. + Cal.",270,C228="Pel. + Spun",250,C228="Espelhamento - L: 1,45m",200,C228="Espelhamento - L: 1,65m",200,C228="Estampagem",100,C228="Fel. + Cal.",270,C228="Dublagem Juta",180,C228="Dublagem Cretone - MO (Juta)",180,C228="Dublagem Tapete",150,C228="Esp. + Pel.",200,C228="Espelhamento 2x",100)</f>
        <v>#N/A</v>
      </c>
      <c r="S228" s="50" t="e">
        <f t="shared" si="74"/>
        <v>#N/A</v>
      </c>
      <c r="T228" s="18" t="e" cm="1">
        <f t="array" ref="T228">_xlfn.IFS(C228="Calandra",0.4,C228="Felpagem",0.3,C228="Dublagem Spun",0.8,C228="Dublagem Cretone",0.8,C228="Dublagem Cretone PES",0.8,C228="Espelhamento",0.8,C228="Peletização",0.5,C228="Dublagem Spun - MO",0.8,C228="Dublagem Cretone - MO",0.8,C228="Dublagem Cretone PES - MO",0.8,C228="Espelhamento - MO",0.8,C228="Emborrachamento",1,C228="Malha",0,C228="Dublagem Barreira",1,C228="Pel. + Cal.",0.4,C228="Fel. + Pel. + Cal.",0.5,C228="Pel. + Spun",0.8,C228="Espelhamento - L: 1,45m",0.8,C228="Espelhamento - L: 1,65m",0.8,C228="Estampagem",1,C228="Fel. + Cal.",0.4,C228="Dublagem Juta",0.8,C228="Dublagem Cretone - MO (Juta)",0.8,C228="Dublagem Tapete",0.8,C228="Esp. + Pel.",0.8,C228="Espelhamento 2x",0.8)</f>
        <v>#N/A</v>
      </c>
      <c r="U228" s="18">
        <v>1</v>
      </c>
      <c r="V228" s="18">
        <v>1</v>
      </c>
      <c r="W228" s="18"/>
      <c r="X228" s="18">
        <v>39.67</v>
      </c>
      <c r="Y228" s="18">
        <v>38.51</v>
      </c>
      <c r="Z228" s="18">
        <v>116.78</v>
      </c>
      <c r="AA228" s="18"/>
    </row>
    <row r="229" spans="1:27" ht="14.25" customHeight="1" x14ac:dyDescent="0.35">
      <c r="A229" s="18"/>
      <c r="B229" s="43"/>
      <c r="C229" s="32" t="s">
        <v>439</v>
      </c>
      <c r="D229" s="32"/>
      <c r="E229" s="33">
        <v>1</v>
      </c>
      <c r="F229" s="35">
        <v>4.5</v>
      </c>
      <c r="G229" s="25">
        <f>L229+M229+N229</f>
        <v>2.9531999999999998</v>
      </c>
      <c r="H229" s="26" t="s">
        <v>243</v>
      </c>
      <c r="I229" s="27">
        <f t="shared" si="96"/>
        <v>2.9531999999999998</v>
      </c>
      <c r="J229" s="28">
        <v>45663</v>
      </c>
      <c r="K229" s="36" t="s">
        <v>259</v>
      </c>
      <c r="L229" s="30">
        <v>1.56</v>
      </c>
      <c r="M229" s="30">
        <f>'Custos insumos'!N3</f>
        <v>0.6611999999999999</v>
      </c>
      <c r="N229" s="30">
        <f>'Custos insumos'!L19</f>
        <v>0.73199999999999998</v>
      </c>
      <c r="O229" s="50" t="e">
        <f t="shared" si="98"/>
        <v>#N/A</v>
      </c>
      <c r="P229" s="53" t="e">
        <f t="shared" si="72"/>
        <v>#N/A</v>
      </c>
      <c r="Q229" s="50" t="e">
        <f t="shared" si="73"/>
        <v>#N/A</v>
      </c>
      <c r="R229" s="50" t="e" cm="1">
        <f t="array" ref="R229">_xlfn.IFS(C229="Calandra",(350),C229="Peletização",(421),C229="Dublagem Spun",(250),C229="Dublagem Cretone PES",(180),C229="Felpagem",(270/E229),C229="Emborrachamento",(200),C229="Espelhamento",(250),C229="Malha",(1),C229="Dublagem Cretone",(180),C229="Malha",(1),C229="Dublagem Spun - MO",250,C229="Dublagem Cretone - MO",180,C229="Dublagem Cretone PES - MO",180,C229="Espelhamento - MO",250,C229="Emborrachamento",100,C229="Malha",0,C229="Dublagem Barreira",100,C229="Pel. + Cal.",350,C229="Fel. + Pel. + Cal.",270,C229="Pel. + Spun",250,C229="Espelhamento - L: 1,45m",200,C229="Espelhamento - L: 1,65m",200,C229="Estampagem",100,C229="Fel. + Cal.",270,C229="Dublagem Juta",180,C229="Dublagem Cretone - MO (Juta)",180,C229="Dublagem Tapete",150,C229="Esp. + Pel.",200,C229="Espelhamento 2x",100)</f>
        <v>#N/A</v>
      </c>
      <c r="S229" s="50" t="e">
        <f t="shared" si="74"/>
        <v>#N/A</v>
      </c>
      <c r="T229" s="18" t="e" cm="1">
        <f t="array" ref="T229">_xlfn.IFS(C229="Calandra",0.4,C229="Felpagem",0.3,C229="Dublagem Spun",0.8,C229="Dublagem Cretone",0.8,C229="Dublagem Cretone PES",0.8,C229="Espelhamento",0.8,C229="Peletização",0.5,C229="Dublagem Spun - MO",0.8,C229="Dublagem Cretone - MO",0.8,C229="Dublagem Cretone PES - MO",0.8,C229="Espelhamento - MO",0.8,C229="Emborrachamento",1,C229="Malha",0,C229="Dublagem Barreira",1,C229="Pel. + Cal.",0.4,C229="Fel. + Pel. + Cal.",0.5,C229="Pel. + Spun",0.8,C229="Espelhamento - L: 1,45m",0.8,C229="Espelhamento - L: 1,65m",0.8,C229="Estampagem",1,C229="Fel. + Cal.",0.4,C229="Dublagem Juta",0.8,C229="Dublagem Cretone - MO (Juta)",0.8,C229="Dublagem Tapete",0.8,C229="Esp. + Pel.",0.8,C229="Espelhamento 2x",0.8)</f>
        <v>#N/A</v>
      </c>
      <c r="U229" s="18">
        <v>1</v>
      </c>
      <c r="V229" s="18">
        <v>1</v>
      </c>
      <c r="W229" s="18"/>
      <c r="X229" s="18">
        <v>39.67</v>
      </c>
      <c r="Y229" s="18">
        <v>38.51</v>
      </c>
      <c r="Z229" s="18">
        <v>116.78</v>
      </c>
      <c r="AA229" s="18"/>
    </row>
    <row r="230" spans="1:27" ht="14.25" customHeight="1" x14ac:dyDescent="0.35">
      <c r="A230" s="18"/>
      <c r="B230" s="43"/>
      <c r="C230" s="32" t="s">
        <v>348</v>
      </c>
      <c r="D230" s="32"/>
      <c r="E230" s="33">
        <v>1</v>
      </c>
      <c r="F230" s="35">
        <v>1.1499999999999999</v>
      </c>
      <c r="G230" s="25">
        <f>F230</f>
        <v>1.1499999999999999</v>
      </c>
      <c r="H230" s="26" t="s">
        <v>243</v>
      </c>
      <c r="I230" s="27">
        <f t="shared" si="96"/>
        <v>1.1499999999999999</v>
      </c>
      <c r="J230" s="28">
        <v>45663</v>
      </c>
      <c r="K230" s="36" t="s">
        <v>258</v>
      </c>
      <c r="L230" s="30">
        <f>G230-M230-N230</f>
        <v>1.1499999999999999</v>
      </c>
      <c r="M230" s="30">
        <f>IF(B230="Texion Textil",0,IF(C230="Malha",'Custos insumos'!$B$24,IF(C230="Dublagem Cretone",'Custos insumos'!$D$7,IF(C230="Dublagem Spun",'Custos insumos'!$D$4,IF(C230="Espelhamento",'Custos insumos'!$B$11,IF(C230="Espelhamento 2x",2*'Custos insumos'!$B$11,IF(C230="Esp. + Pel.",'Custos insumos'!$B$11,IF(C230="Pel. + Spun",'Custos insumos'!$D$4,IF(C230="Dublagem Cretone PES",'Custos insumos'!$D$7,IF(C230="Dublagem Barreira",'Custos insumos'!$D$11,IF(C230="Dublagem - MO + Filme",'Custos insumos'!$D$4,IF(C230="Dublagem Cretone HM50",'Custos insumos'!$F$9,IF(C230="Dublagem Cretone HM70",'Custos insumos'!$F$10,)))))))))))))</f>
        <v>0</v>
      </c>
      <c r="N230" s="30">
        <f>IF(B230="Texion Textil",0,IF(B230="Três Elos",0,IF(C230="Malha",0,IF(C230="Dublagem Cretone",'Custos insumos'!$D$23,IF(C230="Dublagem Spun",'Custos insumos'!$D$16,IF(C230="Espelhamento",0,IF(C230="Espelhamento 2x",0,IF(C230="Esp. + Pel.",0,IF(C230="Pel. + Spun",'Custos insumos'!$D$16,IF(C230="Dublagem Cretone PES",'Custos insumos'!$F$25,IF(C230="Dublagem Barreira",'Custos insumos'!$D$22,)))))))))))</f>
        <v>0</v>
      </c>
      <c r="O230" s="50">
        <f t="shared" si="98"/>
        <v>36431.999999999993</v>
      </c>
      <c r="P230" s="53">
        <f t="shared" si="72"/>
        <v>9.6492753623188238E-2</v>
      </c>
      <c r="Q230" s="50">
        <f t="shared" si="73"/>
        <v>206.99999999999997</v>
      </c>
      <c r="R230" s="50" cm="1">
        <f t="array" ref="R230">_xlfn.IFS(C230="Calandra",(350),C230="Peletização",(421),C230="Dublagem Spun",(250),C230="Dublagem Cretone PES",(180),C230="Felpagem",(270/E230),C230="Emborrachamento",(200),C230="Espelhamento",(250),C230="Malha",(1),C230="Dublagem Cretone",(180),C230="Malha",(1),C230="Dublagem Spun - MO",250,C230="Dublagem Cretone - MO",180,C230="Dublagem Cretone PES - MO",180,C230="Espelhamento - MO",250,C230="Emborrachamento",100,C230="Malha",0,C230="Dublagem Barreira",100,C230="Pel. + Cal.",350,C230="Fel. + Pel. + Cal.",270,C230="Pel. + Spun",250,C230="Espelhamento - L: 1,45m",200,C230="Espelhamento - L: 1,65m",200,C230="Estampagem",100,C230="Fel. + Cal.",270,C230="Dublagem Juta",180,C230="Dublagem Cretone - MO (Juta)",180,C230="Dublagem Tapete",150,C230="Esp. + Pel.",200,C230="Espelhamento 2x",100)</f>
        <v>180</v>
      </c>
      <c r="S230" s="50">
        <f t="shared" si="74"/>
        <v>187.02600000000001</v>
      </c>
      <c r="T230" s="18" cm="1">
        <f t="array" ref="T230">_xlfn.IFS(C230="Calandra",0.4,C230="Felpagem",0.3,C230="Dublagem Spun",0.8,C230="Dublagem Cretone",0.8,C230="Dublagem Cretone PES",0.8,C230="Espelhamento",0.8,C230="Peletização",0.5,C230="Dublagem Spun - MO",0.8,C230="Dublagem Cretone - MO",0.8,C230="Dublagem Cretone PES - MO",0.8,C230="Espelhamento - MO",0.8,C230="Emborrachamento",1,C230="Malha",0,C230="Dublagem Barreira",1,C230="Pel. + Cal.",0.4,C230="Fel. + Pel. + Cal.",0.5,C230="Pel. + Spun",0.8,C230="Espelhamento - L: 1,45m",0.8,C230="Espelhamento - L: 1,65m",0.8,C230="Estampagem",1,C230="Fel. + Cal.",0.4,C230="Dublagem Juta",0.8,C230="Dublagem Cretone - MO (Juta)",0.8,C230="Dublagem Tapete",0.8,C230="Esp. + Pel.",0.8,C230="Espelhamento 2x",0.8)</f>
        <v>0.8</v>
      </c>
      <c r="U230" s="18">
        <v>1</v>
      </c>
      <c r="V230" s="18">
        <v>1</v>
      </c>
      <c r="W230" s="18"/>
      <c r="X230" s="18">
        <v>39.67</v>
      </c>
      <c r="Y230" s="18">
        <v>38.51</v>
      </c>
      <c r="Z230" s="18">
        <v>116.78</v>
      </c>
      <c r="AA230" s="18"/>
    </row>
    <row r="231" spans="1:27" ht="14.25" customHeight="1" x14ac:dyDescent="0.35">
      <c r="A231" s="18"/>
      <c r="B231" s="43"/>
      <c r="C231" s="32" t="s">
        <v>247</v>
      </c>
      <c r="D231" s="32"/>
      <c r="E231" s="33">
        <v>1</v>
      </c>
      <c r="F231" s="35">
        <v>5.9</v>
      </c>
      <c r="G231" s="25">
        <f>F231</f>
        <v>5.9</v>
      </c>
      <c r="H231" s="26" t="s">
        <v>243</v>
      </c>
      <c r="I231" s="27">
        <f t="shared" si="96"/>
        <v>5.9</v>
      </c>
      <c r="J231" s="28">
        <v>45663</v>
      </c>
      <c r="K231" s="36" t="s">
        <v>259</v>
      </c>
      <c r="L231" s="30">
        <f>G231-M231-N231</f>
        <v>1.6100000000000008</v>
      </c>
      <c r="M231" s="30">
        <f>IF(B231="Texion Textil",0,IF(C231="Malha",'Custos insumos'!$B$24,IF(C231="Dublagem Cretone",'Custos insumos'!$D$7,IF(C231="Dublagem Spun",'Custos insumos'!$D$4,IF(C231="Espelhamento",'Custos insumos'!$B$11,IF(C231="Espelhamento 2x",2*'Custos insumos'!$B$11,IF(C231="Esp. + Pel.",'Custos insumos'!$B$11,IF(C231="Pel. + Spun",'Custos insumos'!$D$4,IF(C231="Dublagem Cretone PES",'Custos insumos'!$D$7,IF(C231="Dublagem Barreira",'Custos insumos'!$D$11,IF(C231="Dublagem - MO + Filme",'Custos insumos'!$D$4,IF(C231="Dublagem Cretone HM50",'Custos insumos'!$F$9,IF(C231="Dublagem Cretone HM70",'Custos insumos'!$F$10,)))))))))))))</f>
        <v>1.962</v>
      </c>
      <c r="N231" s="30">
        <f>IF(B231="Texion Textil",0,IF(B231="Três Elos",0,IF(C231="Malha",0,IF(C231="Dublagem Cretone",'Custos insumos'!$D$23,IF(C231="Dublagem Spun",'Custos insumos'!$D$16,IF(C231="Espelhamento",0,IF(C231="Espelhamento 2x",0,IF(C231="Esp. + Pel.",0,IF(C231="Pel. + Spun",'Custos insumos'!$D$16,IF(C231="Dublagem Cretone PES",'Custos insumos'!$F$25,IF(C231="Dublagem Barreira",'Custos insumos'!$D$22,)))))))))))</f>
        <v>2.3279999999999998</v>
      </c>
      <c r="O231" s="50">
        <f t="shared" si="98"/>
        <v>186912</v>
      </c>
      <c r="P231" s="53">
        <f t="shared" si="72"/>
        <v>9.6774011299434928E-2</v>
      </c>
      <c r="Q231" s="50">
        <f t="shared" si="73"/>
        <v>1062</v>
      </c>
      <c r="R231" s="50" cm="1">
        <f t="array" ref="R231">_xlfn.IFS(C231="Calandra",(350),C231="Peletização",(421),C231="Dublagem Spun",(250),C231="Dublagem Cretone PES",(180),C231="Felpagem",(270/E231),C231="Emborrachamento",(200),C231="Espelhamento",(250),C231="Malha",(1),C231="Dublagem Cretone",(180),C231="Malha",(1),C231="Dublagem Spun - MO",250,C231="Dublagem Cretone - MO",180,C231="Dublagem Cretone PES - MO",180,C231="Espelhamento - MO",250,C231="Emborrachamento",100,C231="Malha",0,C231="Dublagem Barreira",100,C231="Pel. + Cal.",350,C231="Fel. + Pel. + Cal.",270,C231="Pel. + Spun",250,C231="Espelhamento - L: 1,45m",200,C231="Espelhamento - L: 1,65m",200,C231="Estampagem",100,C231="Fel. + Cal.",270,C231="Dublagem Juta",180,C231="Dublagem Cretone - MO (Juta)",180,C231="Dublagem Tapete",150,C231="Esp. + Pel.",200,C231="Espelhamento 2x",100)</f>
        <v>180</v>
      </c>
      <c r="S231" s="50">
        <f t="shared" si="74"/>
        <v>959.22600000000011</v>
      </c>
      <c r="T231" s="18" cm="1">
        <f t="array" ref="T231">_xlfn.IFS(C231="Calandra",0.4,C231="Felpagem",0.3,C231="Dublagem Spun",0.8,C231="Dublagem Cretone",0.8,C231="Dublagem Cretone PES",0.8,C231="Espelhamento",0.8,C231="Peletização",0.5,C231="Dublagem Spun - MO",0.8,C231="Dublagem Cretone - MO",0.8,C231="Dublagem Cretone PES - MO",0.8,C231="Espelhamento - MO",0.8,C231="Emborrachamento",1,C231="Malha",0,C231="Dublagem Barreira",1,C231="Pel. + Cal.",0.4,C231="Fel. + Pel. + Cal.",0.5,C231="Pel. + Spun",0.8,C231="Espelhamento - L: 1,45m",0.8,C231="Espelhamento - L: 1,65m",0.8,C231="Estampagem",1,C231="Fel. + Cal.",0.4,C231="Dublagem Juta",0.8,C231="Dublagem Cretone - MO (Juta)",0.8,C231="Dublagem Tapete",0.8,C231="Esp. + Pel.",0.8,C231="Espelhamento 2x",0.8)</f>
        <v>0.8</v>
      </c>
      <c r="U231" s="18">
        <v>1</v>
      </c>
      <c r="V231" s="18">
        <v>1</v>
      </c>
      <c r="W231" s="18"/>
      <c r="X231" s="18">
        <v>39.67</v>
      </c>
      <c r="Y231" s="18">
        <v>38.51</v>
      </c>
      <c r="Z231" s="18">
        <v>116.78</v>
      </c>
      <c r="AA231" s="18"/>
    </row>
    <row r="232" spans="1:27" ht="14.25" customHeight="1" x14ac:dyDescent="0.35">
      <c r="A232" s="18"/>
      <c r="B232" s="43"/>
      <c r="C232" s="32" t="s">
        <v>261</v>
      </c>
      <c r="D232" s="32"/>
      <c r="E232" s="33">
        <v>1</v>
      </c>
      <c r="F232" s="35">
        <v>1.1499999999999999</v>
      </c>
      <c r="G232" s="25">
        <f>F232</f>
        <v>1.1499999999999999</v>
      </c>
      <c r="H232" s="26" t="s">
        <v>243</v>
      </c>
      <c r="I232" s="27">
        <f t="shared" si="96"/>
        <v>1.1499999999999999</v>
      </c>
      <c r="J232" s="28">
        <v>45663</v>
      </c>
      <c r="K232" s="36" t="s">
        <v>258</v>
      </c>
      <c r="L232" s="30">
        <f>G232-M232-N232</f>
        <v>1.1499999999999999</v>
      </c>
      <c r="M232" s="30">
        <f>IF(B232="Texion Textil",0,IF(C232="Malha",'Custos insumos'!$B$24,IF(C232="Dublagem Cretone",'Custos insumos'!$D$7,IF(C232="Dublagem Spun",'Custos insumos'!$D$4,IF(C232="Espelhamento",'Custos insumos'!$B$11,IF(C232="Espelhamento 2x",2*'Custos insumos'!$B$11,IF(C232="Esp. + Pel.",'Custos insumos'!$B$11,IF(C232="Pel. + Spun",'Custos insumos'!$D$4,IF(C232="Dublagem Cretone PES",'Custos insumos'!$D$7,IF(C232="Dublagem Barreira",'Custos insumos'!$D$11,IF(C232="Dublagem - MO + Filme",'Custos insumos'!$D$4,IF(C232="Dublagem Cretone HM50",'Custos insumos'!$F$9,IF(C232="Dublagem Cretone HM70",'Custos insumos'!$F$10,)))))))))))))</f>
        <v>0</v>
      </c>
      <c r="N232" s="30">
        <f>IF(B232="Texion Textil",0,IF(B232="Três Elos",0,IF(C232="Malha",0,IF(C232="Dublagem Cretone",'Custos insumos'!$D$23,IF(C232="Dublagem Spun",'Custos insumos'!$D$16,IF(C232="Espelhamento",0,IF(C232="Espelhamento 2x",0,IF(C232="Esp. + Pel.",0,IF(C232="Pel. + Spun",'Custos insumos'!$D$16,IF(C232="Dublagem Cretone PES",'Custos insumos'!$F$25,IF(C232="Dublagem Barreira",'Custos insumos'!$D$22,)))))))))))</f>
        <v>0</v>
      </c>
      <c r="O232" s="50">
        <f t="shared" si="98"/>
        <v>36431.999999999993</v>
      </c>
      <c r="P232" s="53">
        <f t="shared" si="72"/>
        <v>9.6492753623188238E-2</v>
      </c>
      <c r="Q232" s="50">
        <f t="shared" si="73"/>
        <v>206.99999999999997</v>
      </c>
      <c r="R232" s="50" cm="1">
        <f t="array" ref="R232">_xlfn.IFS(C232="Calandra",(350),C232="Peletização",(421),C232="Dublagem Spun",(250),C232="Dublagem Cretone PES",(180),C232="Felpagem",(270/E232),C232="Emborrachamento",(200),C232="Espelhamento",(250),C232="Malha",(1),C232="Dublagem Cretone",(180),C232="Malha",(1),C232="Dublagem Spun - MO",250,C232="Dublagem Cretone - MO",180,C232="Dublagem Cretone PES - MO",180,C232="Espelhamento - MO",250,C232="Emborrachamento",100,C232="Malha",0,C232="Dublagem Barreira",100,C232="Pel. + Cal.",350,C232="Fel. + Pel. + Cal.",270,C232="Pel. + Spun",250,C232="Espelhamento - L: 1,45m",200,C232="Espelhamento - L: 1,65m",200,C232="Estampagem",100,C232="Fel. + Cal.",270,C232="Dublagem Juta",180,C232="Dublagem Cretone - MO (Juta)",180,C232="Dublagem Tapete",150,C232="Esp. + Pel.",200,C232="Espelhamento 2x",100)</f>
        <v>180</v>
      </c>
      <c r="S232" s="50">
        <f t="shared" si="74"/>
        <v>187.02600000000001</v>
      </c>
      <c r="T232" s="18" cm="1">
        <f t="array" ref="T232">_xlfn.IFS(C232="Calandra",0.4,C232="Felpagem",0.3,C232="Dublagem Spun",0.8,C232="Dublagem Cretone",0.8,C232="Dublagem Cretone PES",0.8,C232="Espelhamento",0.8,C232="Peletização",0.5,C232="Dublagem Spun - MO",0.8,C232="Dublagem Cretone - MO",0.8,C232="Dublagem Cretone PES - MO",0.8,C232="Espelhamento - MO",0.8,C232="Emborrachamento",1,C232="Malha",0,C232="Dublagem Barreira",1,C232="Pel. + Cal.",0.4,C232="Fel. + Pel. + Cal.",0.5,C232="Pel. + Spun",0.8,C232="Espelhamento - L: 1,45m",0.8,C232="Espelhamento - L: 1,65m",0.8,C232="Estampagem",1,C232="Fel. + Cal.",0.4,C232="Dublagem Juta",0.8,C232="Dublagem Cretone - MO (Juta)",0.8,C232="Dublagem Tapete",0.8,C232="Esp. + Pel.",0.8,C232="Espelhamento 2x",0.8)</f>
        <v>0.8</v>
      </c>
      <c r="U232" s="18">
        <v>1</v>
      </c>
      <c r="V232" s="18">
        <v>1</v>
      </c>
      <c r="W232" s="18"/>
      <c r="X232" s="18">
        <v>39.67</v>
      </c>
      <c r="Y232" s="18">
        <v>38.51</v>
      </c>
      <c r="Z232" s="18">
        <v>116.78</v>
      </c>
      <c r="AA232" s="18"/>
    </row>
    <row r="233" spans="1:27" ht="14.25" customHeight="1" x14ac:dyDescent="0.35">
      <c r="A233" s="18"/>
      <c r="B233" s="44"/>
      <c r="C233" s="45" t="s">
        <v>251</v>
      </c>
      <c r="D233" s="45"/>
      <c r="E233" s="46">
        <v>1</v>
      </c>
      <c r="F233" s="47">
        <v>5.9</v>
      </c>
      <c r="G233" s="25">
        <f>F233</f>
        <v>5.9</v>
      </c>
      <c r="H233" s="48" t="s">
        <v>243</v>
      </c>
      <c r="I233" s="47">
        <f t="shared" si="96"/>
        <v>5.9</v>
      </c>
      <c r="J233" s="54">
        <v>45663</v>
      </c>
      <c r="K233" s="49" t="s">
        <v>259</v>
      </c>
      <c r="L233" s="30">
        <f>G233-M233-N233</f>
        <v>1.6100000000000008</v>
      </c>
      <c r="M233" s="30">
        <f>IF(B233="Texion Textil",0,IF(C233="Malha",'Custos insumos'!$B$24,IF(C233="Dublagem Cretone",'Custos insumos'!$D$7,IF(C233="Dublagem Spun",'Custos insumos'!$D$4,IF(C233="Espelhamento",'Custos insumos'!$B$11,IF(C233="Espelhamento 2x",2*'Custos insumos'!$B$11,IF(C233="Esp. + Pel.",'Custos insumos'!$B$11,IF(C233="Pel. + Spun",'Custos insumos'!$D$4,IF(C233="Dublagem Cretone PES",'Custos insumos'!$D$7,IF(C233="Dublagem Barreira",'Custos insumos'!$D$11,IF(C233="Dublagem - MO + Filme",'Custos insumos'!$D$4,IF(C233="Dublagem Cretone HM50",'Custos insumos'!$F$9,IF(C233="Dublagem Cretone HM70",'Custos insumos'!$F$10,)))))))))))))</f>
        <v>1.962</v>
      </c>
      <c r="N233" s="30">
        <f>IF(B233="Texion Textil",0,IF(B233="Três Elos",0,IF(C233="Malha",0,IF(C233="Dublagem Cretone",'Custos insumos'!$D$23,IF(C233="Dublagem Spun",'Custos insumos'!$D$16,IF(C233="Espelhamento",0,IF(C233="Espelhamento 2x",0,IF(C233="Esp. + Pel.",0,IF(C233="Pel. + Spun",'Custos insumos'!$D$16,IF(C233="Dublagem Cretone PES",'Custos insumos'!$F$25,IF(C233="Dublagem Barreira",'Custos insumos'!$D$22,)))))))))))</f>
        <v>2.3279999999999998</v>
      </c>
      <c r="O233" s="50">
        <f t="shared" si="98"/>
        <v>186912</v>
      </c>
      <c r="P233" s="53">
        <f t="shared" si="72"/>
        <v>9.6774011299434928E-2</v>
      </c>
      <c r="Q233" s="50">
        <f t="shared" si="73"/>
        <v>1062</v>
      </c>
      <c r="R233" s="50" cm="1">
        <f t="array" ref="R233">_xlfn.IFS(C233="Calandra",(350),C233="Peletização",(421),C233="Dublagem Spun",(250),C233="Dublagem Cretone PES",(180),C233="Felpagem",(270/E233),C233="Emborrachamento",(200),C233="Espelhamento",(250),C233="Malha",(1),C233="Dublagem Cretone",(180),C233="Malha",(1),C233="Dublagem Spun - MO",250,C233="Dublagem Cretone - MO",180,C233="Dublagem Cretone PES - MO",180,C233="Espelhamento - MO",250,C233="Emborrachamento",100,C233="Malha",0,C233="Dublagem Barreira",100,C233="Pel. + Cal.",350,C233="Fel. + Pel. + Cal.",270,C233="Pel. + Spun",250,C233="Espelhamento - L: 1,45m",200,C233="Espelhamento - L: 1,65m",200,C233="Estampagem",100,C233="Fel. + Cal.",270,C233="Dublagem Juta",180,C233="Dublagem Cretone - MO (Juta)",180,C233="Dublagem Tapete",150,C233="Esp. + Pel.",200,C233="Espelhamento 2x",100)</f>
        <v>180</v>
      </c>
      <c r="S233" s="50">
        <f t="shared" si="74"/>
        <v>959.22600000000011</v>
      </c>
      <c r="T233" s="18" cm="1">
        <f t="array" ref="T233">_xlfn.IFS(C233="Calandra",0.4,C233="Felpagem",0.3,C233="Dublagem Spun",0.8,C233="Dublagem Cretone",0.8,C233="Dublagem Cretone PES",0.8,C233="Espelhamento",0.8,C233="Peletização",0.5,C233="Dublagem Spun - MO",0.8,C233="Dublagem Cretone - MO",0.8,C233="Dublagem Cretone PES - MO",0.8,C233="Espelhamento - MO",0.8,C233="Emborrachamento",1,C233="Malha",0,C233="Dublagem Barreira",1,C233="Pel. + Cal.",0.4,C233="Fel. + Pel. + Cal.",0.5,C233="Pel. + Spun",0.8,C233="Espelhamento - L: 1,45m",0.8,C233="Espelhamento - L: 1,65m",0.8,C233="Estampagem",1,C233="Fel. + Cal.",0.4,C233="Dublagem Juta",0.8,C233="Dublagem Cretone - MO (Juta)",0.8,C233="Dublagem Tapete",0.8,C233="Esp. + Pel.",0.8,C233="Espelhamento 2x",0.8)</f>
        <v>0.8</v>
      </c>
      <c r="U233" s="18">
        <v>1</v>
      </c>
      <c r="V233" s="18">
        <v>1</v>
      </c>
      <c r="W233" s="18"/>
      <c r="X233" s="18">
        <v>39.67</v>
      </c>
      <c r="Y233" s="18">
        <v>38.51</v>
      </c>
      <c r="Z233" s="18">
        <v>116.78</v>
      </c>
      <c r="AA233" s="18"/>
    </row>
    <row r="234" spans="1:27" ht="14.25" customHeight="1" x14ac:dyDescent="0.3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ht="14.25" customHeight="1" x14ac:dyDescent="0.35">
      <c r="A235" s="18"/>
      <c r="B235" s="18"/>
      <c r="C235" s="18"/>
      <c r="D235" s="18"/>
      <c r="E235" s="18"/>
      <c r="F235" s="18">
        <f>270*44*4*0.4</f>
        <v>19008</v>
      </c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ht="14.25" customHeight="1" x14ac:dyDescent="0.3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ht="14.25" customHeight="1" x14ac:dyDescent="0.35">
      <c r="A237" s="18"/>
      <c r="B237" s="18"/>
      <c r="C237" s="18"/>
      <c r="D237" s="18"/>
      <c r="E237" s="18"/>
      <c r="F237" s="18"/>
      <c r="G237" s="50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50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ht="14.25" customHeight="1" x14ac:dyDescent="0.3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ht="14.25" customHeight="1" x14ac:dyDescent="0.3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ht="14.25" customHeight="1" x14ac:dyDescent="0.3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ht="14.25" customHeight="1" x14ac:dyDescent="0.3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ht="14.25" customHeight="1" x14ac:dyDescent="0.3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ht="14.25" customHeight="1" x14ac:dyDescent="0.3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ht="14.25" customHeight="1" x14ac:dyDescent="0.3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ht="14.25" customHeight="1" x14ac:dyDescent="0.3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ht="14.25" customHeight="1" x14ac:dyDescent="0.3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ht="14.25" customHeight="1" x14ac:dyDescent="0.3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ht="14.25" customHeight="1" x14ac:dyDescent="0.3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ht="14.25" customHeight="1" x14ac:dyDescent="0.3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ht="14.25" customHeight="1" x14ac:dyDescent="0.3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ht="14.25" customHeight="1" x14ac:dyDescent="0.3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ht="14.25" customHeight="1" x14ac:dyDescent="0.3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ht="14.25" customHeight="1" x14ac:dyDescent="0.3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ht="14.25" customHeight="1" x14ac:dyDescent="0.3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ht="14.25" customHeight="1" x14ac:dyDescent="0.3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ht="14.25" customHeight="1" x14ac:dyDescent="0.3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ht="14.25" customHeight="1" x14ac:dyDescent="0.3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ht="14.25" customHeight="1" x14ac:dyDescent="0.3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ht="14.25" customHeight="1" x14ac:dyDescent="0.3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ht="14.25" customHeight="1" x14ac:dyDescent="0.3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ht="14.25" customHeight="1" x14ac:dyDescent="0.3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ht="14.25" customHeight="1" x14ac:dyDescent="0.3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ht="14.25" customHeight="1" x14ac:dyDescent="0.3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ht="14.25" customHeight="1" x14ac:dyDescent="0.3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ht="14.25" customHeight="1" x14ac:dyDescent="0.3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ht="14.25" customHeight="1" x14ac:dyDescent="0.3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ht="14.25" customHeight="1" x14ac:dyDescent="0.3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ht="14.25" customHeight="1" x14ac:dyDescent="0.3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ht="14.25" customHeight="1" x14ac:dyDescent="0.3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ht="14.25" customHeight="1" x14ac:dyDescent="0.3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ht="14.25" customHeight="1" x14ac:dyDescent="0.3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ht="14.25" customHeight="1" x14ac:dyDescent="0.3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ht="14.25" customHeight="1" x14ac:dyDescent="0.3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ht="14.25" customHeight="1" x14ac:dyDescent="0.3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ht="14.25" customHeight="1" x14ac:dyDescent="0.3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ht="14.25" customHeight="1" x14ac:dyDescent="0.3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ht="14.25" customHeight="1" x14ac:dyDescent="0.3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ht="14.25" customHeight="1" x14ac:dyDescent="0.3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ht="14.25" customHeight="1" x14ac:dyDescent="0.3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ht="14.25" customHeight="1" x14ac:dyDescent="0.3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ht="14.25" customHeight="1" x14ac:dyDescent="0.3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ht="14.25" customHeight="1" x14ac:dyDescent="0.3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ht="14.25" customHeight="1" x14ac:dyDescent="0.3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ht="14.25" customHeight="1" x14ac:dyDescent="0.3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ht="14.25" customHeight="1" x14ac:dyDescent="0.3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ht="14.25" customHeight="1" x14ac:dyDescent="0.3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ht="14.25" customHeight="1" x14ac:dyDescent="0.3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ht="14.25" customHeight="1" x14ac:dyDescent="0.3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ht="14.25" customHeight="1" x14ac:dyDescent="0.3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ht="14.25" customHeight="1" x14ac:dyDescent="0.3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ht="14.25" customHeight="1" x14ac:dyDescent="0.3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ht="14.25" customHeight="1" x14ac:dyDescent="0.3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ht="14.25" customHeight="1" x14ac:dyDescent="0.3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ht="14.25" customHeight="1" x14ac:dyDescent="0.3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ht="14.25" customHeight="1" x14ac:dyDescent="0.3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ht="14.25" customHeight="1" x14ac:dyDescent="0.3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ht="14.25" customHeight="1" x14ac:dyDescent="0.3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ht="14.25" customHeight="1" x14ac:dyDescent="0.3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ht="14.25" customHeight="1" x14ac:dyDescent="0.3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ht="14.25" customHeight="1" x14ac:dyDescent="0.3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ht="14.25" customHeight="1" x14ac:dyDescent="0.3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ht="14.25" customHeight="1" x14ac:dyDescent="0.3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ht="14.25" customHeight="1" x14ac:dyDescent="0.3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ht="14.25" customHeight="1" x14ac:dyDescent="0.3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ht="14.25" customHeight="1" x14ac:dyDescent="0.3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ht="14.25" customHeight="1" x14ac:dyDescent="0.3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ht="14.25" customHeight="1" x14ac:dyDescent="0.3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ht="14.25" customHeight="1" x14ac:dyDescent="0.3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ht="14.25" customHeight="1" x14ac:dyDescent="0.3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ht="14.25" customHeight="1" x14ac:dyDescent="0.3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ht="14.25" customHeight="1" x14ac:dyDescent="0.3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ht="14.25" customHeight="1" x14ac:dyDescent="0.3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ht="14.25" customHeight="1" x14ac:dyDescent="0.3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ht="14.25" customHeight="1" x14ac:dyDescent="0.3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ht="14.25" customHeight="1" x14ac:dyDescent="0.3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ht="14.25" customHeight="1" x14ac:dyDescent="0.3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ht="14.25" customHeight="1" x14ac:dyDescent="0.3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ht="14.25" customHeight="1" x14ac:dyDescent="0.3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ht="14.25" customHeight="1" x14ac:dyDescent="0.3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ht="14.25" customHeight="1" x14ac:dyDescent="0.3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 ht="14.25" customHeight="1" x14ac:dyDescent="0.3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 ht="14.25" customHeight="1" x14ac:dyDescent="0.3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 ht="14.25" customHeight="1" x14ac:dyDescent="0.3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 ht="14.25" customHeight="1" x14ac:dyDescent="0.3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 ht="14.25" customHeight="1" x14ac:dyDescent="0.3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 ht="14.25" customHeight="1" x14ac:dyDescent="0.3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 ht="14.25" customHeight="1" x14ac:dyDescent="0.3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 ht="14.25" customHeight="1" x14ac:dyDescent="0.3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 ht="14.25" customHeight="1" x14ac:dyDescent="0.3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ht="14.25" customHeight="1" x14ac:dyDescent="0.3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ht="14.25" customHeight="1" x14ac:dyDescent="0.3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ht="14.25" customHeight="1" x14ac:dyDescent="0.3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ht="14.25" customHeight="1" x14ac:dyDescent="0.3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ht="14.25" customHeight="1" x14ac:dyDescent="0.3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 ht="14.25" customHeight="1" x14ac:dyDescent="0.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ht="14.25" customHeight="1" x14ac:dyDescent="0.3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ht="14.25" customHeight="1" x14ac:dyDescent="0.3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ht="14.25" customHeight="1" x14ac:dyDescent="0.3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ht="14.25" customHeight="1" x14ac:dyDescent="0.3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ht="14.25" customHeight="1" x14ac:dyDescent="0.3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ht="14.25" customHeight="1" x14ac:dyDescent="0.3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ht="14.25" customHeight="1" x14ac:dyDescent="0.3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ht="14.25" customHeight="1" x14ac:dyDescent="0.3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ht="14.25" customHeight="1" x14ac:dyDescent="0.3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ht="14.25" customHeight="1" x14ac:dyDescent="0.3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ht="14.25" customHeight="1" x14ac:dyDescent="0.3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ht="14.25" customHeight="1" x14ac:dyDescent="0.3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ht="14.25" customHeight="1" x14ac:dyDescent="0.3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ht="14.25" customHeight="1" x14ac:dyDescent="0.3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ht="14.25" customHeight="1" x14ac:dyDescent="0.3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ht="14.25" customHeight="1" x14ac:dyDescent="0.3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ht="14.25" customHeight="1" x14ac:dyDescent="0.3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ht="14.25" customHeight="1" x14ac:dyDescent="0.3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ht="14.25" customHeight="1" x14ac:dyDescent="0.3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ht="14.25" customHeight="1" x14ac:dyDescent="0.3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ht="14.25" customHeight="1" x14ac:dyDescent="0.3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ht="14.25" customHeight="1" x14ac:dyDescent="0.3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ht="14.25" customHeight="1" x14ac:dyDescent="0.3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ht="14.25" customHeight="1" x14ac:dyDescent="0.3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ht="14.25" customHeight="1" x14ac:dyDescent="0.3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ht="14.25" customHeight="1" x14ac:dyDescent="0.3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ht="14.25" customHeight="1" x14ac:dyDescent="0.3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ht="14.25" customHeight="1" x14ac:dyDescent="0.3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ht="14.25" customHeight="1" x14ac:dyDescent="0.3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ht="14.25" customHeight="1" x14ac:dyDescent="0.3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ht="14.25" customHeight="1" x14ac:dyDescent="0.3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ht="14.25" customHeight="1" x14ac:dyDescent="0.3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ht="14.25" customHeight="1" x14ac:dyDescent="0.3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ht="14.25" customHeight="1" x14ac:dyDescent="0.3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ht="14.25" customHeight="1" x14ac:dyDescent="0.3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ht="14.25" customHeight="1" x14ac:dyDescent="0.3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ht="14.25" customHeight="1" x14ac:dyDescent="0.3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ht="14.25" customHeight="1" x14ac:dyDescent="0.3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ht="14.25" customHeight="1" x14ac:dyDescent="0.3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ht="14.25" customHeight="1" x14ac:dyDescent="0.3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ht="14.25" customHeight="1" x14ac:dyDescent="0.3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ht="14.25" customHeight="1" x14ac:dyDescent="0.3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ht="14.25" customHeight="1" x14ac:dyDescent="0.3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ht="14.25" customHeight="1" x14ac:dyDescent="0.3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ht="14.25" customHeight="1" x14ac:dyDescent="0.3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ht="14.25" customHeight="1" x14ac:dyDescent="0.3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ht="14.25" customHeight="1" x14ac:dyDescent="0.3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 ht="14.25" customHeight="1" x14ac:dyDescent="0.3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 ht="14.25" customHeight="1" x14ac:dyDescent="0.3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 ht="14.25" customHeight="1" x14ac:dyDescent="0.3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 ht="14.25" customHeight="1" x14ac:dyDescent="0.3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ht="14.25" customHeight="1" x14ac:dyDescent="0.3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 ht="14.25" customHeight="1" x14ac:dyDescent="0.3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 ht="14.25" customHeight="1" x14ac:dyDescent="0.3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ht="14.25" customHeight="1" x14ac:dyDescent="0.3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ht="14.25" customHeight="1" x14ac:dyDescent="0.3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 ht="14.25" customHeight="1" x14ac:dyDescent="0.3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 ht="14.25" customHeight="1" x14ac:dyDescent="0.3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 ht="14.25" customHeight="1" x14ac:dyDescent="0.3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 ht="14.25" customHeight="1" x14ac:dyDescent="0.3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 ht="14.25" customHeight="1" x14ac:dyDescent="0.3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 ht="14.25" customHeight="1" x14ac:dyDescent="0.3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 ht="14.25" customHeight="1" x14ac:dyDescent="0.3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 ht="14.25" customHeight="1" x14ac:dyDescent="0.3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 ht="14.25" customHeight="1" x14ac:dyDescent="0.3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 ht="14.25" customHeight="1" x14ac:dyDescent="0.3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ht="14.25" customHeight="1" x14ac:dyDescent="0.3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 ht="14.25" customHeight="1" x14ac:dyDescent="0.3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 ht="14.25" customHeight="1" x14ac:dyDescent="0.3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 ht="14.25" customHeight="1" x14ac:dyDescent="0.3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 ht="14.25" customHeight="1" x14ac:dyDescent="0.3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 ht="14.25" customHeight="1" x14ac:dyDescent="0.3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 ht="14.25" customHeight="1" x14ac:dyDescent="0.3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 ht="14.25" customHeight="1" x14ac:dyDescent="0.3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 ht="14.25" customHeight="1" x14ac:dyDescent="0.3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 ht="14.25" customHeight="1" x14ac:dyDescent="0.3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 ht="14.25" customHeight="1" x14ac:dyDescent="0.3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 ht="14.25" customHeight="1" x14ac:dyDescent="0.3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 ht="14.25" customHeight="1" x14ac:dyDescent="0.3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ht="14.25" customHeight="1" x14ac:dyDescent="0.3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 ht="14.25" customHeight="1" x14ac:dyDescent="0.3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ht="14.25" customHeight="1" x14ac:dyDescent="0.3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 ht="14.25" customHeight="1" x14ac:dyDescent="0.3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 ht="14.25" customHeight="1" x14ac:dyDescent="0.3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 ht="14.25" customHeight="1" x14ac:dyDescent="0.3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 ht="14.25" customHeight="1" x14ac:dyDescent="0.3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 ht="14.25" customHeight="1" x14ac:dyDescent="0.3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 ht="14.25" customHeight="1" x14ac:dyDescent="0.3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 ht="14.25" customHeight="1" x14ac:dyDescent="0.3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 ht="14.25" customHeight="1" x14ac:dyDescent="0.3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 ht="14.25" customHeight="1" x14ac:dyDescent="0.3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 ht="14.25" customHeight="1" x14ac:dyDescent="0.3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 ht="14.25" customHeight="1" x14ac:dyDescent="0.3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 ht="14.25" customHeight="1" x14ac:dyDescent="0.3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 ht="14.25" customHeight="1" x14ac:dyDescent="0.3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 ht="14.25" customHeight="1" x14ac:dyDescent="0.3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 ht="14.25" customHeight="1" x14ac:dyDescent="0.3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 ht="14.25" customHeight="1" x14ac:dyDescent="0.3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 ht="14.25" customHeight="1" x14ac:dyDescent="0.3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 ht="14.25" customHeight="1" x14ac:dyDescent="0.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 ht="14.25" customHeight="1" x14ac:dyDescent="0.3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 ht="14.25" customHeight="1" x14ac:dyDescent="0.3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 ht="14.25" customHeight="1" x14ac:dyDescent="0.3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 ht="14.25" customHeight="1" x14ac:dyDescent="0.3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 ht="14.25" customHeight="1" x14ac:dyDescent="0.3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 ht="14.25" customHeight="1" x14ac:dyDescent="0.3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 ht="14.25" customHeight="1" x14ac:dyDescent="0.3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ht="14.25" customHeight="1" x14ac:dyDescent="0.3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 ht="14.25" customHeight="1" x14ac:dyDescent="0.3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 ht="14.25" customHeight="1" x14ac:dyDescent="0.3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 ht="14.25" customHeight="1" x14ac:dyDescent="0.3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 ht="14.25" customHeight="1" x14ac:dyDescent="0.3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 ht="14.25" customHeight="1" x14ac:dyDescent="0.3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 ht="14.25" customHeight="1" x14ac:dyDescent="0.3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 ht="14.25" customHeight="1" x14ac:dyDescent="0.3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 ht="14.25" customHeight="1" x14ac:dyDescent="0.3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ht="14.25" customHeight="1" x14ac:dyDescent="0.3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 ht="14.25" customHeight="1" x14ac:dyDescent="0.3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 ht="14.25" customHeight="1" x14ac:dyDescent="0.3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 ht="14.25" customHeight="1" x14ac:dyDescent="0.3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 ht="14.25" customHeight="1" x14ac:dyDescent="0.3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ht="14.25" customHeight="1" x14ac:dyDescent="0.3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ht="14.25" customHeight="1" x14ac:dyDescent="0.3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 ht="14.25" customHeight="1" x14ac:dyDescent="0.3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 ht="14.25" customHeight="1" x14ac:dyDescent="0.3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 ht="14.25" customHeight="1" x14ac:dyDescent="0.3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 ht="14.25" customHeight="1" x14ac:dyDescent="0.3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 ht="14.25" customHeight="1" x14ac:dyDescent="0.3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 ht="14.25" customHeight="1" x14ac:dyDescent="0.3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 ht="14.25" customHeight="1" x14ac:dyDescent="0.3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 ht="14.25" customHeight="1" x14ac:dyDescent="0.3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 ht="14.25" customHeight="1" x14ac:dyDescent="0.3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 ht="14.25" customHeight="1" x14ac:dyDescent="0.3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 ht="14.25" customHeight="1" x14ac:dyDescent="0.3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 ht="14.25" customHeight="1" x14ac:dyDescent="0.3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 ht="14.25" customHeight="1" x14ac:dyDescent="0.3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 ht="14.25" customHeight="1" x14ac:dyDescent="0.3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ht="14.25" customHeight="1" x14ac:dyDescent="0.3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ht="14.25" customHeight="1" x14ac:dyDescent="0.3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ht="14.25" customHeight="1" x14ac:dyDescent="0.3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ht="14.25" customHeight="1" x14ac:dyDescent="0.3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ht="14.25" customHeight="1" x14ac:dyDescent="0.3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ht="14.25" customHeight="1" x14ac:dyDescent="0.3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ht="14.25" customHeight="1" x14ac:dyDescent="0.3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ht="14.25" customHeight="1" x14ac:dyDescent="0.3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ht="14.25" customHeight="1" x14ac:dyDescent="0.3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ht="14.25" customHeight="1" x14ac:dyDescent="0.3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ht="14.25" customHeight="1" x14ac:dyDescent="0.3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ht="14.25" customHeight="1" x14ac:dyDescent="0.3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ht="14.25" customHeight="1" x14ac:dyDescent="0.3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ht="14.25" customHeight="1" x14ac:dyDescent="0.3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ht="14.25" customHeight="1" x14ac:dyDescent="0.3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ht="14.25" customHeight="1" x14ac:dyDescent="0.3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ht="14.25" customHeight="1" x14ac:dyDescent="0.3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ht="14.25" customHeight="1" x14ac:dyDescent="0.3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ht="14.25" customHeight="1" x14ac:dyDescent="0.3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ht="14.25" customHeight="1" x14ac:dyDescent="0.3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ht="14.25" customHeight="1" x14ac:dyDescent="0.3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ht="14.25" customHeight="1" x14ac:dyDescent="0.3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ht="14.25" customHeight="1" x14ac:dyDescent="0.3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ht="14.25" customHeight="1" x14ac:dyDescent="0.3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ht="14.25" customHeight="1" x14ac:dyDescent="0.3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ht="14.25" customHeight="1" x14ac:dyDescent="0.3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ht="14.25" customHeight="1" x14ac:dyDescent="0.3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ht="14.25" customHeight="1" x14ac:dyDescent="0.3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ht="14.25" customHeight="1" x14ac:dyDescent="0.3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 ht="14.25" customHeight="1" x14ac:dyDescent="0.3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 ht="14.25" customHeight="1" x14ac:dyDescent="0.3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ht="14.25" customHeight="1" x14ac:dyDescent="0.3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ht="14.25" customHeight="1" x14ac:dyDescent="0.3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ht="14.25" customHeight="1" x14ac:dyDescent="0.3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ht="14.25" customHeight="1" x14ac:dyDescent="0.3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ht="14.25" customHeight="1" x14ac:dyDescent="0.3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ht="14.25" customHeight="1" x14ac:dyDescent="0.3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ht="14.25" customHeight="1" x14ac:dyDescent="0.3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ht="14.25" customHeight="1" x14ac:dyDescent="0.3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ht="14.25" customHeight="1" x14ac:dyDescent="0.3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ht="14.25" customHeight="1" x14ac:dyDescent="0.3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ht="14.25" customHeight="1" x14ac:dyDescent="0.3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ht="14.25" customHeight="1" x14ac:dyDescent="0.3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ht="14.25" customHeight="1" x14ac:dyDescent="0.3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ht="14.25" customHeight="1" x14ac:dyDescent="0.3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ht="14.25" customHeight="1" x14ac:dyDescent="0.3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ht="14.25" customHeight="1" x14ac:dyDescent="0.3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ht="14.25" customHeight="1" x14ac:dyDescent="0.3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ht="14.25" customHeight="1" x14ac:dyDescent="0.3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ht="14.25" customHeight="1" x14ac:dyDescent="0.3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ht="14.25" customHeight="1" x14ac:dyDescent="0.3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ht="14.25" customHeight="1" x14ac:dyDescent="0.3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ht="14.25" customHeight="1" x14ac:dyDescent="0.3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ht="14.25" customHeight="1" x14ac:dyDescent="0.3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 ht="14.25" customHeight="1" x14ac:dyDescent="0.3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 ht="14.25" customHeight="1" x14ac:dyDescent="0.3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 ht="14.25" customHeight="1" x14ac:dyDescent="0.3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 ht="14.25" customHeight="1" x14ac:dyDescent="0.3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 ht="14.25" customHeight="1" x14ac:dyDescent="0.3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 ht="14.25" customHeight="1" x14ac:dyDescent="0.3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 ht="14.25" customHeight="1" x14ac:dyDescent="0.3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 ht="14.25" customHeight="1" x14ac:dyDescent="0.3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 ht="14.25" customHeight="1" x14ac:dyDescent="0.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 ht="14.25" customHeight="1" x14ac:dyDescent="0.3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 ht="14.25" customHeight="1" x14ac:dyDescent="0.3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 ht="14.25" customHeight="1" x14ac:dyDescent="0.3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 ht="14.25" customHeight="1" x14ac:dyDescent="0.3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ht="14.25" customHeight="1" x14ac:dyDescent="0.3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ht="14.25" customHeight="1" x14ac:dyDescent="0.3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 ht="14.25" customHeight="1" x14ac:dyDescent="0.3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 ht="14.25" customHeight="1" x14ac:dyDescent="0.3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 ht="14.25" customHeight="1" x14ac:dyDescent="0.3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 ht="14.25" customHeight="1" x14ac:dyDescent="0.3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 ht="14.25" customHeight="1" x14ac:dyDescent="0.3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 ht="14.25" customHeight="1" x14ac:dyDescent="0.3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 ht="14.25" customHeight="1" x14ac:dyDescent="0.3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 ht="14.25" customHeight="1" x14ac:dyDescent="0.3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 ht="14.25" customHeight="1" x14ac:dyDescent="0.3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 ht="14.25" customHeight="1" x14ac:dyDescent="0.3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 ht="14.25" customHeight="1" x14ac:dyDescent="0.3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 ht="14.25" customHeight="1" x14ac:dyDescent="0.3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 ht="14.25" customHeight="1" x14ac:dyDescent="0.3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 ht="14.25" customHeight="1" x14ac:dyDescent="0.3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ht="14.25" customHeight="1" x14ac:dyDescent="0.3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 ht="14.25" customHeight="1" x14ac:dyDescent="0.3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 ht="14.25" customHeight="1" x14ac:dyDescent="0.3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 ht="14.25" customHeight="1" x14ac:dyDescent="0.3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 ht="14.25" customHeight="1" x14ac:dyDescent="0.3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 ht="14.25" customHeight="1" x14ac:dyDescent="0.3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 ht="14.25" customHeight="1" x14ac:dyDescent="0.3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 ht="14.25" customHeight="1" x14ac:dyDescent="0.3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 ht="14.25" customHeight="1" x14ac:dyDescent="0.3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 ht="14.25" customHeight="1" x14ac:dyDescent="0.3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 ht="14.25" customHeight="1" x14ac:dyDescent="0.3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 ht="14.25" customHeight="1" x14ac:dyDescent="0.3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 ht="14.25" customHeight="1" x14ac:dyDescent="0.3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ht="14.25" customHeight="1" x14ac:dyDescent="0.3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 ht="14.25" customHeight="1" x14ac:dyDescent="0.3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 ht="14.25" customHeight="1" x14ac:dyDescent="0.3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 ht="14.25" customHeight="1" x14ac:dyDescent="0.3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 ht="14.25" customHeight="1" x14ac:dyDescent="0.3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 ht="14.25" customHeight="1" x14ac:dyDescent="0.3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ht="14.25" customHeight="1" x14ac:dyDescent="0.3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 ht="14.25" customHeight="1" x14ac:dyDescent="0.3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ht="14.25" customHeight="1" x14ac:dyDescent="0.3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ht="14.25" customHeight="1" x14ac:dyDescent="0.3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ht="14.25" customHeight="1" x14ac:dyDescent="0.3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ht="14.25" customHeight="1" x14ac:dyDescent="0.3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ht="14.25" customHeight="1" x14ac:dyDescent="0.3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ht="14.25" customHeight="1" x14ac:dyDescent="0.3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ht="14.25" customHeight="1" x14ac:dyDescent="0.3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ht="14.25" customHeight="1" x14ac:dyDescent="0.3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ht="14.25" customHeight="1" x14ac:dyDescent="0.3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ht="14.25" customHeight="1" x14ac:dyDescent="0.3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ht="14.25" customHeight="1" x14ac:dyDescent="0.3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ht="14.25" customHeight="1" x14ac:dyDescent="0.3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ht="14.25" customHeight="1" x14ac:dyDescent="0.3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ht="14.25" customHeight="1" x14ac:dyDescent="0.3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ht="14.25" customHeight="1" x14ac:dyDescent="0.3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ht="14.25" customHeight="1" x14ac:dyDescent="0.3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ht="14.25" customHeight="1" x14ac:dyDescent="0.3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 ht="14.25" customHeight="1" x14ac:dyDescent="0.3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 ht="14.25" customHeight="1" x14ac:dyDescent="0.3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ht="14.25" customHeight="1" x14ac:dyDescent="0.3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ht="14.25" customHeight="1" x14ac:dyDescent="0.3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ht="14.25" customHeight="1" x14ac:dyDescent="0.3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ht="14.25" customHeight="1" x14ac:dyDescent="0.3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 ht="14.25" customHeight="1" x14ac:dyDescent="0.3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ht="14.25" customHeight="1" x14ac:dyDescent="0.3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 ht="14.25" customHeight="1" x14ac:dyDescent="0.3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 ht="14.25" customHeight="1" x14ac:dyDescent="0.3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 ht="14.25" customHeight="1" x14ac:dyDescent="0.3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ht="14.25" customHeight="1" x14ac:dyDescent="0.3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 ht="14.25" customHeight="1" x14ac:dyDescent="0.3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 ht="14.25" customHeight="1" x14ac:dyDescent="0.3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 ht="14.25" customHeight="1" x14ac:dyDescent="0.3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 ht="14.25" customHeight="1" x14ac:dyDescent="0.3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 ht="14.25" customHeight="1" x14ac:dyDescent="0.3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 ht="14.25" customHeight="1" x14ac:dyDescent="0.3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 ht="14.25" customHeight="1" x14ac:dyDescent="0.3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 ht="14.25" customHeight="1" x14ac:dyDescent="0.3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 ht="14.25" customHeight="1" x14ac:dyDescent="0.3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 ht="14.25" customHeight="1" x14ac:dyDescent="0.3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ht="14.25" customHeight="1" x14ac:dyDescent="0.3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 ht="14.25" customHeight="1" x14ac:dyDescent="0.3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 ht="14.25" customHeight="1" x14ac:dyDescent="0.3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 ht="14.25" customHeight="1" x14ac:dyDescent="0.3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 ht="14.25" customHeight="1" x14ac:dyDescent="0.3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 ht="14.25" customHeight="1" x14ac:dyDescent="0.3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 ht="14.25" customHeight="1" x14ac:dyDescent="0.3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 ht="14.25" customHeight="1" x14ac:dyDescent="0.3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 ht="14.25" customHeight="1" x14ac:dyDescent="0.3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 ht="14.25" customHeight="1" x14ac:dyDescent="0.3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 ht="14.25" customHeight="1" x14ac:dyDescent="0.3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 ht="14.25" customHeight="1" x14ac:dyDescent="0.3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 ht="14.25" customHeight="1" x14ac:dyDescent="0.3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 ht="14.25" customHeight="1" x14ac:dyDescent="0.3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 ht="14.25" customHeight="1" x14ac:dyDescent="0.3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 ht="14.25" customHeight="1" x14ac:dyDescent="0.3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 ht="14.25" customHeight="1" x14ac:dyDescent="0.3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 ht="14.25" customHeight="1" x14ac:dyDescent="0.3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 ht="14.25" customHeight="1" x14ac:dyDescent="0.3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 ht="14.25" customHeight="1" x14ac:dyDescent="0.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 ht="14.25" customHeight="1" x14ac:dyDescent="0.3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 ht="14.25" customHeight="1" x14ac:dyDescent="0.3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 ht="14.25" customHeight="1" x14ac:dyDescent="0.3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 ht="14.25" customHeight="1" x14ac:dyDescent="0.3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 ht="14.25" customHeight="1" x14ac:dyDescent="0.3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 ht="14.25" customHeight="1" x14ac:dyDescent="0.3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 ht="14.25" customHeight="1" x14ac:dyDescent="0.3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 ht="14.25" customHeight="1" x14ac:dyDescent="0.3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 ht="14.25" customHeight="1" x14ac:dyDescent="0.3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 ht="14.25" customHeight="1" x14ac:dyDescent="0.3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 ht="14.25" customHeight="1" x14ac:dyDescent="0.3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 ht="14.25" customHeight="1" x14ac:dyDescent="0.3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 ht="14.25" customHeight="1" x14ac:dyDescent="0.3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 ht="14.25" customHeight="1" x14ac:dyDescent="0.3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 ht="14.25" customHeight="1" x14ac:dyDescent="0.3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 ht="14.25" customHeight="1" x14ac:dyDescent="0.3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 ht="14.25" customHeight="1" x14ac:dyDescent="0.3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 ht="14.25" customHeight="1" x14ac:dyDescent="0.3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 ht="14.25" customHeight="1" x14ac:dyDescent="0.3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 ht="14.25" customHeight="1" x14ac:dyDescent="0.3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ht="14.25" customHeight="1" x14ac:dyDescent="0.3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 ht="14.25" customHeight="1" x14ac:dyDescent="0.3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ht="14.25" customHeight="1" x14ac:dyDescent="0.3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 ht="14.25" customHeight="1" x14ac:dyDescent="0.3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ht="14.25" customHeight="1" x14ac:dyDescent="0.3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 ht="14.25" customHeight="1" x14ac:dyDescent="0.3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 ht="14.25" customHeight="1" x14ac:dyDescent="0.3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 ht="14.25" customHeight="1" x14ac:dyDescent="0.3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 ht="14.25" customHeight="1" x14ac:dyDescent="0.3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 ht="14.25" customHeight="1" x14ac:dyDescent="0.3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 ht="14.25" customHeight="1" x14ac:dyDescent="0.3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 ht="14.25" customHeight="1" x14ac:dyDescent="0.3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ht="14.25" customHeight="1" x14ac:dyDescent="0.3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 ht="14.25" customHeight="1" x14ac:dyDescent="0.3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 ht="14.25" customHeight="1" x14ac:dyDescent="0.3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 ht="14.25" customHeight="1" x14ac:dyDescent="0.3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 ht="14.25" customHeight="1" x14ac:dyDescent="0.3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 ht="14.25" customHeight="1" x14ac:dyDescent="0.3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 ht="14.25" customHeight="1" x14ac:dyDescent="0.3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 ht="14.25" customHeight="1" x14ac:dyDescent="0.3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 ht="14.25" customHeight="1" x14ac:dyDescent="0.3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ht="14.25" customHeight="1" x14ac:dyDescent="0.3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ht="14.25" customHeight="1" x14ac:dyDescent="0.3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 ht="14.25" customHeight="1" x14ac:dyDescent="0.3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 ht="14.25" customHeight="1" x14ac:dyDescent="0.3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 ht="14.25" customHeight="1" x14ac:dyDescent="0.3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ht="14.25" customHeight="1" x14ac:dyDescent="0.3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ht="14.25" customHeight="1" x14ac:dyDescent="0.3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 ht="14.25" customHeight="1" x14ac:dyDescent="0.3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 ht="14.25" customHeight="1" x14ac:dyDescent="0.3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 ht="14.25" customHeight="1" x14ac:dyDescent="0.3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 ht="14.25" customHeight="1" x14ac:dyDescent="0.3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ht="14.25" customHeight="1" x14ac:dyDescent="0.3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 ht="14.25" customHeight="1" x14ac:dyDescent="0.3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 ht="14.25" customHeight="1" x14ac:dyDescent="0.3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 ht="14.25" customHeight="1" x14ac:dyDescent="0.3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 ht="14.25" customHeight="1" x14ac:dyDescent="0.3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 ht="14.25" customHeight="1" x14ac:dyDescent="0.3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ht="14.25" customHeight="1" x14ac:dyDescent="0.3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 ht="14.25" customHeight="1" x14ac:dyDescent="0.3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 ht="14.25" customHeight="1" x14ac:dyDescent="0.3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ht="14.25" customHeight="1" x14ac:dyDescent="0.3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 ht="14.25" customHeight="1" x14ac:dyDescent="0.3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 ht="14.25" customHeight="1" x14ac:dyDescent="0.3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 ht="14.25" customHeight="1" x14ac:dyDescent="0.3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ht="14.25" customHeight="1" x14ac:dyDescent="0.3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 ht="14.25" customHeight="1" x14ac:dyDescent="0.3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 ht="14.25" customHeight="1" x14ac:dyDescent="0.3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 ht="14.25" customHeight="1" x14ac:dyDescent="0.3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 ht="14.25" customHeight="1" x14ac:dyDescent="0.3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 ht="14.25" customHeight="1" x14ac:dyDescent="0.3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 ht="14.25" customHeight="1" x14ac:dyDescent="0.3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 ht="14.25" customHeight="1" x14ac:dyDescent="0.3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ht="14.25" customHeight="1" x14ac:dyDescent="0.3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 ht="14.25" customHeight="1" x14ac:dyDescent="0.3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ht="14.25" customHeight="1" x14ac:dyDescent="0.3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 ht="14.25" customHeight="1" x14ac:dyDescent="0.3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 ht="14.25" customHeight="1" x14ac:dyDescent="0.3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 ht="14.25" customHeight="1" x14ac:dyDescent="0.3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 ht="14.25" customHeight="1" x14ac:dyDescent="0.3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 ht="14.25" customHeight="1" x14ac:dyDescent="0.3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 ht="14.25" customHeight="1" x14ac:dyDescent="0.3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 ht="14.25" customHeight="1" x14ac:dyDescent="0.3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 ht="14.25" customHeight="1" x14ac:dyDescent="0.3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 ht="14.25" customHeight="1" x14ac:dyDescent="0.3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 ht="14.25" customHeight="1" x14ac:dyDescent="0.3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 ht="14.25" customHeight="1" x14ac:dyDescent="0.3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 ht="14.25" customHeight="1" x14ac:dyDescent="0.3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 ht="14.25" customHeight="1" x14ac:dyDescent="0.3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 ht="14.25" customHeight="1" x14ac:dyDescent="0.3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 ht="14.25" customHeight="1" x14ac:dyDescent="0.3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 ht="14.25" customHeight="1" x14ac:dyDescent="0.3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 ht="14.25" customHeight="1" x14ac:dyDescent="0.3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 ht="14.25" customHeight="1" x14ac:dyDescent="0.3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 ht="14.25" customHeight="1" x14ac:dyDescent="0.3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 ht="14.25" customHeight="1" x14ac:dyDescent="0.3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 ht="14.25" customHeight="1" x14ac:dyDescent="0.3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 ht="14.25" customHeight="1" x14ac:dyDescent="0.3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ht="14.25" customHeight="1" x14ac:dyDescent="0.3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 ht="14.25" customHeight="1" x14ac:dyDescent="0.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 ht="14.25" customHeight="1" x14ac:dyDescent="0.3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 ht="14.25" customHeight="1" x14ac:dyDescent="0.3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 ht="14.25" customHeight="1" x14ac:dyDescent="0.3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 ht="14.25" customHeight="1" x14ac:dyDescent="0.3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 ht="14.25" customHeight="1" x14ac:dyDescent="0.3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ht="14.25" customHeight="1" x14ac:dyDescent="0.3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 ht="14.25" customHeight="1" x14ac:dyDescent="0.3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 ht="14.25" customHeight="1" x14ac:dyDescent="0.3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 ht="14.25" customHeight="1" x14ac:dyDescent="0.3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 ht="14.25" customHeight="1" x14ac:dyDescent="0.3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 ht="14.25" customHeight="1" x14ac:dyDescent="0.3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 ht="14.25" customHeight="1" x14ac:dyDescent="0.3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ht="14.25" customHeight="1" x14ac:dyDescent="0.3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 ht="14.25" customHeight="1" x14ac:dyDescent="0.3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 ht="14.25" customHeight="1" x14ac:dyDescent="0.3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 ht="14.25" customHeight="1" x14ac:dyDescent="0.3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ht="14.25" customHeight="1" x14ac:dyDescent="0.3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ht="14.25" customHeight="1" x14ac:dyDescent="0.3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ht="14.25" customHeight="1" x14ac:dyDescent="0.3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ht="14.25" customHeight="1" x14ac:dyDescent="0.3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 ht="14.25" customHeight="1" x14ac:dyDescent="0.3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 ht="14.25" customHeight="1" x14ac:dyDescent="0.3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 ht="14.25" customHeight="1" x14ac:dyDescent="0.3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 ht="14.25" customHeight="1" x14ac:dyDescent="0.3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 ht="14.25" customHeight="1" x14ac:dyDescent="0.3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 ht="14.25" customHeight="1" x14ac:dyDescent="0.3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 ht="14.25" customHeight="1" x14ac:dyDescent="0.3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 ht="14.25" customHeight="1" x14ac:dyDescent="0.3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 ht="14.25" customHeight="1" x14ac:dyDescent="0.3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 ht="14.25" customHeight="1" x14ac:dyDescent="0.3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 ht="14.25" customHeight="1" x14ac:dyDescent="0.3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 ht="14.25" customHeight="1" x14ac:dyDescent="0.3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 ht="14.25" customHeight="1" x14ac:dyDescent="0.3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 ht="14.25" customHeight="1" x14ac:dyDescent="0.3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 ht="14.25" customHeight="1" x14ac:dyDescent="0.3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 ht="14.25" customHeight="1" x14ac:dyDescent="0.3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 ht="14.25" customHeight="1" x14ac:dyDescent="0.3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 ht="14.25" customHeight="1" x14ac:dyDescent="0.3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 ht="14.25" customHeight="1" x14ac:dyDescent="0.3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ht="14.25" customHeight="1" x14ac:dyDescent="0.3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 ht="14.25" customHeight="1" x14ac:dyDescent="0.3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 ht="14.25" customHeight="1" x14ac:dyDescent="0.3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 ht="14.25" customHeight="1" x14ac:dyDescent="0.3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 ht="14.25" customHeight="1" x14ac:dyDescent="0.3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 ht="14.25" customHeight="1" x14ac:dyDescent="0.3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 ht="14.25" customHeight="1" x14ac:dyDescent="0.3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 ht="14.25" customHeight="1" x14ac:dyDescent="0.3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 ht="14.25" customHeight="1" x14ac:dyDescent="0.3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 ht="14.25" customHeight="1" x14ac:dyDescent="0.3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 ht="14.25" customHeight="1" x14ac:dyDescent="0.3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ht="14.25" customHeight="1" x14ac:dyDescent="0.3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 ht="14.25" customHeight="1" x14ac:dyDescent="0.3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 ht="14.25" customHeight="1" x14ac:dyDescent="0.3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 ht="14.25" customHeight="1" x14ac:dyDescent="0.3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 ht="14.25" customHeight="1" x14ac:dyDescent="0.3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 ht="14.25" customHeight="1" x14ac:dyDescent="0.3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 ht="14.25" customHeight="1" x14ac:dyDescent="0.3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 ht="14.25" customHeight="1" x14ac:dyDescent="0.3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 ht="14.25" customHeight="1" x14ac:dyDescent="0.3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 ht="14.25" customHeight="1" x14ac:dyDescent="0.3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 ht="14.25" customHeight="1" x14ac:dyDescent="0.3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 ht="14.25" customHeight="1" x14ac:dyDescent="0.3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 ht="14.25" customHeight="1" x14ac:dyDescent="0.3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 ht="14.25" customHeight="1" x14ac:dyDescent="0.3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 ht="14.25" customHeight="1" x14ac:dyDescent="0.3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 ht="14.25" customHeight="1" x14ac:dyDescent="0.3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 ht="14.25" customHeight="1" x14ac:dyDescent="0.3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 ht="14.25" customHeight="1" x14ac:dyDescent="0.3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 ht="14.25" customHeight="1" x14ac:dyDescent="0.3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 ht="14.25" customHeight="1" x14ac:dyDescent="0.3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 ht="14.25" customHeight="1" x14ac:dyDescent="0.3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 ht="14.25" customHeight="1" x14ac:dyDescent="0.3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 ht="14.25" customHeight="1" x14ac:dyDescent="0.3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 ht="14.25" customHeight="1" x14ac:dyDescent="0.3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 ht="14.25" customHeight="1" x14ac:dyDescent="0.3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 ht="14.25" customHeight="1" x14ac:dyDescent="0.3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 ht="14.25" customHeight="1" x14ac:dyDescent="0.3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 ht="14.25" customHeight="1" x14ac:dyDescent="0.3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 ht="14.25" customHeight="1" x14ac:dyDescent="0.3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 ht="14.25" customHeight="1" x14ac:dyDescent="0.3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 ht="14.25" customHeight="1" x14ac:dyDescent="0.3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ht="14.25" customHeight="1" x14ac:dyDescent="0.3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 ht="14.25" customHeight="1" x14ac:dyDescent="0.3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 ht="14.25" customHeight="1" x14ac:dyDescent="0.3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 ht="14.25" customHeight="1" x14ac:dyDescent="0.3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 ht="14.25" customHeight="1" x14ac:dyDescent="0.3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 ht="14.25" customHeight="1" x14ac:dyDescent="0.3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 ht="14.25" customHeight="1" x14ac:dyDescent="0.3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 ht="14.25" customHeight="1" x14ac:dyDescent="0.3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 ht="14.25" customHeight="1" x14ac:dyDescent="0.3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 ht="14.25" customHeight="1" x14ac:dyDescent="0.3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 ht="14.25" customHeight="1" x14ac:dyDescent="0.3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 ht="14.25" customHeight="1" x14ac:dyDescent="0.3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ht="14.25" customHeight="1" x14ac:dyDescent="0.3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 ht="14.25" customHeight="1" x14ac:dyDescent="0.3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 ht="14.25" customHeight="1" x14ac:dyDescent="0.3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 ht="14.25" customHeight="1" x14ac:dyDescent="0.3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 ht="14.25" customHeight="1" x14ac:dyDescent="0.3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 ht="14.25" customHeight="1" x14ac:dyDescent="0.3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 ht="14.25" customHeight="1" x14ac:dyDescent="0.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 ht="14.25" customHeight="1" x14ac:dyDescent="0.3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 ht="14.25" customHeight="1" x14ac:dyDescent="0.3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 ht="14.25" customHeight="1" x14ac:dyDescent="0.3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 ht="14.25" customHeight="1" x14ac:dyDescent="0.3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 ht="14.25" customHeight="1" x14ac:dyDescent="0.3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 ht="14.25" customHeight="1" x14ac:dyDescent="0.3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 ht="14.25" customHeight="1" x14ac:dyDescent="0.3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 ht="14.25" customHeight="1" x14ac:dyDescent="0.3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 ht="14.25" customHeight="1" x14ac:dyDescent="0.3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 ht="14.25" customHeight="1" x14ac:dyDescent="0.3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 ht="14.25" customHeight="1" x14ac:dyDescent="0.3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ht="14.25" customHeight="1" x14ac:dyDescent="0.3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ht="14.25" customHeight="1" x14ac:dyDescent="0.3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ht="14.25" customHeight="1" x14ac:dyDescent="0.3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ht="14.25" customHeight="1" x14ac:dyDescent="0.3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ht="14.25" customHeight="1" x14ac:dyDescent="0.3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ht="14.25" customHeight="1" x14ac:dyDescent="0.3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ht="14.25" customHeight="1" x14ac:dyDescent="0.3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ht="14.25" customHeight="1" x14ac:dyDescent="0.3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ht="14.25" customHeight="1" x14ac:dyDescent="0.3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 ht="14.25" customHeight="1" x14ac:dyDescent="0.3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 ht="14.25" customHeight="1" x14ac:dyDescent="0.3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 ht="14.25" customHeight="1" x14ac:dyDescent="0.3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 ht="14.25" customHeight="1" x14ac:dyDescent="0.3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 ht="14.25" customHeight="1" x14ac:dyDescent="0.3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 ht="14.25" customHeight="1" x14ac:dyDescent="0.3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ht="14.25" customHeight="1" x14ac:dyDescent="0.3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 ht="14.25" customHeight="1" x14ac:dyDescent="0.3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 ht="14.25" customHeight="1" x14ac:dyDescent="0.3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 ht="14.25" customHeight="1" x14ac:dyDescent="0.3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 ht="14.25" customHeight="1" x14ac:dyDescent="0.3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 ht="14.25" customHeight="1" x14ac:dyDescent="0.3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 ht="14.25" customHeight="1" x14ac:dyDescent="0.3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 ht="14.25" customHeight="1" x14ac:dyDescent="0.3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 ht="14.25" customHeight="1" x14ac:dyDescent="0.3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 ht="14.25" customHeight="1" x14ac:dyDescent="0.3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 ht="14.25" customHeight="1" x14ac:dyDescent="0.3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ht="14.25" customHeight="1" x14ac:dyDescent="0.3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 ht="14.25" customHeight="1" x14ac:dyDescent="0.3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 ht="14.25" customHeight="1" x14ac:dyDescent="0.3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 ht="14.25" customHeight="1" x14ac:dyDescent="0.3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 ht="14.25" customHeight="1" x14ac:dyDescent="0.3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 ht="14.25" customHeight="1" x14ac:dyDescent="0.3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 ht="14.25" customHeight="1" x14ac:dyDescent="0.3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 ht="14.25" customHeight="1" x14ac:dyDescent="0.3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 ht="14.25" customHeight="1" x14ac:dyDescent="0.3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 ht="14.25" customHeight="1" x14ac:dyDescent="0.3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 ht="14.25" customHeight="1" x14ac:dyDescent="0.3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 ht="14.25" customHeight="1" x14ac:dyDescent="0.3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 ht="14.25" customHeight="1" x14ac:dyDescent="0.3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 ht="14.25" customHeight="1" x14ac:dyDescent="0.3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 ht="14.25" customHeight="1" x14ac:dyDescent="0.3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 ht="14.25" customHeight="1" x14ac:dyDescent="0.3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 ht="14.25" customHeight="1" x14ac:dyDescent="0.3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 ht="14.25" customHeight="1" x14ac:dyDescent="0.3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 ht="14.25" customHeight="1" x14ac:dyDescent="0.3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 ht="14.25" customHeight="1" x14ac:dyDescent="0.3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 ht="14.25" customHeight="1" x14ac:dyDescent="0.3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 ht="14.25" customHeight="1" x14ac:dyDescent="0.3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 ht="14.25" customHeight="1" x14ac:dyDescent="0.3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 ht="14.25" customHeight="1" x14ac:dyDescent="0.3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 ht="14.25" customHeight="1" x14ac:dyDescent="0.3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 ht="14.25" customHeight="1" x14ac:dyDescent="0.3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 ht="14.25" customHeight="1" x14ac:dyDescent="0.3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 ht="14.25" customHeight="1" x14ac:dyDescent="0.3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 ht="14.25" customHeight="1" x14ac:dyDescent="0.3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ht="14.25" customHeight="1" x14ac:dyDescent="0.3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 ht="14.25" customHeight="1" x14ac:dyDescent="0.3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 ht="14.25" customHeight="1" x14ac:dyDescent="0.3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 ht="14.25" customHeight="1" x14ac:dyDescent="0.3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 ht="14.25" customHeight="1" x14ac:dyDescent="0.3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 ht="14.25" customHeight="1" x14ac:dyDescent="0.3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 ht="14.25" customHeight="1" x14ac:dyDescent="0.3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 ht="14.25" customHeight="1" x14ac:dyDescent="0.3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 ht="14.25" customHeight="1" x14ac:dyDescent="0.3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 ht="14.25" customHeight="1" x14ac:dyDescent="0.3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 ht="14.25" customHeight="1" x14ac:dyDescent="0.3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 ht="14.25" customHeight="1" x14ac:dyDescent="0.3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ht="14.25" customHeight="1" x14ac:dyDescent="0.3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 ht="14.25" customHeight="1" x14ac:dyDescent="0.3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 ht="14.25" customHeight="1" x14ac:dyDescent="0.3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 ht="14.25" customHeight="1" x14ac:dyDescent="0.3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 ht="14.25" customHeight="1" x14ac:dyDescent="0.3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 ht="14.25" customHeight="1" x14ac:dyDescent="0.3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 ht="14.25" customHeight="1" x14ac:dyDescent="0.3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 ht="14.25" customHeight="1" x14ac:dyDescent="0.3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 ht="14.25" customHeight="1" x14ac:dyDescent="0.3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ht="14.25" customHeight="1" x14ac:dyDescent="0.3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 ht="14.25" customHeight="1" x14ac:dyDescent="0.3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 ht="14.25" customHeight="1" x14ac:dyDescent="0.3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 ht="14.25" customHeight="1" x14ac:dyDescent="0.3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 ht="14.25" customHeight="1" x14ac:dyDescent="0.3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 ht="14.25" customHeight="1" x14ac:dyDescent="0.3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 ht="14.25" customHeight="1" x14ac:dyDescent="0.3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 ht="14.25" customHeight="1" x14ac:dyDescent="0.3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 ht="14.25" customHeight="1" x14ac:dyDescent="0.3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 ht="14.25" customHeight="1" x14ac:dyDescent="0.3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 ht="14.25" customHeight="1" x14ac:dyDescent="0.3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ht="14.25" customHeight="1" x14ac:dyDescent="0.3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 ht="14.25" customHeight="1" x14ac:dyDescent="0.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 ht="14.25" customHeight="1" x14ac:dyDescent="0.3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 ht="14.25" customHeight="1" x14ac:dyDescent="0.3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 ht="14.25" customHeight="1" x14ac:dyDescent="0.3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 ht="14.25" customHeight="1" x14ac:dyDescent="0.3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 ht="14.25" customHeight="1" x14ac:dyDescent="0.3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 ht="14.25" customHeight="1" x14ac:dyDescent="0.3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 ht="14.25" customHeight="1" x14ac:dyDescent="0.3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 ht="14.25" customHeight="1" x14ac:dyDescent="0.3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 ht="14.25" customHeight="1" x14ac:dyDescent="0.3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 ht="14.25" customHeight="1" x14ac:dyDescent="0.3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ht="14.25" customHeight="1" x14ac:dyDescent="0.3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 ht="14.25" customHeight="1" x14ac:dyDescent="0.3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 ht="14.25" customHeight="1" x14ac:dyDescent="0.3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 ht="14.25" customHeight="1" x14ac:dyDescent="0.3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 ht="14.25" customHeight="1" x14ac:dyDescent="0.3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 ht="14.25" customHeight="1" x14ac:dyDescent="0.3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 ht="14.25" customHeight="1" x14ac:dyDescent="0.3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 ht="14.25" customHeight="1" x14ac:dyDescent="0.3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 ht="14.25" customHeight="1" x14ac:dyDescent="0.3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 ht="14.25" customHeight="1" x14ac:dyDescent="0.3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 ht="14.25" customHeight="1" x14ac:dyDescent="0.3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 ht="14.25" customHeight="1" x14ac:dyDescent="0.3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 ht="14.25" customHeight="1" x14ac:dyDescent="0.3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 ht="14.25" customHeight="1" x14ac:dyDescent="0.3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 ht="14.25" customHeight="1" x14ac:dyDescent="0.3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 ht="14.25" customHeight="1" x14ac:dyDescent="0.3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ht="14.25" customHeight="1" x14ac:dyDescent="0.3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 ht="14.25" customHeight="1" x14ac:dyDescent="0.3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 ht="14.25" customHeight="1" x14ac:dyDescent="0.3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 ht="14.25" customHeight="1" x14ac:dyDescent="0.3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 ht="14.25" customHeight="1" x14ac:dyDescent="0.3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 ht="14.25" customHeight="1" x14ac:dyDescent="0.3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 ht="14.25" customHeight="1" x14ac:dyDescent="0.3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ht="14.25" customHeight="1" x14ac:dyDescent="0.3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 ht="14.25" customHeight="1" x14ac:dyDescent="0.3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 ht="14.25" customHeight="1" x14ac:dyDescent="0.3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ht="14.25" customHeight="1" x14ac:dyDescent="0.3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 ht="14.25" customHeight="1" x14ac:dyDescent="0.3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 ht="14.25" customHeight="1" x14ac:dyDescent="0.3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 ht="14.25" customHeight="1" x14ac:dyDescent="0.3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 ht="14.25" customHeight="1" x14ac:dyDescent="0.3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 ht="14.25" customHeight="1" x14ac:dyDescent="0.3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 ht="14.25" customHeight="1" x14ac:dyDescent="0.3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 ht="14.25" customHeight="1" x14ac:dyDescent="0.3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 ht="14.25" customHeight="1" x14ac:dyDescent="0.3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 ht="14.25" customHeight="1" x14ac:dyDescent="0.3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 ht="14.25" customHeight="1" x14ac:dyDescent="0.3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 ht="14.25" customHeight="1" x14ac:dyDescent="0.3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 ht="14.25" customHeight="1" x14ac:dyDescent="0.3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 ht="14.25" customHeight="1" x14ac:dyDescent="0.3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 ht="14.25" customHeight="1" x14ac:dyDescent="0.3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 ht="14.25" customHeight="1" x14ac:dyDescent="0.3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 ht="14.25" customHeight="1" x14ac:dyDescent="0.3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 ht="14.25" customHeight="1" x14ac:dyDescent="0.3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 ht="14.25" customHeight="1" x14ac:dyDescent="0.3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 ht="14.25" customHeight="1" x14ac:dyDescent="0.3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 ht="14.25" customHeight="1" x14ac:dyDescent="0.3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 ht="14.25" customHeight="1" x14ac:dyDescent="0.3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 ht="14.25" customHeight="1" x14ac:dyDescent="0.3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spans="1:27" ht="14.25" customHeight="1" x14ac:dyDescent="0.3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 spans="1:27" ht="14.25" customHeight="1" x14ac:dyDescent="0.3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 spans="1:27" ht="14.25" customHeight="1" x14ac:dyDescent="0.3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 spans="1:27" ht="14.25" customHeight="1" x14ac:dyDescent="0.3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 spans="1:27" ht="14.25" customHeight="1" x14ac:dyDescent="0.3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 spans="1:27" ht="14.25" customHeight="1" x14ac:dyDescent="0.3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  <row r="1001" spans="1:27" ht="14.25" customHeight="1" x14ac:dyDescent="0.35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</row>
    <row r="1002" spans="1:27" ht="14.25" customHeight="1" x14ac:dyDescent="0.35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</row>
    <row r="1003" spans="1:27" ht="14.25" customHeight="1" x14ac:dyDescent="0.35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</row>
    <row r="1004" spans="1:27" ht="14.25" customHeight="1" x14ac:dyDescent="0.35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</row>
    <row r="1005" spans="1:27" ht="14.25" customHeight="1" x14ac:dyDescent="0.3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</row>
    <row r="1006" spans="1:27" ht="14.25" customHeight="1" x14ac:dyDescent="0.35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</row>
    <row r="1007" spans="1:27" ht="14.25" customHeight="1" x14ac:dyDescent="0.35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</row>
    <row r="1008" spans="1:27" ht="14.25" customHeight="1" x14ac:dyDescent="0.35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</row>
    <row r="1009" spans="1:27" ht="14.25" customHeight="1" x14ac:dyDescent="0.35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</row>
    <row r="1010" spans="1:27" ht="14.25" customHeight="1" x14ac:dyDescent="0.35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</row>
    <row r="1011" spans="1:27" ht="14.25" customHeight="1" x14ac:dyDescent="0.35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</row>
    <row r="1012" spans="1:27" ht="14.25" customHeight="1" x14ac:dyDescent="0.35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</row>
    <row r="1013" spans="1:27" ht="14.25" customHeight="1" x14ac:dyDescent="0.35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</row>
    <row r="1014" spans="1:27" ht="14.25" customHeight="1" x14ac:dyDescent="0.35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</row>
    <row r="1015" spans="1:27" ht="14.25" customHeight="1" x14ac:dyDescent="0.35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</row>
    <row r="1016" spans="1:27" ht="14.25" customHeight="1" x14ac:dyDescent="0.35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</row>
    <row r="1017" spans="1:27" ht="14.25" customHeight="1" x14ac:dyDescent="0.35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</row>
    <row r="1018" spans="1:27" ht="14.25" customHeight="1" x14ac:dyDescent="0.35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</row>
    <row r="1019" spans="1:27" ht="14.25" customHeight="1" x14ac:dyDescent="0.35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</row>
    <row r="1020" spans="1:27" ht="14.25" customHeight="1" x14ac:dyDescent="0.35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</row>
    <row r="1021" spans="1:27" ht="14.25" customHeight="1" x14ac:dyDescent="0.35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</row>
    <row r="1022" spans="1:27" ht="14.25" customHeight="1" x14ac:dyDescent="0.35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</row>
    <row r="1023" spans="1:27" ht="14.25" customHeight="1" x14ac:dyDescent="0.35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</row>
    <row r="1024" spans="1:27" ht="14.25" customHeight="1" x14ac:dyDescent="0.35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</row>
    <row r="1025" spans="1:27" ht="14.25" customHeight="1" x14ac:dyDescent="0.35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</row>
    <row r="1026" spans="1:27" ht="14.25" customHeight="1" x14ac:dyDescent="0.35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</row>
    <row r="1027" spans="1:27" ht="14.25" customHeight="1" x14ac:dyDescent="0.35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</row>
    <row r="1028" spans="1:27" ht="14.25" customHeight="1" x14ac:dyDescent="0.35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</row>
    <row r="1029" spans="1:27" ht="14.25" customHeight="1" x14ac:dyDescent="0.35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</row>
    <row r="1030" spans="1:27" ht="14.25" customHeight="1" x14ac:dyDescent="0.35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</row>
    <row r="1031" spans="1:27" ht="14.25" customHeight="1" x14ac:dyDescent="0.35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</row>
    <row r="1032" spans="1:27" ht="14.25" customHeight="1" x14ac:dyDescent="0.35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</row>
    <row r="1033" spans="1:27" ht="14.25" customHeight="1" x14ac:dyDescent="0.35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</row>
    <row r="1034" spans="1:27" ht="14.25" customHeight="1" x14ac:dyDescent="0.35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</row>
    <row r="1035" spans="1:27" ht="14.25" customHeight="1" x14ac:dyDescent="0.35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</row>
    <row r="1036" spans="1:27" ht="14.25" customHeight="1" x14ac:dyDescent="0.35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</row>
    <row r="1037" spans="1:27" ht="14.25" customHeight="1" x14ac:dyDescent="0.35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</row>
    <row r="1038" spans="1:27" ht="14.25" customHeight="1" x14ac:dyDescent="0.35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</row>
    <row r="1039" spans="1:27" ht="14.25" customHeight="1" x14ac:dyDescent="0.35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</row>
    <row r="1040" spans="1:27" ht="14.25" customHeight="1" x14ac:dyDescent="0.35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</row>
  </sheetData>
  <autoFilter ref="B1:N233" xr:uid="{00000000-0009-0000-0000-000003000000}">
    <sortState xmlns:xlrd2="http://schemas.microsoft.com/office/spreadsheetml/2017/richdata2" ref="B2:N233">
      <sortCondition ref="B1:B233"/>
    </sortState>
  </autoFilter>
  <pageMargins left="0.511811024" right="0.511811024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D7A7-1313-4C38-8C3F-AB0913C40011}">
  <dimension ref="A1:AA1020"/>
  <sheetViews>
    <sheetView tabSelected="1" zoomScale="115" zoomScaleNormal="115" workbookViewId="0">
      <pane ySplit="1" topLeftCell="A116" activePane="bottomLeft" state="frozen"/>
      <selection pane="bottomLeft" activeCell="A123" sqref="A123:XFD123"/>
    </sheetView>
  </sheetViews>
  <sheetFormatPr defaultColWidth="14.453125" defaultRowHeight="15" customHeight="1" x14ac:dyDescent="0.35"/>
  <cols>
    <col min="1" max="1" width="2.36328125" customWidth="1"/>
    <col min="2" max="2" width="23.08984375" customWidth="1"/>
    <col min="3" max="3" width="35" customWidth="1"/>
    <col min="4" max="4" width="45" customWidth="1"/>
    <col min="5" max="5" width="11.36328125" hidden="1" customWidth="1"/>
    <col min="6" max="6" width="10.6328125" hidden="1" customWidth="1"/>
    <col min="7" max="7" width="10" customWidth="1"/>
    <col min="8" max="8" width="11" hidden="1" customWidth="1"/>
    <col min="9" max="9" width="9.36328125" hidden="1" customWidth="1"/>
    <col min="10" max="10" width="11.54296875" hidden="1" customWidth="1"/>
    <col min="11" max="11" width="26.36328125" hidden="1" customWidth="1"/>
    <col min="12" max="12" width="11.453125" customWidth="1"/>
    <col min="13" max="13" width="13.08984375" customWidth="1"/>
    <col min="14" max="14" width="12.08984375" customWidth="1"/>
    <col min="15" max="15" width="11.6328125" customWidth="1"/>
    <col min="16" max="16" width="8.90625" customWidth="1"/>
    <col min="17" max="17" width="10" customWidth="1"/>
    <col min="18" max="18" width="13.36328125" customWidth="1"/>
    <col min="19" max="19" width="11.54296875" customWidth="1"/>
    <col min="20" max="26" width="8.90625" customWidth="1"/>
    <col min="27" max="27" width="9.36328125" customWidth="1"/>
  </cols>
  <sheetData>
    <row r="1" spans="1:27" ht="42" customHeight="1" x14ac:dyDescent="0.35">
      <c r="A1" s="18"/>
      <c r="B1" s="19" t="s">
        <v>57</v>
      </c>
      <c r="C1" s="20" t="s">
        <v>58</v>
      </c>
      <c r="D1" s="20" t="s">
        <v>59</v>
      </c>
      <c r="E1" s="20" t="s">
        <v>232</v>
      </c>
      <c r="F1" s="20" t="s">
        <v>476</v>
      </c>
      <c r="G1" s="20" t="s">
        <v>234</v>
      </c>
      <c r="H1" s="20" t="s">
        <v>235</v>
      </c>
      <c r="I1" s="20" t="s">
        <v>236</v>
      </c>
      <c r="J1" s="20" t="s">
        <v>237</v>
      </c>
      <c r="K1" s="21" t="s">
        <v>238</v>
      </c>
      <c r="L1" s="20" t="s">
        <v>239</v>
      </c>
      <c r="M1" s="20" t="s">
        <v>240</v>
      </c>
      <c r="N1" s="20" t="s">
        <v>241</v>
      </c>
      <c r="O1" s="18"/>
      <c r="P1" s="51" t="s">
        <v>349</v>
      </c>
      <c r="Q1" s="52" t="s">
        <v>350</v>
      </c>
      <c r="R1" s="52" t="s">
        <v>351</v>
      </c>
      <c r="S1" s="52" t="s">
        <v>352</v>
      </c>
      <c r="T1" s="51" t="s">
        <v>353</v>
      </c>
      <c r="U1" s="51" t="s">
        <v>354</v>
      </c>
      <c r="V1" s="51" t="s">
        <v>355</v>
      </c>
      <c r="W1" s="18"/>
      <c r="X1" s="51" t="s">
        <v>353</v>
      </c>
      <c r="Y1" s="51" t="s">
        <v>354</v>
      </c>
      <c r="Z1" s="51" t="s">
        <v>355</v>
      </c>
      <c r="AA1" s="18"/>
    </row>
    <row r="2" spans="1:27" ht="14.25" customHeight="1" x14ac:dyDescent="0.35">
      <c r="A2" s="18"/>
      <c r="B2" s="22" t="s">
        <v>242</v>
      </c>
      <c r="C2" s="23" t="s">
        <v>142</v>
      </c>
      <c r="D2" s="23"/>
      <c r="E2" s="24">
        <v>1</v>
      </c>
      <c r="F2" s="25">
        <v>0.65</v>
      </c>
      <c r="G2" s="25">
        <v>0.71500000000000008</v>
      </c>
      <c r="H2" s="26" t="s">
        <v>243</v>
      </c>
      <c r="I2" s="27"/>
      <c r="J2" s="28">
        <v>46036</v>
      </c>
      <c r="K2" s="29"/>
      <c r="L2" s="30">
        <f t="shared" ref="L2:L24" si="0">G2-M2-N2</f>
        <v>0.71500000000000008</v>
      </c>
      <c r="M2" s="30"/>
      <c r="N2" s="30"/>
      <c r="O2" s="18"/>
      <c r="P2" s="53">
        <f>(Q2-S2)/Q2</f>
        <v>0.31605194805194808</v>
      </c>
      <c r="Q2" s="50">
        <f>G2*R2</f>
        <v>250.25000000000003</v>
      </c>
      <c r="R2" s="50" cm="1">
        <f t="array" ref="R2">_xlfn.IFS(C2="Calandra",(350),C2="Peletização",(421),C2="Dublagem Spun",(250),C2="Dublagem Cretone PES",(180),C2="Felpagem",(270/E2),C2="Emborrachamento",(200),C2="Espelhamento",(250),C2="Malha",(1),C2="Dublagem Cretone",(180),C2="Malha",(1),C2="Dublagem Spun - MO",250,C2="Dublagem Cretone - MO",180,C2="Dublagem Cretone PES - MO",180,C2="Espelhamento - MO",250,C2="Emborrachamento",100,C2="Malha",0,C2="Dublagem Barreira",100,C2="Pel. + Cal.",350,C2="Fel. + Pel. + Cal.",270,C2="Pel. + Spun",250,C2="Espelhamento - L: 1,45m",200,C2="Espelhamento - L: 1,65m",200,C2="Estampagem",100,C2="Fel. + Cal.",270,C2="Dublagem Juta",180,C2="Dublagem Cretone - MO (Juta)",180,C2="Dublagem Tapete",150,C2="Esp. + Pel.",200,C2="Espelhamento 2x",100)</f>
        <v>350</v>
      </c>
      <c r="S2" s="50">
        <f>(T2*X2)+(U2*Y2)+(V2*Z2)+((M2+N2)*(R2))</f>
        <v>171.15800000000002</v>
      </c>
      <c r="T2" s="18" cm="1">
        <f t="array" ref="T2">_xlfn.IFS(C2="Calandra",0.4,C2="Felpagem",0.3,C2="Dublagem Spun",0.8,C2="Dublagem Cretone",0.8,C2="Dublagem Cretone PES",0.8,C2="Espelhamento",0.8,C2="Peletização",0.5,C2="Dublagem Spun - MO",0.8,C2="Dublagem Cretone - MO",0.8,C2="Dublagem Cretone PES - MO",0.8,C2="Espelhamento - MO",0.8,C2="Emborrachamento",1,C2="Malha",0,C2="Dublagem Barreira",1,C2="Pel. + Cal.",0.4,C2="Fel. + Pel. + Cal.",0.5,C2="Pel. + Spun",0.8,C2="Espelhamento - L: 1,45m",0.8,C2="Espelhamento - L: 1,65m",0.8,C2="Estampagem",1,C2="Fel. + Cal.",0.4,C2="Dublagem Juta",0.8,C2="Dublagem Cretone - MO (Juta)",0.8,C2="Dublagem Tapete",0.8,C2="Esp. + Pel.",0.8,C2="Espelhamento 2x",0.8)</f>
        <v>0.4</v>
      </c>
      <c r="U2" s="18">
        <v>1</v>
      </c>
      <c r="V2" s="18">
        <v>1</v>
      </c>
      <c r="W2" s="18"/>
      <c r="X2" s="18">
        <v>39.67</v>
      </c>
      <c r="Y2" s="18">
        <v>38.51</v>
      </c>
      <c r="Z2" s="18">
        <v>116.78</v>
      </c>
      <c r="AA2" s="18"/>
    </row>
    <row r="3" spans="1:27" ht="14.25" customHeight="1" x14ac:dyDescent="0.35">
      <c r="A3" s="18"/>
      <c r="B3" s="22" t="s">
        <v>242</v>
      </c>
      <c r="C3" s="23" t="s">
        <v>244</v>
      </c>
      <c r="D3" s="23"/>
      <c r="E3" s="24">
        <v>1</v>
      </c>
      <c r="F3" s="25">
        <v>5.6</v>
      </c>
      <c r="G3" s="25">
        <v>6.16</v>
      </c>
      <c r="H3" s="26" t="s">
        <v>243</v>
      </c>
      <c r="I3" s="27"/>
      <c r="J3" s="28">
        <v>46036</v>
      </c>
      <c r="K3" s="29"/>
      <c r="L3" s="30">
        <f t="shared" si="0"/>
        <v>2.8294000000000001</v>
      </c>
      <c r="M3" s="30">
        <f>'Custos insumos'!J33</f>
        <v>3.3306</v>
      </c>
      <c r="N3" s="30"/>
      <c r="O3" s="18"/>
      <c r="P3" s="53">
        <f t="shared" ref="P3:P22" si="1">(Q3-S3)/Q3</f>
        <v>0.30107142857142855</v>
      </c>
      <c r="Q3" s="50">
        <f t="shared" ref="Q3:Q22" si="2">G3*R3</f>
        <v>1232</v>
      </c>
      <c r="R3" s="50" cm="1">
        <f t="array" ref="R3">_xlfn.IFS(C3="Calandra",(350),C3="Peletização",(421),C3="Dublagem Spun",(250),C3="Dublagem Cretone PES",(180),C3="Felpagem",(270/E3),C3="Emborrachamento",(200),C3="Espelhamento",(250),C3="Malha",(1),C3="Dublagem Cretone",(180),C3="Malha",(1),C3="Dublagem Spun - MO",250,C3="Dublagem Cretone - MO",180,C3="Dublagem Cretone PES - MO",180,C3="Espelhamento - MO",250,C3="Emborrachamento",100,C3="Malha",0,C3="Dublagem Barreira",100,C3="Pel. + Cal.",350,C3="Fel. + Pel. + Cal.",270,C3="Pel. + Spun",250,C3="Espelhamento - L: 1,45m",200,C3="Espelhamento - L: 1,65m",200,C3="Estampagem",100,C3="Fel. + Cal.",270,C3="Dublagem Juta",180,C3="Dublagem Cretone - MO (Juta)",180,C3="Dublagem Tapete",150,C3="Esp. + Pel.",200,C3="Espelhamento 2x",100)</f>
        <v>200</v>
      </c>
      <c r="S3" s="50">
        <f t="shared" ref="S3:S22" si="3">(T3*X3)+(U3*Y3)+(V3*Z3)+((M3+N3)*(R3))</f>
        <v>861.08</v>
      </c>
      <c r="T3" s="18" cm="1">
        <f t="array" ref="T3">_xlfn.IFS(C3="Calandra",0.4,C3="Felpagem",0.3,C3="Dublagem Spun",0.8,C3="Dublagem Cretone",0.8,C3="Dublagem Cretone PES",0.8,C3="Espelhamento",0.8,C3="Peletização",0.5,C3="Dublagem Spun - MO",0.8,C3="Dublagem Cretone - MO",0.8,C3="Dublagem Cretone PES - MO",0.8,C3="Espelhamento - MO",0.8,C3="Emborrachamento",1,C3="Malha",0,C3="Dublagem Barreira",1,C3="Pel. + Cal.",0.4,C3="Fel. + Pel. + Cal.",0.5,C3="Pel. + Spun",0.8,C3="Espelhamento - L: 1,45m",0.8,C3="Espelhamento - L: 1,65m",0.8,C3="Estampagem",1,C3="Fel. + Cal.",0.4,C3="Dublagem Juta",0.8,C3="Dublagem Cretone - MO (Juta)",0.8,C3="Dublagem Tapete",0.8,C3="Esp. + Pel.",0.8,C3="Espelhamento 2x",0.8)</f>
        <v>1</v>
      </c>
      <c r="U3" s="18">
        <v>1</v>
      </c>
      <c r="V3" s="18">
        <v>1</v>
      </c>
      <c r="W3" s="18"/>
      <c r="X3" s="18">
        <v>39.67</v>
      </c>
      <c r="Y3" s="18">
        <v>38.51</v>
      </c>
      <c r="Z3" s="18">
        <v>116.78</v>
      </c>
      <c r="AA3" s="18"/>
    </row>
    <row r="4" spans="1:27" ht="14.25" customHeight="1" x14ac:dyDescent="0.35">
      <c r="A4" s="18"/>
      <c r="B4" s="22" t="s">
        <v>245</v>
      </c>
      <c r="C4" s="23" t="s">
        <v>142</v>
      </c>
      <c r="D4" s="23"/>
      <c r="E4" s="24">
        <v>1</v>
      </c>
      <c r="F4" s="25">
        <v>0.65</v>
      </c>
      <c r="G4" s="25">
        <v>0.71500000000000008</v>
      </c>
      <c r="H4" s="26" t="s">
        <v>243</v>
      </c>
      <c r="I4" s="31">
        <f t="shared" ref="I4" si="4">G4/E4</f>
        <v>0.71500000000000008</v>
      </c>
      <c r="J4" s="28">
        <v>46036</v>
      </c>
      <c r="K4" s="29"/>
      <c r="L4" s="30">
        <f t="shared" ref="L4" si="5">G4-M4-N4</f>
        <v>0.71500000000000008</v>
      </c>
      <c r="M4" s="30">
        <f>IF(B4="Texion Textil",0,IF(C4="Malha",'Custos insumos'!$B$24,IF(C4="Dublagem Cretone",'Custos insumos'!$D$7,IF(C4="Dublagem Spun",'Custos insumos'!$D$4,IF(C4="Espelhamento",'Custos insumos'!$B$11,IF(C4="Espelhamento 2x",2*'Custos insumos'!$B$11,IF(C4="Esp. + Pel.",'Custos insumos'!$B$11,IF(C4="Pel. + Spun",'Custos insumos'!$D$4,IF(C4="Dublagem Cretone PES",'Custos insumos'!$D$7,IF(C4="Dublagem Barreira",'Custos insumos'!$D$11,IF(C4="Dublagem - MO + Filme",'Custos insumos'!$D$4,)))))))))))</f>
        <v>0</v>
      </c>
      <c r="N4" s="30">
        <f>IF(B4="Texion Textil",0,IF(B4="Três Elos",0,IF(C4="Malha",0,IF(C4="Dublagem Cretone",'Custos insumos'!$D$23,IF(C4="Dublagem Spun",'Custos insumos'!$D$19,IF(C4="Espelhamento",0,IF(C4="Espelhamento 2x",0,IF(C4="Esp. + Pel.",0,IF(C4="Pel. + Spun",'Custos insumos'!$D$19,IF(C4="Dublagem Cretone PES",'Custos insumos'!$F$25,IF(C4="Dublagem Barreira",'Custos insumos'!$D$22,)))))))))))</f>
        <v>0</v>
      </c>
      <c r="O4" s="18"/>
      <c r="P4" s="53">
        <f t="shared" ref="P4" si="6">(Q4-S4)/Q4</f>
        <v>0.31605194805194808</v>
      </c>
      <c r="Q4" s="50">
        <f t="shared" ref="Q4" si="7">G4*R4</f>
        <v>250.25000000000003</v>
      </c>
      <c r="R4" s="50" cm="1">
        <f t="array" ref="R4">_xlfn.IFS(C4="Calandra",(350),C4="Peletização",(421),C4="Dublagem Spun",(250),C4="Dublagem Cretone PES",(180),C4="Felpagem",(270/E4),C4="Emborrachamento",(200),C4="Espelhamento",(250),C4="Malha",(1),C4="Dublagem Cretone",(180),C4="Malha",(1),C4="Dublagem Spun - MO",250,C4="Dublagem Cretone - MO",180,C4="Dublagem Cretone PES - MO",180,C4="Espelhamento - MO",250,C4="Emborrachamento",100,C4="Malha",0,C4="Dublagem Barreira",100,C4="Pel. + Cal.",350,C4="Fel. + Pel. + Cal.",270,C4="Pel. + Spun",250,C4="Espelhamento - L: 1,45m",200,C4="Espelhamento - L: 1,65m",200,C4="Estampagem",100,C4="Fel. + Cal.",270,C4="Dublagem Juta",180,C4="Dublagem Cretone - MO (Juta)",180,C4="Dublagem Tapete",150,C4="Esp. + Pel.",200,C4="Espelhamento 2x",100)</f>
        <v>350</v>
      </c>
      <c r="S4" s="50">
        <f t="shared" ref="S4" si="8">(T4*X4)+(U4*Y4)+(V4*Z4)+((M4+N4)*(R4))</f>
        <v>171.15800000000002</v>
      </c>
      <c r="T4" s="18" cm="1">
        <f t="array" ref="T4">_xlfn.IFS(C4="Calandra",0.4,C4="Felpagem",0.3,C4="Dublagem Spun",0.8,C4="Dublagem Cretone",0.8,C4="Dublagem Cretone PES",0.8,C4="Espelhamento",0.8,C4="Peletização",0.5,C4="Dublagem Spun - MO",0.8,C4="Dublagem Cretone - MO",0.8,C4="Dublagem Cretone PES - MO",0.8,C4="Espelhamento - MO",0.8,C4="Emborrachamento",1,C4="Malha",0,C4="Dublagem Barreira",1,C4="Pel. + Cal.",0.4,C4="Fel. + Pel. + Cal.",0.5,C4="Pel. + Spun",0.8,C4="Espelhamento - L: 1,45m",0.8,C4="Espelhamento - L: 1,65m",0.8,C4="Estampagem",1,C4="Fel. + Cal.",0.4,C4="Dublagem Juta",0.8,C4="Dublagem Cretone - MO (Juta)",0.8,C4="Dublagem Tapete",0.8,C4="Esp. + Pel.",0.8,C4="Espelhamento 2x",0.8)</f>
        <v>0.4</v>
      </c>
      <c r="U4" s="18">
        <v>1</v>
      </c>
      <c r="V4" s="18">
        <v>1</v>
      </c>
      <c r="W4" s="18"/>
      <c r="X4" s="18">
        <v>39.67</v>
      </c>
      <c r="Y4" s="18">
        <v>38.51</v>
      </c>
      <c r="Z4" s="18">
        <v>116.78</v>
      </c>
      <c r="AA4" s="18"/>
    </row>
    <row r="5" spans="1:27" ht="14.25" customHeight="1" x14ac:dyDescent="0.35">
      <c r="A5" s="18"/>
      <c r="B5" s="22" t="s">
        <v>245</v>
      </c>
      <c r="C5" s="23" t="s">
        <v>144</v>
      </c>
      <c r="D5" s="23"/>
      <c r="E5" s="24">
        <v>1</v>
      </c>
      <c r="F5" s="25">
        <v>0.65</v>
      </c>
      <c r="G5" s="25">
        <v>0.71500000000000008</v>
      </c>
      <c r="H5" s="26" t="s">
        <v>243</v>
      </c>
      <c r="I5" s="31">
        <f t="shared" ref="I5:I21" si="9">G5/E5</f>
        <v>0.71500000000000008</v>
      </c>
      <c r="J5" s="28">
        <v>46036</v>
      </c>
      <c r="K5" s="29"/>
      <c r="L5" s="30">
        <f t="shared" si="0"/>
        <v>0.71500000000000008</v>
      </c>
      <c r="M5" s="30">
        <f>IF(B5="Texion Textil",0,IF(C5="Malha",'Custos insumos'!$B$24,IF(C5="Dublagem Cretone",'Custos insumos'!$D$7,IF(C5="Dublagem Spun",'Custos insumos'!$D$4,IF(C5="Espelhamento",'Custos insumos'!$B$11,IF(C5="Espelhamento 2x",2*'Custos insumos'!$B$11,IF(C5="Esp. + Pel.",'Custos insumos'!$B$11,IF(C5="Pel. + Spun",'Custos insumos'!$D$4,IF(C5="Dublagem Cretone PES",'Custos insumos'!$D$7,IF(C5="Dublagem Barreira",'Custos insumos'!$D$11,IF(C5="Dublagem - MO + Filme",'Custos insumos'!$D$4,)))))))))))</f>
        <v>0</v>
      </c>
      <c r="N5" s="30">
        <f>IF(B5="Texion Textil",0,IF(B5="Três Elos",0,IF(C5="Malha",0,IF(C5="Dublagem Cretone",'Custos insumos'!$D$23,IF(C5="Dublagem Spun",'Custos insumos'!$D$19,IF(C5="Espelhamento",0,IF(C5="Espelhamento 2x",0,IF(C5="Esp. + Pel.",0,IF(C5="Pel. + Spun",'Custos insumos'!$D$19,IF(C5="Dublagem Cretone PES",'Custos insumos'!$F$25,IF(C5="Dublagem Barreira",'Custos insumos'!$D$22,)))))))))))</f>
        <v>0</v>
      </c>
      <c r="O5" s="18"/>
      <c r="P5" s="53">
        <f t="shared" si="1"/>
        <v>0.4182183612112354</v>
      </c>
      <c r="Q5" s="50">
        <f t="shared" si="2"/>
        <v>301.01500000000004</v>
      </c>
      <c r="R5" s="50" cm="1">
        <f t="array" ref="R5">_xlfn.IFS(C5="Calandra",(350),C5="Peletização",(421),C5="Dublagem Spun",(250),C5="Dublagem Cretone PES",(180),C5="Felpagem",(270/E5),C5="Emborrachamento",(200),C5="Espelhamento",(250),C5="Malha",(1),C5="Dublagem Cretone",(180),C5="Malha",(1),C5="Dublagem Spun - MO",250,C5="Dublagem Cretone - MO",180,C5="Dublagem Cretone PES - MO",180,C5="Espelhamento - MO",250,C5="Emborrachamento",100,C5="Malha",0,C5="Dublagem Barreira",100,C5="Pel. + Cal.",350,C5="Fel. + Pel. + Cal.",270,C5="Pel. + Spun",250,C5="Espelhamento - L: 1,45m",200,C5="Espelhamento - L: 1,65m",200,C5="Estampagem",100,C5="Fel. + Cal.",270,C5="Dublagem Juta",180,C5="Dublagem Cretone - MO (Juta)",180,C5="Dublagem Tapete",150,C5="Esp. + Pel.",200,C5="Espelhamento 2x",100)</f>
        <v>421</v>
      </c>
      <c r="S5" s="50">
        <f t="shared" si="3"/>
        <v>175.125</v>
      </c>
      <c r="T5" s="18" cm="1">
        <f t="array" ref="T5">_xlfn.IFS(C5="Calandra",0.4,C5="Felpagem",0.3,C5="Dublagem Spun",0.8,C5="Dublagem Cretone",0.8,C5="Dublagem Cretone PES",0.8,C5="Espelhamento",0.8,C5="Peletização",0.5,C5="Dublagem Spun - MO",0.8,C5="Dublagem Cretone - MO",0.8,C5="Dublagem Cretone PES - MO",0.8,C5="Espelhamento - MO",0.8,C5="Emborrachamento",1,C5="Malha",0,C5="Dublagem Barreira",1,C5="Pel. + Cal.",0.4,C5="Fel. + Pel. + Cal.",0.5,C5="Pel. + Spun",0.8,C5="Espelhamento - L: 1,45m",0.8,C5="Espelhamento - L: 1,65m",0.8,C5="Estampagem",1,C5="Fel. + Cal.",0.4,C5="Dublagem Juta",0.8,C5="Dublagem Cretone - MO (Juta)",0.8,C5="Dublagem Tapete",0.8,C5="Esp. + Pel.",0.8,C5="Espelhamento 2x",0.8)</f>
        <v>0.5</v>
      </c>
      <c r="U5" s="18">
        <v>1</v>
      </c>
      <c r="V5" s="18">
        <v>1</v>
      </c>
      <c r="W5" s="18"/>
      <c r="X5" s="18">
        <v>39.67</v>
      </c>
      <c r="Y5" s="18">
        <v>38.51</v>
      </c>
      <c r="Z5" s="18">
        <v>116.78</v>
      </c>
      <c r="AA5" s="18"/>
    </row>
    <row r="6" spans="1:27" ht="14.25" customHeight="1" x14ac:dyDescent="0.35">
      <c r="A6" s="18"/>
      <c r="B6" s="22" t="s">
        <v>67</v>
      </c>
      <c r="C6" s="23" t="s">
        <v>68</v>
      </c>
      <c r="D6" s="23"/>
      <c r="E6" s="24">
        <v>1</v>
      </c>
      <c r="F6" s="25">
        <v>22.9</v>
      </c>
      <c r="G6" s="25">
        <v>22.9</v>
      </c>
      <c r="H6" s="24" t="s">
        <v>246</v>
      </c>
      <c r="I6" s="27">
        <f t="shared" si="9"/>
        <v>22.9</v>
      </c>
      <c r="J6" s="28">
        <v>46036</v>
      </c>
      <c r="K6" s="29"/>
      <c r="L6" s="30">
        <f t="shared" si="0"/>
        <v>10.399999999999999</v>
      </c>
      <c r="M6" s="30">
        <f>IF(B6="Texion Textil",0,IF(C6="Malha",'Custos insumos'!$B$24,IF(C6="Dublagem Cretone",'Custos insumos'!$D$7,IF(C6="Dublagem Spun",'Custos insumos'!$D$4,IF(C6="Espelhamento",'Custos insumos'!$B$11,IF(C6="Espelhamento 2x",2*'Custos insumos'!$B$11,IF(C6="Esp. + Pel.",'Custos insumos'!$B$11,IF(C6="Pel. + Spun",'Custos insumos'!$D$4,IF(C6="Dublagem Cretone PES",'Custos insumos'!$D$7,IF(C6="Dublagem Barreira",'Custos insumos'!$D$11,IF(C6="Dublagem - MO + Filme",'Custos insumos'!$D$4,)))))))))))</f>
        <v>12.5</v>
      </c>
      <c r="N6" s="30">
        <f>IF(B6="Texion Textil",0,IF(B6="Três Elos",0,IF(C6="Malha",0,IF(C6="Dublagem Cretone",'Custos insumos'!$D$23,IF(C6="Dublagem Spun",'Custos insumos'!$D$19,IF(C6="Espelhamento",0,IF(C6="Espelhamento 2x",0,IF(C6="Esp. + Pel.",0,IF(C6="Pel. + Spun",'Custos insumos'!$D$19,IF(C6="Dublagem Cretone PES",'Custos insumos'!$F$25,IF(C6="Dublagem Barreira",'Custos insumos'!$D$22,)))))))))))</f>
        <v>0</v>
      </c>
      <c r="O6" s="18"/>
      <c r="P6" s="53">
        <f t="shared" si="1"/>
        <v>-6.32707423580786</v>
      </c>
      <c r="Q6" s="50">
        <f t="shared" si="2"/>
        <v>22.9</v>
      </c>
      <c r="R6" s="50" cm="1">
        <f t="array" ref="R6">_xlfn.IFS(C6="Calandra",(350),C6="Peletização",(421),C6="Dublagem Spun",(250),C6="Dublagem Cretone PES",(180),C6="Felpagem",(270/E6),C6="Emborrachamento",(200),C6="Espelhamento",(250),C6="Malha",(1),C6="Dublagem Cretone",(180),C6="Malha",(1),C6="Dublagem Spun - MO",250,C6="Dublagem Cretone - MO",180,C6="Dublagem Cretone PES - MO",180,C6="Espelhamento - MO",250,C6="Emborrachamento",100,C6="Malha",0,C6="Dublagem Barreira",100,C6="Pel. + Cal.",350,C6="Fel. + Pel. + Cal.",270,C6="Pel. + Spun",250,C6="Espelhamento - L: 1,45m",200,C6="Espelhamento - L: 1,65m",200,C6="Estampagem",100,C6="Fel. + Cal.",270,C6="Dublagem Juta",180,C6="Dublagem Cretone - MO (Juta)",180,C6="Dublagem Tapete",150,C6="Esp. + Pel.",200,C6="Espelhamento 2x",100)</f>
        <v>1</v>
      </c>
      <c r="S6" s="50">
        <f t="shared" si="3"/>
        <v>167.79</v>
      </c>
      <c r="T6" s="18" cm="1">
        <f t="array" ref="T6">_xlfn.IFS(C6="Calandra",0.4,C6="Felpagem",0.3,C6="Dublagem Spun",0.8,C6="Dublagem Cretone",0.8,C6="Dublagem Cretone PES",0.8,C6="Espelhamento",0.8,C6="Peletização",0.5,C6="Dublagem Spun - MO",0.8,C6="Dublagem Cretone - MO",0.8,C6="Dublagem Cretone PES - MO",0.8,C6="Espelhamento - MO",0.8,C6="Emborrachamento",1,C6="Malha",0,C6="Dublagem Barreira",1,C6="Pel. + Cal.",0.4,C6="Fel. + Pel. + Cal.",0.5,C6="Pel. + Spun",0.8,C6="Espelhamento - L: 1,45m",0.8,C6="Espelhamento - L: 1,65m",0.8,C6="Estampagem",1,C6="Fel. + Cal.",0.4,C6="Dublagem Juta",0.8,C6="Dublagem Cretone - MO (Juta)",0.8,C6="Dublagem Tapete",0.8,C6="Esp. + Pel.",0.8,C6="Espelhamento 2x",0.8)</f>
        <v>0</v>
      </c>
      <c r="U6" s="18">
        <v>1</v>
      </c>
      <c r="V6" s="18">
        <v>1</v>
      </c>
      <c r="W6" s="18"/>
      <c r="X6" s="18">
        <v>39.67</v>
      </c>
      <c r="Y6" s="18">
        <v>38.51</v>
      </c>
      <c r="Z6" s="18">
        <v>116.78</v>
      </c>
      <c r="AA6" s="18"/>
    </row>
    <row r="7" spans="1:27" ht="14.25" customHeight="1" x14ac:dyDescent="0.35">
      <c r="A7" s="18"/>
      <c r="B7" s="22" t="s">
        <v>74</v>
      </c>
      <c r="C7" s="23" t="s">
        <v>247</v>
      </c>
      <c r="D7" s="23" t="s">
        <v>492</v>
      </c>
      <c r="E7" s="24">
        <v>1</v>
      </c>
      <c r="F7" s="25">
        <v>6.5</v>
      </c>
      <c r="G7" s="25">
        <v>7.15</v>
      </c>
      <c r="H7" s="26" t="s">
        <v>243</v>
      </c>
      <c r="I7" s="27">
        <f t="shared" si="9"/>
        <v>7.15</v>
      </c>
      <c r="J7" s="28">
        <v>46036</v>
      </c>
      <c r="K7" s="29" t="s">
        <v>248</v>
      </c>
      <c r="L7" s="30">
        <f t="shared" si="0"/>
        <v>2.8600000000000008</v>
      </c>
      <c r="M7" s="30">
        <f>IF(B7="Texion Textil",0,IF(C7="Malha",'Custos insumos'!$B$24,IF(C7="Dublagem Cretone",'Custos insumos'!$D$7,IF(C7="Dublagem Spun",'Custos insumos'!$D$4,IF(C7="Espelhamento",'Custos insumos'!$B$11,IF(C7="Espelhamento 2x",2*'Custos insumos'!$B$11,IF(C7="Esp. + Pel.",'Custos insumos'!$B$11,IF(C7="Pel. + Spun",'Custos insumos'!$D$4,IF(C7="Dublagem Cretone PES",'Custos insumos'!$D$7,IF(C7="Dublagem Barreira",'Custos insumos'!$D$11,IF(C7="Dublagem - MO + Filme",'Custos insumos'!$D$4,IF(C7="Dublagem Cretone HM50",'Custos insumos'!$D$26,IF(C7="Dublagem Cretone HM70",'Custos insumos'!$F$10,)))))))))))))</f>
        <v>1.962</v>
      </c>
      <c r="N7" s="30">
        <f>IF(B7="Texion Textil",0,IF(B7="Três Elos",0,IF(C7="Malha",0,IF(C7="Dublagem Cretone",'Custos insumos'!$D$23,IF(C7="Dublagem Spun",'Custos insumos'!$D$19,IF(C7="Espelhamento",0,IF(C7="Espelhamento 2x",0,IF(C7="Esp. + Pel.",0,IF(C7="Pel. + Spun",'Custos insumos'!$D$19,IF(C7="Dublagem Cretone PES",'Custos insumos'!$F$25,IF(C7="Dublagem Barreira",'Custos insumos'!$D$22,)))))))))))</f>
        <v>2.3279999999999998</v>
      </c>
      <c r="O7" s="18"/>
      <c r="P7" s="53">
        <f t="shared" si="1"/>
        <v>0.2546806526806526</v>
      </c>
      <c r="Q7" s="50">
        <f t="shared" si="2"/>
        <v>1287</v>
      </c>
      <c r="R7" s="50" cm="1">
        <f t="array" ref="R7">_xlfn.IFS(C7="Calandra",(350),C7="Peletização",(421),C7="Dublagem Spun",(250),C7="Dublagem Cretone PES",(180),C7="Felpagem",(270/E7),C7="Emborrachamento",(200),C7="Espelhamento",(250),C7="Malha",(1),C7="Dublagem Cretone",(180),C7="Malha",(1),C7="Dublagem Spun - MO",250,C7="Dublagem Cretone - MO",180,C7="Dublagem Cretone PES - MO",180,C7="Espelhamento - MO",250,C7="Emborrachamento",100,C7="Malha",0,C7="Dublagem Barreira",100,C7="Pel. + Cal.",350,C7="Fel. + Pel. + Cal.",270,C7="Pel. + Spun",250,C7="Espelhamento - L: 1,45m",200,C7="Espelhamento - L: 1,65m",200,C7="Estampagem",100,C7="Fel. + Cal.",270,C7="Dublagem Juta",180,C7="Dublagem Cretone - MO (Juta)",180,C7="Dublagem Tapete",150,C7="Esp. + Pel.",200,C7="Espelhamento 2x",100)</f>
        <v>180</v>
      </c>
      <c r="S7" s="50">
        <f t="shared" si="3"/>
        <v>959.22600000000011</v>
      </c>
      <c r="T7" s="18" cm="1">
        <f t="array" ref="T7">_xlfn.IFS(C7="Calandra",0.4,C7="Felpagem",0.3,C7="Dublagem Spun",0.8,C7="Dublagem Cretone",0.8,C7="Dublagem Cretone PES",0.8,C7="Espelhamento",0.8,C7="Peletização",0.5,C7="Dublagem Spun - MO",0.8,C7="Dublagem Cretone - MO",0.8,C7="Dublagem Cretone PES - MO",0.8,C7="Espelhamento - MO",0.8,C7="Emborrachamento",1,C7="Malha",0,C7="Dublagem Barreira",1,C7="Pel. + Cal.",0.4,C7="Fel. + Pel. + Cal.",0.5,C7="Pel. + Spun",0.8,C7="Espelhamento - L: 1,45m",0.8,C7="Espelhamento - L: 1,65m",0.8,C7="Estampagem",1,C7="Fel. + Cal.",0.4,C7="Dublagem Juta",0.8,C7="Dublagem Cretone - MO (Juta)",0.8,C7="Dublagem Tapete",0.8,C7="Esp. + Pel.",0.8,C7="Espelhamento 2x",0.8)</f>
        <v>0.8</v>
      </c>
      <c r="U7" s="18">
        <v>1</v>
      </c>
      <c r="V7" s="18">
        <v>1</v>
      </c>
      <c r="W7" s="18"/>
      <c r="X7" s="18">
        <v>39.67</v>
      </c>
      <c r="Y7" s="18">
        <v>38.51</v>
      </c>
      <c r="Z7" s="18">
        <v>116.78</v>
      </c>
      <c r="AA7" s="18"/>
    </row>
    <row r="8" spans="1:27" ht="14.25" customHeight="1" x14ac:dyDescent="0.35">
      <c r="A8" s="18"/>
      <c r="B8" s="22" t="s">
        <v>74</v>
      </c>
      <c r="C8" s="23" t="s">
        <v>98</v>
      </c>
      <c r="D8" s="23" t="s">
        <v>482</v>
      </c>
      <c r="E8" s="24">
        <v>1</v>
      </c>
      <c r="F8" s="25">
        <v>6.5</v>
      </c>
      <c r="G8" s="25">
        <v>7.15</v>
      </c>
      <c r="H8" s="26" t="s">
        <v>243</v>
      </c>
      <c r="I8" s="27">
        <f t="shared" si="9"/>
        <v>7.15</v>
      </c>
      <c r="J8" s="28">
        <v>46036</v>
      </c>
      <c r="K8" s="29" t="s">
        <v>248</v>
      </c>
      <c r="L8" s="30">
        <f t="shared" si="0"/>
        <v>7.15</v>
      </c>
      <c r="M8" s="30">
        <f>IF(B8="Texion Textil",0,IF(C8="Malha",'Custos insumos'!$B$24,IF(C8="Dublagem Cretone",'Custos insumos'!$D$7,IF(C8="Dublagem Spun",'Custos insumos'!$D$4,IF(C8="Espelhamento",'Custos insumos'!$B$11,IF(C8="Espelhamento 2x",2*'Custos insumos'!$B$11,IF(C8="Esp. + Pel.",'Custos insumos'!$B$11,IF(C8="Pel. + Spun",'Custos insumos'!$D$4,IF(C8="Dublagem Cretone PES",'Custos insumos'!$D$7,IF(C8="Dublagem Barreira",'Custos insumos'!$D$11,IF(C8="Dublagem - MO + Filme",'Custos insumos'!$D$4,IF(C8="Dublagem Cretone HM50",'Custos insumos'!$D$26,IF(C8="Dublagem Cretone HM70",'Custos insumos'!$F$10,)))))))))))))</f>
        <v>0</v>
      </c>
      <c r="N8" s="30">
        <f>IF(B8="Texion Textil",0,IF(B8="Três Elos",0,IF(C8="Malha",0,IF(C8="Dublagem Cretone",'Custos insumos'!$D$23,IF(C8="Dublagem Spun",'Custos insumos'!$D$19,IF(C8="Espelhamento",0,IF(C8="Espelhamento 2x",0,IF(C8="Esp. + Pel.",0,IF(C8="Pel. + Spun",'Custos insumos'!$D$19,IF(C8="Dublagem Cretone PES",'Custos insumos'!$F$25,IF(C8="Dublagem Barreira",'Custos insumos'!$D$22,)))))))))))</f>
        <v>0</v>
      </c>
      <c r="O8" s="18"/>
      <c r="P8" s="53" t="e">
        <f t="shared" si="1"/>
        <v>#N/A</v>
      </c>
      <c r="Q8" s="50" t="e">
        <f t="shared" si="2"/>
        <v>#N/A</v>
      </c>
      <c r="R8" s="50" t="e" cm="1">
        <f t="array" ref="R8">_xlfn.IFS(C8="Calandra",(350),C8="Peletização",(421),C8="Dublagem Spun",(250),C8="Dublagem Cretone PES",(180),C8="Felpagem",(270/E8),C8="Emborrachamento",(200),C8="Espelhamento",(250),C8="Malha",(1),C8="Dublagem Cretone",(180),C8="Malha",(1),C8="Dublagem Spun - MO",250,C8="Dublagem Cretone - MO",180,C8="Dublagem Cretone PES - MO",180,C8="Espelhamento - MO",250,C8="Emborrachamento",100,C8="Malha",0,C8="Dublagem Barreira",100,C8="Pel. + Cal.",350,C8="Fel. + Pel. + Cal.",270,C8="Pel. + Spun",250,C8="Espelhamento - L: 1,45m",200,C8="Espelhamento - L: 1,65m",200,C8="Estampagem",100,C8="Fel. + Cal.",270,C8="Dublagem Juta",180,C8="Dublagem Cretone - MO (Juta)",180,C8="Dublagem Tapete",150,C8="Esp. + Pel.",200,C8="Espelhamento 2x",100)</f>
        <v>#N/A</v>
      </c>
      <c r="S8" s="50" t="e">
        <f t="shared" si="3"/>
        <v>#N/A</v>
      </c>
      <c r="T8" s="18" t="e" cm="1">
        <f t="array" ref="T8">_xlfn.IFS(C8="Calandra",0.4,C8="Felpagem",0.3,C8="Dublagem Spun",0.8,C8="Dublagem Cretone",0.8,C8="Dublagem Cretone PES",0.8,C8="Espelhamento",0.8,C8="Peletização",0.5,C8="Dublagem Spun - MO",0.8,C8="Dublagem Cretone - MO",0.8,C8="Dublagem Cretone PES - MO",0.8,C8="Espelhamento - MO",0.8,C8="Emborrachamento",1,C8="Malha",0,C8="Dublagem Barreira",1,C8="Pel. + Cal.",0.4,C8="Fel. + Pel. + Cal.",0.5,C8="Pel. + Spun",0.8,C8="Espelhamento - L: 1,45m",0.8,C8="Espelhamento - L: 1,65m",0.8,C8="Estampagem",1,C8="Fel. + Cal.",0.4,C8="Dublagem Juta",0.8,C8="Dublagem Cretone - MO (Juta)",0.8,C8="Dublagem Tapete",0.8,C8="Esp. + Pel.",0.8,C8="Espelhamento 2x",0.8)</f>
        <v>#N/A</v>
      </c>
      <c r="U8" s="18">
        <v>1</v>
      </c>
      <c r="V8" s="18">
        <v>1</v>
      </c>
      <c r="W8" s="18"/>
      <c r="X8" s="18">
        <v>39.67</v>
      </c>
      <c r="Y8" s="18">
        <v>38.51</v>
      </c>
      <c r="Z8" s="18">
        <v>116.78</v>
      </c>
      <c r="AA8" s="18"/>
    </row>
    <row r="9" spans="1:27" ht="14.25" customHeight="1" x14ac:dyDescent="0.35">
      <c r="A9" s="18"/>
      <c r="B9" s="22" t="s">
        <v>74</v>
      </c>
      <c r="C9" s="23" t="s">
        <v>261</v>
      </c>
      <c r="D9" s="23"/>
      <c r="E9" s="24">
        <v>1</v>
      </c>
      <c r="F9" s="25">
        <v>1.1000000000000001</v>
      </c>
      <c r="G9" s="25">
        <v>1.2100000000000002</v>
      </c>
      <c r="H9" s="26" t="s">
        <v>243</v>
      </c>
      <c r="I9" s="27">
        <f t="shared" si="9"/>
        <v>1.2100000000000002</v>
      </c>
      <c r="J9" s="28">
        <v>46036</v>
      </c>
      <c r="K9" s="29" t="s">
        <v>252</v>
      </c>
      <c r="L9" s="30">
        <f t="shared" si="0"/>
        <v>1.2100000000000002</v>
      </c>
      <c r="M9" s="30">
        <f>IF(B9="Texion Textil",0,IF(C9="Malha",'Custos insumos'!$B$24,IF(C9="Dublagem Cretone",'Custos insumos'!$D$7,IF(C9="Dublagem Spun",'Custos insumos'!$D$4,IF(C9="Espelhamento",'Custos insumos'!$B$11,IF(C9="Espelhamento 2x",2*'Custos insumos'!$B$11,IF(C9="Esp. + Pel.",'Custos insumos'!$B$11,IF(C9="Pel. + Spun",'Custos insumos'!$D$4,IF(C9="Dublagem Cretone PES",'Custos insumos'!$D$7,IF(C9="Dublagem Barreira",'Custos insumos'!$D$11,IF(C9="Dublagem - MO + Filme",'Custos insumos'!$D$4,IF(C9="Dublagem Cretone HM50",'Custos insumos'!$D$26,IF(C9="Dublagem Cretone HM70",'Custos insumos'!$F$10,)))))))))))))</f>
        <v>0</v>
      </c>
      <c r="N9" s="30">
        <f>IF(B9="Texion Textil",0,IF(B9="Três Elos",0,IF(C9="Malha",0,IF(C9="Dublagem Cretone",'Custos insumos'!$D$23,IF(C9="Dublagem Spun",'Custos insumos'!$D$19,IF(C9="Espelhamento",0,IF(C9="Espelhamento 2x",0,IF(C9="Esp. + Pel.",0,IF(C9="Pel. + Spun",'Custos insumos'!$D$19,IF(C9="Dublagem Cretone PES",'Custos insumos'!$F$25,IF(C9="Dublagem Barreira",'Custos insumos'!$D$22,)))))))))))</f>
        <v>0</v>
      </c>
      <c r="O9" s="18"/>
      <c r="P9" s="53">
        <f t="shared" si="1"/>
        <v>0.14129476584022049</v>
      </c>
      <c r="Q9" s="50">
        <f t="shared" si="2"/>
        <v>217.80000000000004</v>
      </c>
      <c r="R9" s="50" cm="1">
        <f t="array" ref="R9">_xlfn.IFS(C9="Calandra",(350),C9="Peletização",(421),C9="Dublagem Spun",(250),C9="Dublagem Cretone PES",(180),C9="Felpagem",(270/E9),C9="Emborrachamento",(200),C9="Espelhamento",(250),C9="Malha",(1),C9="Dublagem Cretone",(180),C9="Malha",(1),C9="Dublagem Spun - MO",250,C9="Dublagem Cretone - MO",180,C9="Dublagem Cretone PES - MO",180,C9="Espelhamento - MO",250,C9="Emborrachamento",100,C9="Malha",0,C9="Dublagem Barreira",100,C9="Pel. + Cal.",350,C9="Fel. + Pel. + Cal.",270,C9="Pel. + Spun",250,C9="Espelhamento - L: 1,45m",200,C9="Espelhamento - L: 1,65m",200,C9="Estampagem",100,C9="Fel. + Cal.",270,C9="Dublagem Juta",180,C9="Dublagem Cretone - MO (Juta)",180,C9="Dublagem Tapete",150,C9="Esp. + Pel.",200,C9="Espelhamento 2x",100)</f>
        <v>180</v>
      </c>
      <c r="S9" s="50">
        <f t="shared" si="3"/>
        <v>187.02600000000001</v>
      </c>
      <c r="T9" s="18" cm="1">
        <f t="array" ref="T9">_xlfn.IFS(C9="Calandra",0.4,C9="Felpagem",0.3,C9="Dublagem Spun",0.8,C9="Dublagem Cretone",0.8,C9="Dublagem Cretone PES",0.8,C9="Espelhamento",0.8,C9="Peletização",0.5,C9="Dublagem Spun - MO",0.8,C9="Dublagem Cretone - MO",0.8,C9="Dublagem Cretone PES - MO",0.8,C9="Espelhamento - MO",0.8,C9="Emborrachamento",1,C9="Malha",0,C9="Dublagem Barreira",1,C9="Pel. + Cal.",0.4,C9="Fel. + Pel. + Cal.",0.5,C9="Pel. + Spun",0.8,C9="Espelhamento - L: 1,45m",0.8,C9="Espelhamento - L: 1,65m",0.8,C9="Estampagem",1,C9="Fel. + Cal.",0.4,C9="Dublagem Juta",0.8,C9="Dublagem Cretone - MO (Juta)",0.8,C9="Dublagem Tapete",0.8,C9="Esp. + Pel.",0.8,C9="Espelhamento 2x",0.8)</f>
        <v>0.8</v>
      </c>
      <c r="U9" s="18">
        <v>1</v>
      </c>
      <c r="V9" s="18">
        <v>1</v>
      </c>
      <c r="W9" s="18"/>
      <c r="X9" s="18">
        <v>39.67</v>
      </c>
      <c r="Y9" s="18">
        <v>38.51</v>
      </c>
      <c r="Z9" s="18">
        <v>116.78</v>
      </c>
      <c r="AA9" s="18"/>
    </row>
    <row r="10" spans="1:27" ht="14.25" customHeight="1" x14ac:dyDescent="0.35">
      <c r="A10" s="18"/>
      <c r="B10" s="22" t="s">
        <v>74</v>
      </c>
      <c r="C10" s="23" t="s">
        <v>260</v>
      </c>
      <c r="D10" s="23"/>
      <c r="E10" s="24">
        <v>1</v>
      </c>
      <c r="F10" s="25">
        <v>1.1000000000000001</v>
      </c>
      <c r="G10" s="25">
        <v>1.2100000000000002</v>
      </c>
      <c r="H10" s="26" t="s">
        <v>243</v>
      </c>
      <c r="I10" s="27">
        <f t="shared" si="9"/>
        <v>1.2100000000000002</v>
      </c>
      <c r="J10" s="28">
        <v>46036</v>
      </c>
      <c r="K10" s="29" t="s">
        <v>248</v>
      </c>
      <c r="L10" s="30">
        <f t="shared" si="0"/>
        <v>1.2100000000000002</v>
      </c>
      <c r="M10" s="30">
        <f>IF(B10="Texion Textil",0,IF(C10="Malha",'Custos insumos'!$B$24,IF(C10="Dublagem Cretone",'Custos insumos'!$D$7,IF(C10="Dublagem Spun",'Custos insumos'!$D$4,IF(C10="Espelhamento",'Custos insumos'!$B$11,IF(C10="Espelhamento 2x",2*'Custos insumos'!$B$11,IF(C10="Esp. + Pel.",'Custos insumos'!$B$11,IF(C10="Pel. + Spun",'Custos insumos'!$D$4,IF(C10="Dublagem Cretone PES",'Custos insumos'!$D$7,IF(C10="Dublagem Barreira",'Custos insumos'!$D$11,IF(C10="Dublagem - MO + Filme",'Custos insumos'!$D$4,IF(C10="Dublagem Cretone HM50",'Custos insumos'!$D$26,IF(C10="Dublagem Cretone HM70",'Custos insumos'!$F$10,)))))))))))))</f>
        <v>0</v>
      </c>
      <c r="N10" s="30">
        <f>IF(B10="Texion Textil",0,IF(B10="Três Elos",0,IF(C10="Malha",0,IF(C10="Dublagem Cretone",'Custos insumos'!$D$23,IF(C10="Dublagem Spun",'Custos insumos'!$D$19,IF(C10="Espelhamento",0,IF(C10="Espelhamento 2x",0,IF(C10="Esp. + Pel.",0,IF(C10="Pel. + Spun",'Custos insumos'!$D$19,IF(C10="Dublagem Cretone PES",'Custos insumos'!$F$25,IF(C10="Dublagem Barreira",'Custos insumos'!$D$22,)))))))))))</f>
        <v>0</v>
      </c>
      <c r="O10" s="18"/>
      <c r="P10" s="53">
        <f t="shared" si="1"/>
        <v>0.38173223140495877</v>
      </c>
      <c r="Q10" s="50">
        <f t="shared" si="2"/>
        <v>302.50000000000006</v>
      </c>
      <c r="R10" s="50" cm="1">
        <f t="array" ref="R10">_xlfn.IFS(C10="Calandra",(350),C10="Peletização",(421),C10="Dublagem Spun",(250),C10="Dublagem Cretone PES",(180),C10="Felpagem",(270/E10),C10="Emborrachamento",(200),C10="Espelhamento",(250),C10="Malha",(1),C10="Dublagem Cretone",(180),C10="Malha",(1),C10="Dublagem Spun - MO",250,C10="Dublagem Cretone - MO",180,C10="Dublagem Cretone PES - MO",180,C10="Espelhamento - MO",250,C10="Emborrachamento",100,C10="Malha",0,C10="Dublagem Barreira",100,C10="Pel. + Cal.",350,C10="Fel. + Pel. + Cal.",270,C10="Pel. + Spun",250,C10="Espelhamento - L: 1,45m",200,C10="Espelhamento - L: 1,65m",200,C10="Estampagem",100,C10="Fel. + Cal.",270,C10="Dublagem Juta",180,C10="Dublagem Cretone - MO (Juta)",180,C10="Dublagem Tapete",150,C10="Esp. + Pel.",200,C10="Espelhamento 2x",100)</f>
        <v>250</v>
      </c>
      <c r="S10" s="50">
        <f t="shared" si="3"/>
        <v>187.02600000000001</v>
      </c>
      <c r="T10" s="18" cm="1">
        <f t="array" ref="T10">_xlfn.IFS(C10="Calandra",0.4,C10="Felpagem",0.3,C10="Dublagem Spun",0.8,C10="Dublagem Cretone",0.8,C10="Dublagem Cretone PES",0.8,C10="Espelhamento",0.8,C10="Peletização",0.5,C10="Dublagem Spun - MO",0.8,C10="Dublagem Cretone - MO",0.8,C10="Dublagem Cretone PES - MO",0.8,C10="Espelhamento - MO",0.8,C10="Emborrachamento",1,C10="Malha",0,C10="Dublagem Barreira",1,C10="Pel. + Cal.",0.4,C10="Fel. + Pel. + Cal.",0.5,C10="Pel. + Spun",0.8,C10="Espelhamento - L: 1,45m",0.8,C10="Espelhamento - L: 1,65m",0.8,C10="Estampagem",1,C10="Fel. + Cal.",0.4,C10="Dublagem Juta",0.8,C10="Dublagem Cretone - MO (Juta)",0.8,C10="Dublagem Tapete",0.8,C10="Esp. + Pel.",0.8,C10="Espelhamento 2x",0.8)</f>
        <v>0.8</v>
      </c>
      <c r="U10" s="18">
        <v>1</v>
      </c>
      <c r="V10" s="18">
        <v>1</v>
      </c>
      <c r="W10" s="18"/>
      <c r="X10" s="18">
        <v>39.67</v>
      </c>
      <c r="Y10" s="18">
        <v>38.51</v>
      </c>
      <c r="Z10" s="18">
        <v>116.78</v>
      </c>
      <c r="AA10" s="18"/>
    </row>
    <row r="11" spans="1:27" ht="14.25" customHeight="1" x14ac:dyDescent="0.35">
      <c r="A11" s="18"/>
      <c r="B11" s="22" t="s">
        <v>74</v>
      </c>
      <c r="C11" s="23" t="s">
        <v>106</v>
      </c>
      <c r="D11" s="23"/>
      <c r="E11" s="24">
        <v>1</v>
      </c>
      <c r="F11" s="25">
        <v>1.1000000000000001</v>
      </c>
      <c r="G11" s="25">
        <v>1.2100000000000002</v>
      </c>
      <c r="H11" s="26" t="s">
        <v>243</v>
      </c>
      <c r="I11" s="27">
        <f t="shared" si="9"/>
        <v>1.2100000000000002</v>
      </c>
      <c r="J11" s="28">
        <v>46036</v>
      </c>
      <c r="K11" s="29" t="s">
        <v>248</v>
      </c>
      <c r="L11" s="30">
        <f t="shared" si="0"/>
        <v>0.15149971014492758</v>
      </c>
      <c r="M11" s="30">
        <f>IF(B11="Texion Textil",0,IF(C11="Malha",'Custos insumos'!$B$24,IF(C11="Dublagem Cretone",'Custos insumos'!$D$7,IF(C11="Dublagem Spun",'Custos insumos'!$D$4,IF(C11="Espelhamento",'Custos insumos'!$B$11,IF(C11="Espelhamento 2x",2*'Custos insumos'!$B$11,IF(C11="Esp. + Pel.",'Custos insumos'!$B$11,IF(C11="Pel. + Spun",'Custos insumos'!$D$4,IF(C11="Dublagem Cretone PES",'Custos insumos'!$D$7,IF(C11="Dublagem Barreira",'Custos insumos'!$D$11,IF(C11="Dublagem - MO + Filme",'Custos insumos'!$D$4,IF(C11="Dublagem Cretone HM50",'Custos insumos'!$D$26,IF(C11="Dublagem Cretone HM70",'Custos insumos'!$F$10,)))))))))))))</f>
        <v>1.0585002898550726</v>
      </c>
      <c r="N11" s="30">
        <f>IF(B11="Texion Textil",0,IF(B11="Três Elos",0,IF(C11="Malha",0,IF(C11="Dublagem Cretone",'Custos insumos'!$D$23,IF(C11="Dublagem Spun",'Custos insumos'!$D$19,IF(C11="Espelhamento",0,IF(C11="Espelhamento 2x",0,IF(C11="Esp. + Pel.",0,IF(C11="Pel. + Spun",'Custos insumos'!$D$19,IF(C11="Dublagem Cretone PES",'Custos insumos'!$F$25,IF(C11="Dublagem Barreira",'Custos insumos'!$D$22,)))))))))))</f>
        <v>0</v>
      </c>
      <c r="O11" s="18"/>
      <c r="P11" s="53">
        <f t="shared" si="1"/>
        <v>-0.49306139657443998</v>
      </c>
      <c r="Q11" s="50">
        <f t="shared" si="2"/>
        <v>302.50000000000006</v>
      </c>
      <c r="R11" s="50" cm="1">
        <f t="array" ref="R11">_xlfn.IFS(C11="Calandra",(350),C11="Peletização",(421),C11="Dublagem Spun",(250),C11="Dublagem Cretone PES",(180),C11="Felpagem",(270/E11),C11="Emborrachamento",(200),C11="Espelhamento",(250),C11="Malha",(1),C11="Dublagem Cretone",(180),C11="Malha",(1),C11="Dublagem Spun - MO",250,C11="Dublagem Cretone - MO",180,C11="Dublagem Cretone PES - MO",180,C11="Espelhamento - MO",250,C11="Emborrachamento",100,C11="Malha",0,C11="Dublagem Barreira",100,C11="Pel. + Cal.",350,C11="Fel. + Pel. + Cal.",270,C11="Pel. + Spun",250,C11="Espelhamento - L: 1,45m",200,C11="Espelhamento - L: 1,65m",200,C11="Estampagem",100,C11="Fel. + Cal.",270,C11="Dublagem Juta",180,C11="Dublagem Cretone - MO (Juta)",180,C11="Dublagem Tapete",150,C11="Esp. + Pel.",200,C11="Espelhamento 2x",100)</f>
        <v>250</v>
      </c>
      <c r="S11" s="50">
        <f t="shared" si="3"/>
        <v>451.65107246376817</v>
      </c>
      <c r="T11" s="18" cm="1">
        <f t="array" ref="T11">_xlfn.IFS(C11="Calandra",0.4,C11="Felpagem",0.3,C11="Dublagem Spun",0.8,C11="Dublagem Cretone",0.8,C11="Dublagem Cretone PES",0.8,C11="Espelhamento",0.8,C11="Peletização",0.5,C11="Dublagem Spun - MO",0.8,C11="Dublagem Cretone - MO",0.8,C11="Dublagem Cretone PES - MO",0.8,C11="Espelhamento - MO",0.8,C11="Emborrachamento",1,C11="Malha",0,C11="Dublagem Barreira",1,C11="Pel. + Cal.",0.4,C11="Fel. + Pel. + Cal.",0.5,C11="Pel. + Spun",0.8,C11="Espelhamento - L: 1,45m",0.8,C11="Espelhamento - L: 1,65m",0.8,C11="Estampagem",1,C11="Fel. + Cal.",0.4,C11="Dublagem Juta",0.8,C11="Dublagem Cretone - MO (Juta)",0.8,C11="Dublagem Tapete",0.8,C11="Esp. + Pel.",0.8,C11="Espelhamento 2x",0.8)</f>
        <v>0.8</v>
      </c>
      <c r="U11" s="18">
        <v>1</v>
      </c>
      <c r="V11" s="18">
        <v>1</v>
      </c>
      <c r="W11" s="18"/>
      <c r="X11" s="18">
        <v>39.67</v>
      </c>
      <c r="Y11" s="18">
        <v>38.51</v>
      </c>
      <c r="Z11" s="18">
        <v>116.78</v>
      </c>
      <c r="AA11" s="18"/>
    </row>
    <row r="12" spans="1:27" ht="14.25" customHeight="1" x14ac:dyDescent="0.35">
      <c r="A12" s="18"/>
      <c r="B12" s="75" t="s">
        <v>253</v>
      </c>
      <c r="C12" s="23" t="s">
        <v>508</v>
      </c>
      <c r="D12" s="23" t="s">
        <v>255</v>
      </c>
      <c r="E12" s="24">
        <v>2</v>
      </c>
      <c r="F12" s="25">
        <v>0.45</v>
      </c>
      <c r="G12" s="25">
        <v>0.49500000000000005</v>
      </c>
      <c r="H12" s="26" t="s">
        <v>243</v>
      </c>
      <c r="I12" s="27">
        <f t="shared" si="9"/>
        <v>0.24750000000000003</v>
      </c>
      <c r="J12" s="28">
        <v>46036</v>
      </c>
      <c r="K12" s="29"/>
      <c r="L12" s="30">
        <f t="shared" si="0"/>
        <v>0.49500000000000005</v>
      </c>
      <c r="M12" s="30">
        <f>IF(B12="Texion Textil",0,IF(C12="Malha",'Custos insumos'!$B$24,IF(C12="Dublagem Cretone",'Custos insumos'!$D$7,IF(C12="Dublagem Spun",'Custos insumos'!$D$4,IF(C12="Espelhamento",'Custos insumos'!$B$11,IF(C12="Espelhamento 2x",2*'Custos insumos'!$B$11,IF(C12="Esp. + Pel.",'Custos insumos'!$B$11,IF(C12="Pel. + Spun",'Custos insumos'!$D$4,IF(C12="Dublagem Cretone PES",'Custos insumos'!$D$7,IF(C12="Dublagem Barreira",'Custos insumos'!$D$11,IF(C12="Dublagem - MO + Filme",'Custos insumos'!$D$4,IF(C12="Dublagem Cretone HM50",'Custos insumos'!$D$26,IF(C12="Dublagem Cretone HM70",'Custos insumos'!$F$10,)))))))))))))</f>
        <v>0</v>
      </c>
      <c r="N12" s="30">
        <f>IF(B12="Texion Textil",0,IF(B12="Três Elos",0,IF(C12="Malha",0,IF(C12="Dublagem Cretone",'Custos insumos'!$D$23,IF(C12="Dublagem Spun",'Custos insumos'!$D$19,IF(C12="Espelhamento",0,IF(C12="Espelhamento 2x",0,IF(C12="Esp. + Pel.",0,IF(C12="Pel. + Spun",'Custos insumos'!$D$19,IF(C12="Dublagem Cretone PES",'Custos insumos'!$F$25,IF(C12="Dublagem Barreira",'Custos insumos'!$D$22,)))))))))))</f>
        <v>0</v>
      </c>
      <c r="O12" s="18"/>
      <c r="P12" s="53" t="e">
        <f t="shared" si="1"/>
        <v>#N/A</v>
      </c>
      <c r="Q12" s="50" t="e">
        <f t="shared" si="2"/>
        <v>#N/A</v>
      </c>
      <c r="R12" s="50" t="e" cm="1">
        <f t="array" ref="R12">_xlfn.IFS(C12="Calandra",(350),C12="Peletização",(421),C12="Dublagem Spun",(250),C12="Dublagem Cretone PES",(180),C12="Felpagem",(270/E12),C12="Emborrachamento",(200),C12="Espelhamento",(250),C12="Malha",(1),C12="Dublagem Cretone",(180),C12="Malha",(1),C12="Dublagem Spun - MO",250,C12="Dublagem Cretone - MO",180,C12="Dublagem Cretone PES - MO",180,C12="Espelhamento - MO",250,C12="Emborrachamento",100,C12="Malha",0,C12="Dublagem Barreira",100,C12="Pel. + Cal.",350,C12="Fel. + Pel. + Cal.",270,C12="Pel. + Spun",250,C12="Espelhamento - L: 1,45m",200,C12="Espelhamento - L: 1,65m",200,C12="Estampagem",100,C12="Fel. + Cal.",270,C12="Dublagem Juta",180,C12="Dublagem Cretone - MO (Juta)",180,C12="Dublagem Tapete",150,C12="Esp. + Pel.",200,C12="Espelhamento 2x",100)</f>
        <v>#N/A</v>
      </c>
      <c r="S12" s="50" t="e">
        <f t="shared" si="3"/>
        <v>#N/A</v>
      </c>
      <c r="T12" s="18" t="e" cm="1">
        <f t="array" ref="T12">_xlfn.IFS(C12="Calandra",0.4,C12="Felpagem",0.3,C12="Dublagem Spun",0.8,C12="Dublagem Cretone",0.8,C12="Dublagem Cretone PES",0.8,C12="Espelhamento",0.8,C12="Peletização",0.5,C12="Dublagem Spun - MO",0.8,C12="Dublagem Cretone - MO",0.8,C12="Dublagem Cretone PES - MO",0.8,C12="Espelhamento - MO",0.8,C12="Emborrachamento",1,C12="Malha",0,C12="Dublagem Barreira",1,C12="Pel. + Cal.",0.4,C12="Fel. + Pel. + Cal.",0.5,C12="Pel. + Spun",0.8,C12="Espelhamento - L: 1,45m",0.8,C12="Espelhamento - L: 1,65m",0.8,C12="Estampagem",1,C12="Fel. + Cal.",0.4,C12="Dublagem Juta",0.8,C12="Dublagem Cretone - MO (Juta)",0.8,C12="Dublagem Tapete",0.8,C12="Esp. + Pel.",0.8,C12="Espelhamento 2x",0.8)</f>
        <v>#N/A</v>
      </c>
      <c r="U12" s="18">
        <v>1</v>
      </c>
      <c r="V12" s="18">
        <v>1</v>
      </c>
      <c r="W12" s="18"/>
      <c r="X12" s="18">
        <v>39.67</v>
      </c>
      <c r="Y12" s="18">
        <v>38.51</v>
      </c>
      <c r="Z12" s="18">
        <v>116.78</v>
      </c>
      <c r="AA12" s="18"/>
    </row>
    <row r="13" spans="1:27" ht="14.25" customHeight="1" x14ac:dyDescent="0.35">
      <c r="A13" s="18"/>
      <c r="B13" s="75" t="s">
        <v>253</v>
      </c>
      <c r="C13" s="23" t="s">
        <v>450</v>
      </c>
      <c r="D13" s="23">
        <v>12142</v>
      </c>
      <c r="E13" s="24">
        <v>2</v>
      </c>
      <c r="F13" s="25">
        <v>0.35</v>
      </c>
      <c r="G13" s="25">
        <v>0.38500000000000001</v>
      </c>
      <c r="H13" s="26" t="s">
        <v>243</v>
      </c>
      <c r="I13" s="27">
        <f t="shared" si="9"/>
        <v>0.1925</v>
      </c>
      <c r="J13" s="28">
        <v>46036</v>
      </c>
      <c r="K13" s="29"/>
      <c r="L13" s="30">
        <f t="shared" si="0"/>
        <v>0.38500000000000001</v>
      </c>
      <c r="M13" s="30">
        <f>IF(B13="Texion Textil",0,IF(C13="Malha",'Custos insumos'!$B$24,IF(C13="Dublagem Cretone",'Custos insumos'!$D$7,IF(C13="Dublagem Spun",'Custos insumos'!$D$4,IF(C13="Espelhamento",'Custos insumos'!$B$11,IF(C13="Espelhamento 2x",2*'Custos insumos'!$B$11,IF(C13="Esp. + Pel.",'Custos insumos'!$B$11,IF(C13="Pel. + Spun",'Custos insumos'!$D$4,IF(C13="Dublagem Cretone PES",'Custos insumos'!$D$7,IF(C13="Dublagem Barreira",'Custos insumos'!$D$11,IF(C13="Dublagem - MO + Filme",'Custos insumos'!$D$4,IF(C13="Dublagem Cretone HM50",'Custos insumos'!$D$26,IF(C13="Dublagem Cretone HM70",'Custos insumos'!$F$10,)))))))))))))</f>
        <v>0</v>
      </c>
      <c r="N13" s="30">
        <f>IF(B13="Texion Textil",0,IF(B13="Três Elos",0,IF(C13="Malha",0,IF(C13="Dublagem Cretone",'Custos insumos'!$D$23,IF(C13="Dublagem Spun",'Custos insumos'!$D$19,IF(C13="Espelhamento",0,IF(C13="Espelhamento 2x",0,IF(C13="Esp. + Pel.",0,IF(C13="Pel. + Spun",'Custos insumos'!$D$19,IF(C13="Dublagem Cretone PES",'Custos insumos'!$F$25,IF(C13="Dublagem Barreira",'Custos insumos'!$D$22,)))))))))))</f>
        <v>0</v>
      </c>
      <c r="O13" s="18"/>
      <c r="P13" s="53" t="e">
        <f t="shared" si="1"/>
        <v>#N/A</v>
      </c>
      <c r="Q13" s="50" t="e">
        <f t="shared" si="2"/>
        <v>#N/A</v>
      </c>
      <c r="R13" s="50" t="e" cm="1">
        <f t="array" ref="R13">_xlfn.IFS(C13="Calandra",(350),C13="Peletização",(421),C13="Dublagem Spun",(250),C13="Dublagem Cretone PES",(180),C13="Felpagem",(270/E13),C13="Emborrachamento",(200),C13="Espelhamento",(250),C13="Malha",(1),C13="Dublagem Cretone",(180),C13="Malha",(1),C13="Dublagem Spun - MO",250,C13="Dublagem Cretone - MO",180,C13="Dublagem Cretone PES - MO",180,C13="Espelhamento - MO",250,C13="Emborrachamento",100,C13="Malha",0,C13="Dublagem Barreira",100,C13="Pel. + Cal.",350,C13="Fel. + Pel. + Cal.",270,C13="Pel. + Spun",250,C13="Espelhamento - L: 1,45m",200,C13="Espelhamento - L: 1,65m",200,C13="Estampagem",100,C13="Fel. + Cal.",270,C13="Dublagem Juta",180,C13="Dublagem Cretone - MO (Juta)",180,C13="Dublagem Tapete",150,C13="Esp. + Pel.",200,C13="Espelhamento 2x",100)</f>
        <v>#N/A</v>
      </c>
      <c r="S13" s="50" t="e">
        <f t="shared" si="3"/>
        <v>#N/A</v>
      </c>
      <c r="T13" s="18" t="e" cm="1">
        <f t="array" ref="T13">_xlfn.IFS(C13="Calandra",0.4,C13="Felpagem",0.3,C13="Dublagem Spun",0.8,C13="Dublagem Cretone",0.8,C13="Dublagem Cretone PES",0.8,C13="Espelhamento",0.8,C13="Peletização",0.5,C13="Dublagem Spun - MO",0.8,C13="Dublagem Cretone - MO",0.8,C13="Dublagem Cretone PES - MO",0.8,C13="Espelhamento - MO",0.8,C13="Emborrachamento",1,C13="Malha",0,C13="Dublagem Barreira",1,C13="Pel. + Cal.",0.4,C13="Fel. + Pel. + Cal.",0.5,C13="Pel. + Spun",0.8,C13="Espelhamento - L: 1,45m",0.8,C13="Espelhamento - L: 1,65m",0.8,C13="Estampagem",1,C13="Fel. + Cal.",0.4,C13="Dublagem Juta",0.8,C13="Dublagem Cretone - MO (Juta)",0.8,C13="Dublagem Tapete",0.8,C13="Esp. + Pel.",0.8,C13="Espelhamento 2x",0.8)</f>
        <v>#N/A</v>
      </c>
      <c r="U13" s="18">
        <v>1</v>
      </c>
      <c r="V13" s="18">
        <v>1</v>
      </c>
      <c r="W13" s="18"/>
      <c r="X13" s="18">
        <v>39.67</v>
      </c>
      <c r="Y13" s="18">
        <v>38.51</v>
      </c>
      <c r="Z13" s="18">
        <v>116.78</v>
      </c>
      <c r="AA13" s="50"/>
    </row>
    <row r="14" spans="1:27" ht="14.25" customHeight="1" x14ac:dyDescent="0.35">
      <c r="A14" s="18"/>
      <c r="B14" s="75" t="s">
        <v>253</v>
      </c>
      <c r="C14" s="23" t="s">
        <v>144</v>
      </c>
      <c r="D14" s="23"/>
      <c r="E14" s="24">
        <v>1</v>
      </c>
      <c r="F14" s="25">
        <v>0.65</v>
      </c>
      <c r="G14" s="25">
        <v>0.7</v>
      </c>
      <c r="H14" s="26" t="s">
        <v>243</v>
      </c>
      <c r="I14" s="27">
        <f t="shared" si="9"/>
        <v>0.7</v>
      </c>
      <c r="J14" s="28">
        <v>46036</v>
      </c>
      <c r="K14" s="29"/>
      <c r="L14" s="30">
        <f t="shared" si="0"/>
        <v>0.7</v>
      </c>
      <c r="M14" s="30">
        <f>IF(B14="Texion Textil",0,IF(C14="Malha",'Custos insumos'!$B$24,IF(C14="Dublagem Cretone",'Custos insumos'!$D$7,IF(C14="Dublagem Spun",'Custos insumos'!$D$4,IF(C14="Espelhamento",'Custos insumos'!$B$11,IF(C14="Espelhamento 2x",2*'Custos insumos'!$B$11,IF(C14="Esp. + Pel.",'Custos insumos'!$B$11,IF(C14="Pel. + Spun",'Custos insumos'!$D$4,IF(C14="Dublagem Cretone PES",'Custos insumos'!$D$7,IF(C14="Dublagem Barreira",'Custos insumos'!$D$11,IF(C14="Dublagem - MO + Filme",'Custos insumos'!$D$4,IF(C14="Dublagem Cretone HM50",'Custos insumos'!$D$26,IF(C14="Dublagem Cretone HM70",'Custos insumos'!$F$10,)))))))))))))</f>
        <v>0</v>
      </c>
      <c r="N14" s="30">
        <f>IF(B14="Texion Textil",0,IF(B14="Três Elos",0,IF(C14="Malha",0,IF(C14="Dublagem Cretone",'Custos insumos'!$D$23,IF(C14="Dublagem Spun",'Custos insumos'!$D$19,IF(C14="Espelhamento",0,IF(C14="Espelhamento 2x",0,IF(C14="Esp. + Pel.",0,IF(C14="Pel. + Spun",'Custos insumos'!$D$19,IF(C14="Dublagem Cretone PES",'Custos insumos'!$F$25,IF(C14="Dublagem Barreira",'Custos insumos'!$D$22,)))))))))))</f>
        <v>0</v>
      </c>
      <c r="O14" s="18"/>
      <c r="P14" s="53">
        <f t="shared" si="1"/>
        <v>0.40575161180861891</v>
      </c>
      <c r="Q14" s="50">
        <f t="shared" si="2"/>
        <v>294.7</v>
      </c>
      <c r="R14" s="50" cm="1">
        <f t="array" ref="R14">_xlfn.IFS(C14="Calandra",(350),C14="Peletização",(421),C14="Dublagem Spun",(250),C14="Dublagem Cretone PES",(180),C14="Felpagem",(270/E14),C14="Emborrachamento",(200),C14="Espelhamento",(250),C14="Malha",(1),C14="Dublagem Cretone",(180),C14="Malha",(1),C14="Dublagem Spun - MO",250,C14="Dublagem Cretone - MO",180,C14="Dublagem Cretone PES - MO",180,C14="Espelhamento - MO",250,C14="Emborrachamento",100,C14="Malha",0,C14="Dublagem Barreira",100,C14="Pel. + Cal.",350,C14="Fel. + Pel. + Cal.",270,C14="Pel. + Spun",250,C14="Espelhamento - L: 1,45m",200,C14="Espelhamento - L: 1,65m",200,C14="Estampagem",100,C14="Fel. + Cal.",270,C14="Dublagem Juta",180,C14="Dublagem Cretone - MO (Juta)",180,C14="Dublagem Tapete",150,C14="Esp. + Pel.",200,C14="Espelhamento 2x",100)</f>
        <v>421</v>
      </c>
      <c r="S14" s="50">
        <f t="shared" si="3"/>
        <v>175.125</v>
      </c>
      <c r="T14" s="18" cm="1">
        <f t="array" ref="T14">_xlfn.IFS(C14="Calandra",0.4,C14="Felpagem",0.3,C14="Dublagem Spun",0.8,C14="Dublagem Cretone",0.8,C14="Dublagem Cretone PES",0.8,C14="Espelhamento",0.8,C14="Peletização",0.5,C14="Dublagem Spun - MO",0.8,C14="Dublagem Cretone - MO",0.8,C14="Dublagem Cretone PES - MO",0.8,C14="Espelhamento - MO",0.8,C14="Emborrachamento",1,C14="Malha",0,C14="Dublagem Barreira",1,C14="Pel. + Cal.",0.4,C14="Fel. + Pel. + Cal.",0.5,C14="Pel. + Spun",0.8,C14="Espelhamento - L: 1,45m",0.8,C14="Espelhamento - L: 1,65m",0.8,C14="Estampagem",1,C14="Fel. + Cal.",0.4,C14="Dublagem Juta",0.8,C14="Dublagem Cretone - MO (Juta)",0.8,C14="Dublagem Tapete",0.8,C14="Esp. + Pel.",0.8,C14="Espelhamento 2x",0.8)</f>
        <v>0.5</v>
      </c>
      <c r="U14" s="18">
        <v>1</v>
      </c>
      <c r="V14" s="18">
        <v>1</v>
      </c>
      <c r="W14" s="18"/>
      <c r="X14" s="18">
        <v>39.67</v>
      </c>
      <c r="Y14" s="18">
        <v>38.51</v>
      </c>
      <c r="Z14" s="18">
        <v>116.78</v>
      </c>
      <c r="AA14" s="18"/>
    </row>
    <row r="15" spans="1:27" ht="14.25" customHeight="1" x14ac:dyDescent="0.35">
      <c r="A15" s="18"/>
      <c r="B15" s="75" t="s">
        <v>253</v>
      </c>
      <c r="C15" s="23" t="s">
        <v>142</v>
      </c>
      <c r="D15" s="23"/>
      <c r="E15" s="24">
        <v>1</v>
      </c>
      <c r="F15" s="25">
        <v>0.65</v>
      </c>
      <c r="G15" s="25">
        <v>0.7</v>
      </c>
      <c r="H15" s="26" t="s">
        <v>243</v>
      </c>
      <c r="I15" s="27">
        <f t="shared" si="9"/>
        <v>0.7</v>
      </c>
      <c r="J15" s="28">
        <v>46036</v>
      </c>
      <c r="K15" s="29"/>
      <c r="L15" s="30">
        <f t="shared" si="0"/>
        <v>0.7</v>
      </c>
      <c r="M15" s="30">
        <f>IF(B15="Texion Textil",0,IF(C15="Malha",'Custos insumos'!$B$24,IF(C15="Dublagem Cretone",'Custos insumos'!$D$7,IF(C15="Dublagem Spun",'Custos insumos'!$D$4,IF(C15="Espelhamento",'Custos insumos'!$B$11,IF(C15="Espelhamento 2x",2*'Custos insumos'!$B$11,IF(C15="Esp. + Pel.",'Custos insumos'!$B$11,IF(C15="Pel. + Spun",'Custos insumos'!$D$4,IF(C15="Dublagem Cretone PES",'Custos insumos'!$D$7,IF(C15="Dublagem Barreira",'Custos insumos'!$D$11,IF(C15="Dublagem - MO + Filme",'Custos insumos'!$D$4,IF(C15="Dublagem Cretone HM50",'Custos insumos'!$D$26,IF(C15="Dublagem Cretone HM70",'Custos insumos'!$F$10,)))))))))))))</f>
        <v>0</v>
      </c>
      <c r="N15" s="30">
        <f>IF(B15="Texion Textil",0,IF(B15="Três Elos",0,IF(C15="Malha",0,IF(C15="Dublagem Cretone",'Custos insumos'!$D$23,IF(C15="Dublagem Spun",'Custos insumos'!$D$19,IF(C15="Espelhamento",0,IF(C15="Espelhamento 2x",0,IF(C15="Esp. + Pel.",0,IF(C15="Pel. + Spun",'Custos insumos'!$D$19,IF(C15="Dublagem Cretone PES",'Custos insumos'!$F$25,IF(C15="Dublagem Barreira",'Custos insumos'!$D$22,)))))))))))</f>
        <v>0</v>
      </c>
      <c r="O15" s="18"/>
      <c r="P15" s="53">
        <f t="shared" si="1"/>
        <v>0.3013959183673468</v>
      </c>
      <c r="Q15" s="50">
        <f t="shared" si="2"/>
        <v>244.99999999999997</v>
      </c>
      <c r="R15" s="50" cm="1">
        <f t="array" ref="R15">_xlfn.IFS(C15="Calandra",(350),C15="Peletização",(421),C15="Dublagem Spun",(250),C15="Dublagem Cretone PES",(180),C15="Felpagem",(270/E15),C15="Emborrachamento",(200),C15="Espelhamento",(250),C15="Malha",(1),C15="Dublagem Cretone",(180),C15="Malha",(1),C15="Dublagem Spun - MO",250,C15="Dublagem Cretone - MO",180,C15="Dublagem Cretone PES - MO",180,C15="Espelhamento - MO",250,C15="Emborrachamento",100,C15="Malha",0,C15="Dublagem Barreira",100,C15="Pel. + Cal.",350,C15="Fel. + Pel. + Cal.",270,C15="Pel. + Spun",250,C15="Espelhamento - L: 1,45m",200,C15="Espelhamento - L: 1,65m",200,C15="Estampagem",100,C15="Fel. + Cal.",270,C15="Dublagem Juta",180,C15="Dublagem Cretone - MO (Juta)",180,C15="Dublagem Tapete",150,C15="Esp. + Pel.",200,C15="Espelhamento 2x",100)</f>
        <v>350</v>
      </c>
      <c r="S15" s="50">
        <f t="shared" si="3"/>
        <v>171.15800000000002</v>
      </c>
      <c r="T15" s="18" cm="1">
        <f t="array" ref="T15">_xlfn.IFS(C15="Calandra",0.4,C15="Felpagem",0.3,C15="Dublagem Spun",0.8,C15="Dublagem Cretone",0.8,C15="Dublagem Cretone PES",0.8,C15="Espelhamento",0.8,C15="Peletização",0.5,C15="Dublagem Spun - MO",0.8,C15="Dublagem Cretone - MO",0.8,C15="Dublagem Cretone PES - MO",0.8,C15="Espelhamento - MO",0.8,C15="Emborrachamento",1,C15="Malha",0,C15="Dublagem Barreira",1,C15="Pel. + Cal.",0.4,C15="Fel. + Pel. + Cal.",0.5,C15="Pel. + Spun",0.8,C15="Espelhamento - L: 1,45m",0.8,C15="Espelhamento - L: 1,65m",0.8,C15="Estampagem",1,C15="Fel. + Cal.",0.4,C15="Dublagem Juta",0.8,C15="Dublagem Cretone - MO (Juta)",0.8,C15="Dublagem Tapete",0.8,C15="Esp. + Pel.",0.8,C15="Espelhamento 2x",0.8)</f>
        <v>0.4</v>
      </c>
      <c r="U15" s="18">
        <v>1</v>
      </c>
      <c r="V15" s="18">
        <v>1</v>
      </c>
      <c r="W15" s="18"/>
      <c r="X15" s="18">
        <v>39.67</v>
      </c>
      <c r="Y15" s="18">
        <v>38.51</v>
      </c>
      <c r="Z15" s="18">
        <v>116.78</v>
      </c>
      <c r="AA15" s="18"/>
    </row>
    <row r="16" spans="1:27" ht="14.25" customHeight="1" x14ac:dyDescent="0.35">
      <c r="A16" s="18"/>
      <c r="B16" s="75" t="s">
        <v>253</v>
      </c>
      <c r="C16" s="32" t="s">
        <v>106</v>
      </c>
      <c r="D16" s="32" t="s">
        <v>239</v>
      </c>
      <c r="E16" s="33">
        <v>1</v>
      </c>
      <c r="F16" s="25">
        <v>1.1499999999999999</v>
      </c>
      <c r="G16" s="25">
        <v>1.2649999999999999</v>
      </c>
      <c r="H16" s="26" t="s">
        <v>243</v>
      </c>
      <c r="I16" s="27">
        <f t="shared" si="9"/>
        <v>1.2649999999999999</v>
      </c>
      <c r="J16" s="28">
        <v>46036</v>
      </c>
      <c r="K16" s="36" t="s">
        <v>258</v>
      </c>
      <c r="L16" s="30">
        <f t="shared" si="0"/>
        <v>0.2064997101449273</v>
      </c>
      <c r="M16" s="30">
        <f>IF(B16="Texion Textil",0,IF(C16="Malha",'Custos insumos'!$B$24,IF(C16="Dublagem Cretone",'Custos insumos'!$D$7,IF(C16="Dublagem Spun",'Custos insumos'!$D$4,IF(C16="Espelhamento",'Custos insumos'!$B$11,IF(C16="Espelhamento 2x",2*'Custos insumos'!$B$11,IF(C16="Esp. + Pel.",'Custos insumos'!$B$11,IF(C16="Pel. + Spun",'Custos insumos'!$D$4,IF(C16="Dublagem Cretone PES",'Custos insumos'!$D$7,IF(C16="Dublagem Barreira",'Custos insumos'!$D$11,IF(C16="Dublagem - MO + Filme",'Custos insumos'!$D$4,IF(C16="Dublagem Cretone HM50",'Custos insumos'!$D$26,IF(C16="Dublagem Cretone HM70",'Custos insumos'!$F$10,)))))))))))))</f>
        <v>1.0585002898550726</v>
      </c>
      <c r="N16" s="30">
        <f>IF(B16="Texion Textil",0,IF(B16="Três Elos",0,IF(C16="Malha",0,IF(C16="Dublagem Cretone",'Custos insumos'!$D$23,IF(C16="Dublagem Spun",'Custos insumos'!$D$19,IF(C16="Espelhamento",0,IF(C16="Espelhamento 2x",0,IF(C16="Esp. + Pel.",0,IF(C16="Pel. + Spun",'Custos insumos'!$D$19,IF(C16="Dublagem Cretone PES",'Custos insumos'!$F$25,IF(C16="Dublagem Barreira",'Custos insumos'!$D$22,)))))))))))</f>
        <v>0</v>
      </c>
      <c r="O16" s="18"/>
      <c r="P16" s="53">
        <f t="shared" si="1"/>
        <v>-0.42814568367989936</v>
      </c>
      <c r="Q16" s="50">
        <f t="shared" si="2"/>
        <v>316.25</v>
      </c>
      <c r="R16" s="50" cm="1">
        <f t="array" ref="R16">_xlfn.IFS(C16="Calandra",(350),C16="Peletização",(421),C16="Dublagem Spun",(250),C16="Dublagem Cretone PES",(180),C16="Felpagem",(270/E16),C16="Emborrachamento",(200),C16="Espelhamento",(250),C16="Malha",(1),C16="Dublagem Cretone",(180),C16="Malha",(1),C16="Dublagem Spun - MO",250,C16="Dublagem Cretone - MO",180,C16="Dublagem Cretone PES - MO",180,C16="Espelhamento - MO",250,C16="Emborrachamento",100,C16="Malha",0,C16="Dublagem Barreira",100,C16="Pel. + Cal.",350,C16="Fel. + Pel. + Cal.",270,C16="Pel. + Spun",250,C16="Espelhamento - L: 1,45m",200,C16="Espelhamento - L: 1,65m",200,C16="Estampagem",100,C16="Fel. + Cal.",270,C16="Dublagem Juta",180,C16="Dublagem Cretone - MO (Juta)",180,C16="Dublagem Tapete",150,C16="Esp. + Pel.",200,C16="Espelhamento 2x",100)</f>
        <v>250</v>
      </c>
      <c r="S16" s="50">
        <f t="shared" si="3"/>
        <v>451.65107246376817</v>
      </c>
      <c r="T16" s="18" cm="1">
        <f t="array" ref="T16">_xlfn.IFS(C16="Calandra",0.4,C16="Felpagem",0.3,C16="Dublagem Spun",0.8,C16="Dublagem Cretone",0.8,C16="Dublagem Cretone PES",0.8,C16="Espelhamento",0.8,C16="Peletização",0.5,C16="Dublagem Spun - MO",0.8,C16="Dublagem Cretone - MO",0.8,C16="Dublagem Cretone PES - MO",0.8,C16="Espelhamento - MO",0.8,C16="Emborrachamento",1,C16="Malha",0,C16="Dublagem Barreira",1,C16="Pel. + Cal.",0.4,C16="Fel. + Pel. + Cal.",0.5,C16="Pel. + Spun",0.8,C16="Espelhamento - L: 1,45m",0.8,C16="Espelhamento - L: 1,65m",0.8,C16="Estampagem",1,C16="Fel. + Cal.",0.4,C16="Dublagem Juta",0.8,C16="Dublagem Cretone - MO (Juta)",0.8,C16="Dublagem Tapete",0.8,C16="Esp. + Pel.",0.8,C16="Espelhamento 2x",0.8)</f>
        <v>0.8</v>
      </c>
      <c r="U16" s="18">
        <v>1</v>
      </c>
      <c r="V16" s="18">
        <v>1</v>
      </c>
      <c r="W16" s="18"/>
      <c r="X16" s="18">
        <v>39.67</v>
      </c>
      <c r="Y16" s="18">
        <v>38.51</v>
      </c>
      <c r="Z16" s="18">
        <v>116.78</v>
      </c>
      <c r="AA16" s="18"/>
    </row>
    <row r="17" spans="1:27" ht="14.25" customHeight="1" x14ac:dyDescent="0.35">
      <c r="A17" s="18"/>
      <c r="B17" s="75" t="s">
        <v>253</v>
      </c>
      <c r="C17" s="32" t="s">
        <v>106</v>
      </c>
      <c r="D17" s="32" t="s">
        <v>483</v>
      </c>
      <c r="E17" s="33">
        <v>1</v>
      </c>
      <c r="F17" s="25">
        <v>2.35</v>
      </c>
      <c r="G17" s="25">
        <v>2.5850000000000004</v>
      </c>
      <c r="H17" s="26" t="s">
        <v>243</v>
      </c>
      <c r="I17" s="27">
        <f t="shared" si="9"/>
        <v>2.5850000000000004</v>
      </c>
      <c r="J17" s="28">
        <v>46036</v>
      </c>
      <c r="K17" s="36" t="s">
        <v>259</v>
      </c>
      <c r="L17" s="30">
        <f t="shared" si="0"/>
        <v>1.5264997101449278</v>
      </c>
      <c r="M17" s="30">
        <f>IF(B17="Texion Textil",0,IF(C17="Malha",'Custos insumos'!$B$24,IF(C17="Dublagem Cretone",'Custos insumos'!$D$7,IF(C17="Dublagem Spun",'Custos insumos'!$D$4,IF(C17="Espelhamento",'Custos insumos'!$B$11,IF(C17="Espelhamento 2x",2*'Custos insumos'!$B$11,IF(C17="Esp. + Pel.",'Custos insumos'!$B$11,IF(C17="Pel. + Spun",'Custos insumos'!$D$4,IF(C17="Dublagem Cretone PES",'Custos insumos'!$D$7,IF(C17="Dublagem Barreira",'Custos insumos'!$D$11,IF(C17="Dublagem - MO + Filme",'Custos insumos'!$D$4,IF(C17="Dublagem Cretone HM50",'Custos insumos'!$D$26,IF(C17="Dublagem Cretone HM70",'Custos insumos'!$F$10,)))))))))))))</f>
        <v>1.0585002898550726</v>
      </c>
      <c r="N17" s="30">
        <f>IF(B17="Texion Textil",0,IF(B17="Três Elos",0,IF(C17="Malha",0,IF(C17="Dublagem Cretone",'Custos insumos'!$D$23,IF(C17="Dublagem Spun",'Custos insumos'!$D$19,IF(C17="Espelhamento",0,IF(C17="Espelhamento 2x",0,IF(C17="Esp. + Pel.",0,IF(C17="Pel. + Spun",'Custos insumos'!$D$19,IF(C17="Dublagem Cretone PES",'Custos insumos'!$F$25,IF(C17="Dublagem Barreira",'Custos insumos'!$D$22,)))))))))))</f>
        <v>0</v>
      </c>
      <c r="O17" s="18"/>
      <c r="P17" s="53">
        <f t="shared" si="1"/>
        <v>0.3011201973481345</v>
      </c>
      <c r="Q17" s="50">
        <f t="shared" si="2"/>
        <v>646.25000000000011</v>
      </c>
      <c r="R17" s="50" cm="1">
        <f t="array" ref="R17">_xlfn.IFS(C17="Calandra",(350),C17="Peletização",(421),C17="Dublagem Spun",(250),C17="Dublagem Cretone PES",(180),C17="Felpagem",(270/E17),C17="Emborrachamento",(200),C17="Espelhamento",(250),C17="Malha",(1),C17="Dublagem Cretone",(180),C17="Malha",(1),C17="Dublagem Spun - MO",250,C17="Dublagem Cretone - MO",180,C17="Dublagem Cretone PES - MO",180,C17="Espelhamento - MO",250,C17="Emborrachamento",100,C17="Malha",0,C17="Dublagem Barreira",100,C17="Pel. + Cal.",350,C17="Fel. + Pel. + Cal.",270,C17="Pel. + Spun",250,C17="Espelhamento - L: 1,45m",200,C17="Espelhamento - L: 1,65m",200,C17="Estampagem",100,C17="Fel. + Cal.",270,C17="Dublagem Juta",180,C17="Dublagem Cretone - MO (Juta)",180,C17="Dublagem Tapete",150,C17="Esp. + Pel.",200,C17="Espelhamento 2x",100)</f>
        <v>250</v>
      </c>
      <c r="S17" s="50">
        <f t="shared" si="3"/>
        <v>451.65107246376817</v>
      </c>
      <c r="T17" s="18" cm="1">
        <f t="array" ref="T17">_xlfn.IFS(C17="Calandra",0.4,C17="Felpagem",0.3,C17="Dublagem Spun",0.8,C17="Dublagem Cretone",0.8,C17="Dublagem Cretone PES",0.8,C17="Espelhamento",0.8,C17="Peletização",0.5,C17="Dublagem Spun - MO",0.8,C17="Dublagem Cretone - MO",0.8,C17="Dublagem Cretone PES - MO",0.8,C17="Espelhamento - MO",0.8,C17="Emborrachamento",1,C17="Malha",0,C17="Dublagem Barreira",1,C17="Pel. + Cal.",0.4,C17="Fel. + Pel. + Cal.",0.5,C17="Pel. + Spun",0.8,C17="Espelhamento - L: 1,45m",0.8,C17="Espelhamento - L: 1,65m",0.8,C17="Estampagem",1,C17="Fel. + Cal.",0.4,C17="Dublagem Juta",0.8,C17="Dublagem Cretone - MO (Juta)",0.8,C17="Dublagem Tapete",0.8,C17="Esp. + Pel.",0.8,C17="Espelhamento 2x",0.8)</f>
        <v>0.8</v>
      </c>
      <c r="U17" s="18">
        <v>1</v>
      </c>
      <c r="V17" s="18">
        <v>1</v>
      </c>
      <c r="W17" s="18"/>
      <c r="X17" s="18">
        <v>39.67</v>
      </c>
      <c r="Y17" s="18">
        <v>38.51</v>
      </c>
      <c r="Z17" s="18">
        <v>116.78</v>
      </c>
      <c r="AA17" s="18"/>
    </row>
    <row r="18" spans="1:27" ht="14.25" customHeight="1" x14ac:dyDescent="0.35">
      <c r="A18" s="18"/>
      <c r="B18" s="75" t="s">
        <v>253</v>
      </c>
      <c r="C18" s="32" t="s">
        <v>98</v>
      </c>
      <c r="D18" s="32" t="s">
        <v>239</v>
      </c>
      <c r="E18" s="33">
        <v>1</v>
      </c>
      <c r="F18" s="25">
        <v>1.1499999999999999</v>
      </c>
      <c r="G18" s="25">
        <v>1.2649999999999999</v>
      </c>
      <c r="H18" s="26" t="s">
        <v>243</v>
      </c>
      <c r="I18" s="27">
        <f t="shared" si="9"/>
        <v>1.2649999999999999</v>
      </c>
      <c r="J18" s="28">
        <v>46036</v>
      </c>
      <c r="K18" s="36" t="s">
        <v>258</v>
      </c>
      <c r="L18" s="30">
        <f t="shared" si="0"/>
        <v>1.2649999999999999</v>
      </c>
      <c r="M18" s="30">
        <f>IF(B18="Texion Textil",0,IF(C18="Malha",'Custos insumos'!$B$24,IF(C18="Dublagem Cretone",'Custos insumos'!$D$7,IF(C18="Dublagem Spun",'Custos insumos'!$D$4,IF(C18="Espelhamento",'Custos insumos'!$B$11,IF(C18="Espelhamento 2x",2*'Custos insumos'!$B$11,IF(C18="Esp. + Pel.",'Custos insumos'!$B$11,IF(C18="Pel. + Spun",'Custos insumos'!$D$4,IF(C18="Dublagem Cretone PES",'Custos insumos'!$D$7,IF(C18="Dublagem Barreira",'Custos insumos'!$D$11,IF(C18="Dublagem - MO + Filme",'Custos insumos'!$D$4,IF(C18="Dublagem Cretone HM50",'Custos insumos'!$D$26,IF(C18="Dublagem Cretone HM70",'Custos insumos'!$F$10,)))))))))))))</f>
        <v>0</v>
      </c>
      <c r="N18" s="30">
        <f>IF(B18="Texion Textil",0,IF(B18="Três Elos",0,IF(C18="Malha",0,IF(C18="Dublagem Cretone",'Custos insumos'!$D$23,IF(C18="Dublagem Spun",'Custos insumos'!$D$19,IF(C18="Espelhamento",0,IF(C18="Espelhamento 2x",0,IF(C18="Esp. + Pel.",0,IF(C18="Pel. + Spun",'Custos insumos'!$D$19,IF(C18="Dublagem Cretone PES",'Custos insumos'!$F$25,IF(C18="Dublagem Barreira",'Custos insumos'!$D$22,)))))))))))</f>
        <v>0</v>
      </c>
      <c r="O18" s="18"/>
      <c r="P18" s="53" t="e">
        <f t="shared" si="1"/>
        <v>#N/A</v>
      </c>
      <c r="Q18" s="50" t="e">
        <f t="shared" si="2"/>
        <v>#N/A</v>
      </c>
      <c r="R18" s="50" t="e" cm="1">
        <f t="array" ref="R18">_xlfn.IFS(C18="Calandra",(350),C18="Peletização",(421),C18="Dublagem Spun",(250),C18="Dublagem Cretone PES",(180),C18="Felpagem",(270/E18),C18="Emborrachamento",(200),C18="Espelhamento",(250),C18="Malha",(1),C18="Dublagem Cretone",(180),C18="Malha",(1),C18="Dublagem Spun - MO",250,C18="Dublagem Cretone - MO",180,C18="Dublagem Cretone PES - MO",180,C18="Espelhamento - MO",250,C18="Emborrachamento",100,C18="Malha",0,C18="Dublagem Barreira",100,C18="Pel. + Cal.",350,C18="Fel. + Pel. + Cal.",270,C18="Pel. + Spun",250,C18="Espelhamento - L: 1,45m",200,C18="Espelhamento - L: 1,65m",200,C18="Estampagem",100,C18="Fel. + Cal.",270,C18="Dublagem Juta",180,C18="Dublagem Cretone - MO (Juta)",180,C18="Dublagem Tapete",150,C18="Esp. + Pel.",200,C18="Espelhamento 2x",100)</f>
        <v>#N/A</v>
      </c>
      <c r="S18" s="50" t="e">
        <f t="shared" si="3"/>
        <v>#N/A</v>
      </c>
      <c r="T18" s="18" t="e" cm="1">
        <f t="array" ref="T18">_xlfn.IFS(C18="Calandra",0.4,C18="Felpagem",0.3,C18="Dublagem Spun",0.8,C18="Dublagem Cretone",0.8,C18="Dublagem Cretone PES",0.8,C18="Espelhamento",0.8,C18="Peletização",0.5,C18="Dublagem Spun - MO",0.8,C18="Dublagem Cretone - MO",0.8,C18="Dublagem Cretone PES - MO",0.8,C18="Espelhamento - MO",0.8,C18="Emborrachamento",1,C18="Malha",0,C18="Dublagem Barreira",1,C18="Pel. + Cal.",0.4,C18="Fel. + Pel. + Cal.",0.5,C18="Pel. + Spun",0.8,C18="Espelhamento - L: 1,45m",0.8,C18="Espelhamento - L: 1,65m",0.8,C18="Estampagem",1,C18="Fel. + Cal.",0.4,C18="Dublagem Juta",0.8,C18="Dublagem Cretone - MO (Juta)",0.8,C18="Dublagem Tapete",0.8,C18="Esp. + Pel.",0.8,C18="Espelhamento 2x",0.8)</f>
        <v>#N/A</v>
      </c>
      <c r="U18" s="18">
        <v>1</v>
      </c>
      <c r="V18" s="18">
        <v>1</v>
      </c>
      <c r="W18" s="18"/>
      <c r="X18" s="18">
        <v>39.67</v>
      </c>
      <c r="Y18" s="18">
        <v>38.51</v>
      </c>
      <c r="Z18" s="18">
        <v>116.78</v>
      </c>
      <c r="AA18" s="18"/>
    </row>
    <row r="19" spans="1:27" ht="14.25" customHeight="1" x14ac:dyDescent="0.35">
      <c r="A19" s="18"/>
      <c r="B19" s="75" t="s">
        <v>253</v>
      </c>
      <c r="C19" s="32" t="s">
        <v>98</v>
      </c>
      <c r="D19" s="32" t="s">
        <v>482</v>
      </c>
      <c r="E19" s="33">
        <v>1</v>
      </c>
      <c r="F19" s="25">
        <v>4.5</v>
      </c>
      <c r="G19" s="25">
        <v>4.95</v>
      </c>
      <c r="H19" s="26" t="s">
        <v>243</v>
      </c>
      <c r="I19" s="27">
        <f t="shared" si="9"/>
        <v>4.95</v>
      </c>
      <c r="J19" s="28">
        <v>46036</v>
      </c>
      <c r="K19" s="36" t="s">
        <v>259</v>
      </c>
      <c r="L19" s="30">
        <f t="shared" si="0"/>
        <v>4.95</v>
      </c>
      <c r="M19" s="30">
        <f>IF(B19="Texion Textil",0,IF(C19="Malha",'Custos insumos'!$B$24,IF(C19="Dublagem Cretone",'Custos insumos'!$D$7,IF(C19="Dublagem Spun",'Custos insumos'!$D$4,IF(C19="Espelhamento",'Custos insumos'!$B$11,IF(C19="Espelhamento 2x",2*'Custos insumos'!$B$11,IF(C19="Esp. + Pel.",'Custos insumos'!$B$11,IF(C19="Pel. + Spun",'Custos insumos'!$D$4,IF(C19="Dublagem Cretone PES",'Custos insumos'!$D$7,IF(C19="Dublagem Barreira",'Custos insumos'!$D$11,IF(C19="Dublagem - MO + Filme",'Custos insumos'!$D$4,IF(C19="Dublagem Cretone HM50",'Custos insumos'!$D$26,IF(C19="Dublagem Cretone HM70",'Custos insumos'!$F$10,)))))))))))))</f>
        <v>0</v>
      </c>
      <c r="N19" s="30">
        <f>IF(B19="Texion Textil",0,IF(B19="Três Elos",0,IF(C19="Malha",0,IF(C19="Dublagem Cretone",'Custos insumos'!$D$23,IF(C19="Dublagem Spun",'Custos insumos'!$D$19,IF(C19="Espelhamento",0,IF(C19="Espelhamento 2x",0,IF(C19="Esp. + Pel.",0,IF(C19="Pel. + Spun",'Custos insumos'!$D$19,IF(C19="Dublagem Cretone PES",'Custos insumos'!$F$25,IF(C19="Dublagem Barreira",'Custos insumos'!$D$22,)))))))))))</f>
        <v>0</v>
      </c>
      <c r="O19" s="18"/>
      <c r="P19" s="53" t="e">
        <f t="shared" si="1"/>
        <v>#N/A</v>
      </c>
      <c r="Q19" s="50" t="e">
        <f t="shared" si="2"/>
        <v>#N/A</v>
      </c>
      <c r="R19" s="50" t="e" cm="1">
        <f t="array" ref="R19">_xlfn.IFS(C19="Calandra",(350),C19="Peletização",(421),C19="Dublagem Spun",(250),C19="Dublagem Cretone PES",(180),C19="Felpagem",(270/E19),C19="Emborrachamento",(200),C19="Espelhamento",(250),C19="Malha",(1),C19="Dublagem Cretone",(180),C19="Malha",(1),C19="Dublagem Spun - MO",250,C19="Dublagem Cretone - MO",180,C19="Dublagem Cretone PES - MO",180,C19="Espelhamento - MO",250,C19="Emborrachamento",100,C19="Malha",0,C19="Dublagem Barreira",100,C19="Pel. + Cal.",350,C19="Fel. + Pel. + Cal.",270,C19="Pel. + Spun",250,C19="Espelhamento - L: 1,45m",200,C19="Espelhamento - L: 1,65m",200,C19="Estampagem",100,C19="Fel. + Cal.",270,C19="Dublagem Juta",180,C19="Dublagem Cretone - MO (Juta)",180,C19="Dublagem Tapete",150,C19="Esp. + Pel.",200,C19="Espelhamento 2x",100)</f>
        <v>#N/A</v>
      </c>
      <c r="S19" s="50" t="e">
        <f t="shared" si="3"/>
        <v>#N/A</v>
      </c>
      <c r="T19" s="18" t="e" cm="1">
        <f t="array" ref="T19">_xlfn.IFS(C19="Calandra",0.4,C19="Felpagem",0.3,C19="Dublagem Spun",0.8,C19="Dublagem Cretone",0.8,C19="Dublagem Cretone PES",0.8,C19="Espelhamento",0.8,C19="Peletização",0.5,C19="Dublagem Spun - MO",0.8,C19="Dublagem Cretone - MO",0.8,C19="Dublagem Cretone PES - MO",0.8,C19="Espelhamento - MO",0.8,C19="Emborrachamento",1,C19="Malha",0,C19="Dublagem Barreira",1,C19="Pel. + Cal.",0.4,C19="Fel. + Pel. + Cal.",0.5,C19="Pel. + Spun",0.8,C19="Espelhamento - L: 1,45m",0.8,C19="Espelhamento - L: 1,65m",0.8,C19="Estampagem",1,C19="Fel. + Cal.",0.4,C19="Dublagem Juta",0.8,C19="Dublagem Cretone - MO (Juta)",0.8,C19="Dublagem Tapete",0.8,C19="Esp. + Pel.",0.8,C19="Espelhamento 2x",0.8)</f>
        <v>#N/A</v>
      </c>
      <c r="U19" s="18">
        <v>1</v>
      </c>
      <c r="V19" s="18">
        <v>1</v>
      </c>
      <c r="W19" s="18"/>
      <c r="X19" s="18">
        <v>39.67</v>
      </c>
      <c r="Y19" s="18">
        <v>38.51</v>
      </c>
      <c r="Z19" s="18">
        <v>116.78</v>
      </c>
      <c r="AA19" s="18"/>
    </row>
    <row r="20" spans="1:27" ht="14.25" customHeight="1" x14ac:dyDescent="0.35">
      <c r="A20" s="18"/>
      <c r="B20" s="75" t="s">
        <v>253</v>
      </c>
      <c r="C20" s="32" t="s">
        <v>251</v>
      </c>
      <c r="D20" s="32" t="s">
        <v>239</v>
      </c>
      <c r="E20" s="33">
        <v>1</v>
      </c>
      <c r="F20" s="25">
        <v>1.1499999999999999</v>
      </c>
      <c r="G20" s="25">
        <v>1.2649999999999999</v>
      </c>
      <c r="H20" s="26" t="s">
        <v>243</v>
      </c>
      <c r="I20" s="27">
        <f t="shared" si="9"/>
        <v>1.2649999999999999</v>
      </c>
      <c r="J20" s="28">
        <v>46036</v>
      </c>
      <c r="K20" s="36" t="s">
        <v>258</v>
      </c>
      <c r="L20" s="30">
        <f t="shared" si="0"/>
        <v>-3.0249999999999999</v>
      </c>
      <c r="M20" s="30">
        <f>IF(B20="Texion Textil",0,IF(C20="Malha",'Custos insumos'!$B$24,IF(C20="Dublagem Cretone",'Custos insumos'!$D$7,IF(C20="Dublagem Spun",'Custos insumos'!$D$4,IF(C20="Espelhamento",'Custos insumos'!$B$11,IF(C20="Espelhamento 2x",2*'Custos insumos'!$B$11,IF(C20="Esp. + Pel.",'Custos insumos'!$B$11,IF(C20="Pel. + Spun",'Custos insumos'!$D$4,IF(C20="Dublagem Cretone PES",'Custos insumos'!$D$7,IF(C20="Dublagem Barreira",'Custos insumos'!$D$11,IF(C20="Dublagem - MO + Filme",'Custos insumos'!$D$4,IF(C20="Dublagem Cretone HM50",'Custos insumos'!$D$26,IF(C20="Dublagem Cretone HM70",'Custos insumos'!$F$10,)))))))))))))</f>
        <v>1.962</v>
      </c>
      <c r="N20" s="30">
        <f>IF(B20="Texion Textil",0,IF(B20="Três Elos",0,IF(C20="Malha",0,IF(C20="Dublagem Cretone",'Custos insumos'!$D$23,IF(C20="Dublagem Spun",'Custos insumos'!$D$19,IF(C20="Espelhamento",0,IF(C20="Espelhamento 2x",0,IF(C20="Esp. + Pel.",0,IF(C20="Pel. + Spun",'Custos insumos'!$D$19,IF(C20="Dublagem Cretone PES",'Custos insumos'!$F$25,IF(C20="Dublagem Barreira",'Custos insumos'!$D$22,)))))))))))</f>
        <v>2.3279999999999998</v>
      </c>
      <c r="O20" s="18"/>
      <c r="P20" s="53">
        <f t="shared" si="1"/>
        <v>-3.2126745718050072</v>
      </c>
      <c r="Q20" s="50">
        <f t="shared" si="2"/>
        <v>227.7</v>
      </c>
      <c r="R20" s="50" cm="1">
        <f t="array" ref="R20">_xlfn.IFS(C20="Calandra",(350),C20="Peletização",(421),C20="Dublagem Spun",(250),C20="Dublagem Cretone PES",(180),C20="Felpagem",(270/E20),C20="Emborrachamento",(200),C20="Espelhamento",(250),C20="Malha",(1),C20="Dublagem Cretone",(180),C20="Malha",(1),C20="Dublagem Spun - MO",250,C20="Dublagem Cretone - MO",180,C20="Dublagem Cretone PES - MO",180,C20="Espelhamento - MO",250,C20="Emborrachamento",100,C20="Malha",0,C20="Dublagem Barreira",100,C20="Pel. + Cal.",350,C20="Fel. + Pel. + Cal.",270,C20="Pel. + Spun",250,C20="Espelhamento - L: 1,45m",200,C20="Espelhamento - L: 1,65m",200,C20="Estampagem",100,C20="Fel. + Cal.",270,C20="Dublagem Juta",180,C20="Dublagem Cretone - MO (Juta)",180,C20="Dublagem Tapete",150,C20="Esp. + Pel.",200,C20="Espelhamento 2x",100)</f>
        <v>180</v>
      </c>
      <c r="S20" s="50">
        <f t="shared" si="3"/>
        <v>959.22600000000011</v>
      </c>
      <c r="T20" s="18" cm="1">
        <f t="array" ref="T20">_xlfn.IFS(C20="Calandra",0.4,C20="Felpagem",0.3,C20="Dublagem Spun",0.8,C20="Dublagem Cretone",0.8,C20="Dublagem Cretone PES",0.8,C20="Espelhamento",0.8,C20="Peletização",0.5,C20="Dublagem Spun - MO",0.8,C20="Dublagem Cretone - MO",0.8,C20="Dublagem Cretone PES - MO",0.8,C20="Espelhamento - MO",0.8,C20="Emborrachamento",1,C20="Malha",0,C20="Dublagem Barreira",1,C20="Pel. + Cal.",0.4,C20="Fel. + Pel. + Cal.",0.5,C20="Pel. + Spun",0.8,C20="Espelhamento - L: 1,45m",0.8,C20="Espelhamento - L: 1,65m",0.8,C20="Estampagem",1,C20="Fel. + Cal.",0.4,C20="Dublagem Juta",0.8,C20="Dublagem Cretone - MO (Juta)",0.8,C20="Dublagem Tapete",0.8,C20="Esp. + Pel.",0.8,C20="Espelhamento 2x",0.8)</f>
        <v>0.8</v>
      </c>
      <c r="U20" s="18">
        <v>1</v>
      </c>
      <c r="V20" s="18">
        <v>1</v>
      </c>
      <c r="W20" s="18"/>
      <c r="X20" s="18">
        <v>39.67</v>
      </c>
      <c r="Y20" s="18">
        <v>38.51</v>
      </c>
      <c r="Z20" s="18">
        <v>116.78</v>
      </c>
      <c r="AA20" s="18"/>
    </row>
    <row r="21" spans="1:27" ht="14.25" customHeight="1" x14ac:dyDescent="0.35">
      <c r="A21" s="18"/>
      <c r="B21" s="22" t="s">
        <v>262</v>
      </c>
      <c r="C21" s="32" t="s">
        <v>254</v>
      </c>
      <c r="D21" s="32"/>
      <c r="E21" s="33">
        <v>1</v>
      </c>
      <c r="F21" s="25">
        <v>1.1000000000000001</v>
      </c>
      <c r="G21" s="25">
        <v>1.1000000000000001</v>
      </c>
      <c r="H21" s="26" t="s">
        <v>243</v>
      </c>
      <c r="I21" s="27">
        <f t="shared" si="9"/>
        <v>1.1000000000000001</v>
      </c>
      <c r="J21" s="28">
        <v>46036</v>
      </c>
      <c r="K21" s="36"/>
      <c r="L21" s="30">
        <f t="shared" si="0"/>
        <v>1.1000000000000001</v>
      </c>
      <c r="M21" s="30">
        <f>IF(B21="Texion Textil",0,IF(C21="Malha",'Custos insumos'!$B$24,IF(C21="Dublagem Cretone",'Custos insumos'!$D$7,IF(C21="Dublagem Spun",'Custos insumos'!$D$4,IF(C21="Espelhamento",'Custos insumos'!$B$11,IF(C21="Espelhamento 2x",2*'Custos insumos'!$B$11,IF(C21="Esp. + Pel.",'Custos insumos'!$B$11,IF(C21="Pel. + Spun",'Custos insumos'!$D$4,IF(C21="Dublagem Cretone PES",'Custos insumos'!$D$7,IF(C21="Dublagem Barreira",'Custos insumos'!$D$11,IF(C21="Dublagem - MO + Filme",'Custos insumos'!$D$4,IF(C21="Dublagem Cretone HM50",'Custos insumos'!$D$26,IF(C21="Dublagem Cretone HM70",'Custos insumos'!$F$10,)))))))))))))</f>
        <v>0</v>
      </c>
      <c r="N21" s="30">
        <f>IF(B21="Texion Textil",0,IF(B21="Três Elos",0,IF(C21="Malha",0,IF(C21="Dublagem Cretone",'Custos insumos'!$D$23,IF(C21="Dublagem Spun",'Custos insumos'!$D$19,IF(C21="Espelhamento",0,IF(C21="Espelhamento 2x",0,IF(C21="Esp. + Pel.",0,IF(C21="Pel. + Spun",'Custos insumos'!$D$19,IF(C21="Dublagem Cretone PES",'Custos insumos'!$F$25,IF(C21="Dublagem Barreira",'Custos insumos'!$D$22,)))))))))))</f>
        <v>0</v>
      </c>
      <c r="O21" s="18"/>
      <c r="P21" s="53">
        <f t="shared" si="1"/>
        <v>0.43706734006734005</v>
      </c>
      <c r="Q21" s="50">
        <f t="shared" si="2"/>
        <v>297</v>
      </c>
      <c r="R21" s="50" cm="1">
        <f t="array" ref="R21">_xlfn.IFS(C21="Calandra",(350),C21="Peletização",(421),C21="Dublagem Spun",(250),C21="Dublagem Cretone PES",(180),C21="Felpagem",(270/E21),C21="Emborrachamento",(200),C21="Espelhamento",(250),C21="Malha",(1),C21="Dublagem Cretone",(180),C21="Malha",(1),C21="Dublagem Spun - MO",250,C21="Dublagem Cretone - MO",180,C21="Dublagem Cretone PES - MO",180,C21="Espelhamento - MO",250,C21="Emborrachamento",100,C21="Malha",0,C21="Dublagem Barreira",100,C21="Pel. + Cal.",350,C21="Fel. + Pel. + Cal.",270,C21="Pel. + Spun",250,C21="Espelhamento - L: 1,45m",200,C21="Espelhamento - L: 1,65m",200,C21="Estampagem",100,C21="Fel. + Cal.",270,C21="Dublagem Juta",180,C21="Dublagem Cretone - MO (Juta)",180,C21="Dublagem Tapete",150,C21="Esp. + Pel.",200,C21="Espelhamento 2x",100)</f>
        <v>270</v>
      </c>
      <c r="S21" s="50">
        <f t="shared" si="3"/>
        <v>167.191</v>
      </c>
      <c r="T21" s="18" cm="1">
        <f t="array" ref="T21">_xlfn.IFS(C21="Calandra",0.4,C21="Felpagem",0.3,C21="Dublagem Spun",0.8,C21="Dublagem Cretone",0.8,C21="Dublagem Cretone PES",0.8,C21="Espelhamento",0.8,C21="Peletização",0.5,C21="Dublagem Spun - MO",0.8,C21="Dublagem Cretone - MO",0.8,C21="Dublagem Cretone PES - MO",0.8,C21="Espelhamento - MO",0.8,C21="Emborrachamento",1,C21="Malha",0,C21="Dublagem Barreira",1,C21="Pel. + Cal.",0.4,C21="Fel. + Pel. + Cal.",0.5,C21="Pel. + Spun",0.8,C21="Espelhamento - L: 1,45m",0.8,C21="Espelhamento - L: 1,65m",0.8,C21="Estampagem",1,C21="Fel. + Cal.",0.4,C21="Dublagem Juta",0.8,C21="Dublagem Cretone - MO (Juta)",0.8,C21="Dublagem Tapete",0.8,C21="Esp. + Pel.",0.8,C21="Espelhamento 2x",0.8)</f>
        <v>0.3</v>
      </c>
      <c r="U21" s="18">
        <v>1</v>
      </c>
      <c r="V21" s="18">
        <v>1</v>
      </c>
      <c r="W21" s="18"/>
      <c r="X21" s="18">
        <v>39.67</v>
      </c>
      <c r="Y21" s="18">
        <v>38.51</v>
      </c>
      <c r="Z21" s="18">
        <v>116.78</v>
      </c>
      <c r="AA21" s="18"/>
    </row>
    <row r="22" spans="1:27" ht="14.25" customHeight="1" x14ac:dyDescent="0.35">
      <c r="A22" s="18"/>
      <c r="B22" s="22" t="s">
        <v>414</v>
      </c>
      <c r="C22" s="32" t="s">
        <v>144</v>
      </c>
      <c r="D22" s="32"/>
      <c r="E22" s="33">
        <v>1</v>
      </c>
      <c r="F22" s="25">
        <v>1</v>
      </c>
      <c r="G22" s="25">
        <v>1</v>
      </c>
      <c r="H22" s="26"/>
      <c r="I22" s="27"/>
      <c r="J22" s="28">
        <v>46036</v>
      </c>
      <c r="K22" s="36"/>
      <c r="L22" s="30">
        <f t="shared" si="0"/>
        <v>1</v>
      </c>
      <c r="M22" s="30">
        <f>IF(B22="Texion Textil",0,IF(C22="Malha",'Custos insumos'!$B$24,IF(C22="Dublagem Cretone",'Custos insumos'!$D$7,IF(C22="Dublagem Spun",'Custos insumos'!$D$4,IF(C22="Espelhamento",'Custos insumos'!$B$11,IF(C22="Espelhamento 2x",2*'Custos insumos'!$B$11,IF(C22="Esp. + Pel.",'Custos insumos'!$B$11,IF(C22="Pel. + Spun",'Custos insumos'!$D$4,IF(C22="Dublagem Cretone PES",'Custos insumos'!$D$7,IF(C22="Dublagem Barreira",'Custos insumos'!$D$11,IF(C22="Dublagem - MO + Filme",'Custos insumos'!$D$4,IF(C22="Dublagem Cretone HM50",'Custos insumos'!$D$26,IF(C22="Dublagem Cretone HM70",'Custos insumos'!$F$10,)))))))))))))</f>
        <v>0</v>
      </c>
      <c r="N22" s="30">
        <f>IF(B22="Texion Textil",0,IF(B22="Três Elos",0,IF(C22="Malha",0,IF(C22="Dublagem Cretone",'Custos insumos'!$D$23,IF(C22="Dublagem Spun",'Custos insumos'!$D$19,IF(C22="Espelhamento",0,IF(C22="Espelhamento 2x",0,IF(C22="Esp. + Pel.",0,IF(C22="Pel. + Spun",'Custos insumos'!$D$19,IF(C22="Dublagem Cretone PES",'Custos insumos'!$F$25,IF(C22="Dublagem Barreira",'Custos insumos'!$D$22,)))))))))))</f>
        <v>0</v>
      </c>
      <c r="O22" s="18"/>
      <c r="P22" s="53">
        <f t="shared" si="1"/>
        <v>0.58402612826603328</v>
      </c>
      <c r="Q22" s="50">
        <f t="shared" si="2"/>
        <v>421</v>
      </c>
      <c r="R22" s="50" cm="1">
        <f t="array" ref="R22">_xlfn.IFS(C22="Calandra",(350),C22="Peletização",(421),C22="Dublagem Spun",(250),C22="Dublagem Cretone PES",(180),C22="Felpagem",(270/E22),C22="Emborrachamento",(200),C22="Espelhamento",(250),C22="Malha",(1),C22="Dublagem Cretone",(180),C22="Malha",(1),C22="Dublagem Spun - MO",250,C22="Dublagem Cretone - MO",180,C22="Dublagem Cretone PES - MO",180,C22="Espelhamento - MO",250,C22="Emborrachamento",100,C22="Malha",0,C22="Dublagem Barreira",100,C22="Pel. + Cal.",350,C22="Fel. + Pel. + Cal.",270,C22="Pel. + Spun",250,C22="Espelhamento - L: 1,45m",200,C22="Espelhamento - L: 1,65m",200,C22="Estampagem",100,C22="Fel. + Cal.",270,C22="Dublagem Juta",180,C22="Dublagem Cretone - MO (Juta)",180,C22="Dublagem Tapete",150,C22="Esp. + Pel.",200,C22="Espelhamento 2x",100)</f>
        <v>421</v>
      </c>
      <c r="S22" s="50">
        <f t="shared" si="3"/>
        <v>175.125</v>
      </c>
      <c r="T22" s="18" cm="1">
        <f t="array" ref="T22">_xlfn.IFS(C22="Calandra",0.4,C22="Felpagem",0.3,C22="Dublagem Spun",0.8,C22="Dublagem Cretone",0.8,C22="Dublagem Cretone PES",0.8,C22="Espelhamento",0.8,C22="Peletização",0.5,C22="Dublagem Spun - MO",0.8,C22="Dublagem Cretone - MO",0.8,C22="Dublagem Cretone PES - MO",0.8,C22="Espelhamento - MO",0.8,C22="Emborrachamento",1,C22="Malha",0,C22="Dublagem Barreira",1,C22="Pel. + Cal.",0.4,C22="Fel. + Pel. + Cal.",0.5,C22="Pel. + Spun",0.8,C22="Espelhamento - L: 1,45m",0.8,C22="Espelhamento - L: 1,65m",0.8,C22="Estampagem",1,C22="Fel. + Cal.",0.4,C22="Dublagem Juta",0.8,C22="Dublagem Cretone - MO (Juta)",0.8,C22="Dublagem Tapete",0.8,C22="Esp. + Pel.",0.8,C22="Espelhamento 2x",0.8)</f>
        <v>0.5</v>
      </c>
      <c r="U22" s="18">
        <v>1</v>
      </c>
      <c r="V22" s="18">
        <v>1</v>
      </c>
      <c r="W22" s="18"/>
      <c r="X22" s="18">
        <v>39.67</v>
      </c>
      <c r="Y22" s="18">
        <v>38.51</v>
      </c>
      <c r="Z22" s="18">
        <v>116.78</v>
      </c>
      <c r="AA22" s="18"/>
    </row>
    <row r="23" spans="1:27" ht="14.25" customHeight="1" x14ac:dyDescent="0.35">
      <c r="A23" s="18"/>
      <c r="B23" s="22" t="s">
        <v>81</v>
      </c>
      <c r="C23" s="23" t="s">
        <v>144</v>
      </c>
      <c r="D23" s="23"/>
      <c r="E23" s="24">
        <v>1</v>
      </c>
      <c r="F23" s="25">
        <v>0.65</v>
      </c>
      <c r="G23" s="25">
        <v>0.71500000000000008</v>
      </c>
      <c r="H23" s="26" t="s">
        <v>243</v>
      </c>
      <c r="I23" s="27">
        <f>G23/E23</f>
        <v>0.71500000000000008</v>
      </c>
      <c r="J23" s="28">
        <v>46036</v>
      </c>
      <c r="K23" s="29"/>
      <c r="L23" s="30">
        <f t="shared" si="0"/>
        <v>0.71500000000000008</v>
      </c>
      <c r="M23" s="30">
        <f>IF(B23="Texion Textil",0,IF(C23="Malha",'Custos insumos'!$B$24,IF(C23="Dublagem Cretone",'Custos insumos'!$D$7,IF(C23="Dublagem Spun",'Custos insumos'!$D$4,IF(C23="Espelhamento",'Custos insumos'!$B$11,IF(C23="Espelhamento 2x",2*'Custos insumos'!$B$11,IF(C23="Esp. + Pel.",'Custos insumos'!$B$11,IF(C23="Pel. + Spun",'Custos insumos'!$D$4,IF(C23="Dublagem Cretone PES",'Custos insumos'!$D$7,IF(C23="Dublagem Barreira",'Custos insumos'!$D$11,IF(C23="Dublagem - MO + Filme",'Custos insumos'!$D$4,IF(C23="Dublagem Cretone HM50",'Custos insumos'!$D$26,IF(C23="Dublagem Cretone HM70",'Custos insumos'!$F$10,)))))))))))))</f>
        <v>0</v>
      </c>
      <c r="N23" s="30">
        <f>IF(B23="Texion Textil",0,IF(B23="Três Elos",0,IF(C23="Malha",0,IF(C23="Dublagem Cretone",'Custos insumos'!$D$23,IF(C23="Dublagem Spun",'Custos insumos'!$D$19,IF(C23="Espelhamento",0,IF(C23="Espelhamento 2x",0,IF(C23="Esp. + Pel.",0,IF(C23="Pel. + Spun",'Custos insumos'!$D$19,IF(C23="Dublagem Cretone PES",'Custos insumos'!$F$25,IF(C23="Dublagem Barreira",'Custos insumos'!$D$22,)))))))))))</f>
        <v>0</v>
      </c>
      <c r="O23" s="18"/>
      <c r="P23" s="53"/>
      <c r="Q23" s="50"/>
      <c r="R23" s="50"/>
      <c r="S23" s="50"/>
      <c r="T23" s="18" cm="1">
        <f t="array" ref="T23">_xlfn.IFS(C23="Calandra",0.4,C23="Felpagem",0.3,C23="Dublagem Spun",0.8,C23="Dublagem Cretone",0.8,C23="Dublagem Cretone PES",0.8,C23="Espelhamento",0.8,C23="Peletização",0.5,C23="Dublagem Spun - MO",0.8,C23="Dublagem Cretone - MO",0.8,C23="Dublagem Cretone PES - MO",0.8,C23="Espelhamento - MO",0.8,C23="Emborrachamento",1,C23="Malha",0,C23="Dublagem Barreira",1,C23="Pel. + Cal.",0.4,C23="Fel. + Pel. + Cal.",0.5,C23="Pel. + Spun",0.8,C23="Espelhamento - L: 1,45m",0.8,C23="Espelhamento - L: 1,65m",0.8,C23="Estampagem",1,C23="Fel. + Cal.",0.4,C23="Dublagem Juta",0.8,C23="Dublagem Cretone - MO (Juta)",0.8,C23="Dublagem Tapete",0.8,C23="Esp. + Pel.",0.8,C23="Espelhamento 2x",0.8)</f>
        <v>0.5</v>
      </c>
      <c r="U23" s="18"/>
      <c r="V23" s="18"/>
      <c r="W23" s="18"/>
      <c r="X23" s="18"/>
      <c r="Y23" s="18"/>
      <c r="Z23" s="18"/>
      <c r="AA23" s="18"/>
    </row>
    <row r="24" spans="1:27" ht="14.25" customHeight="1" x14ac:dyDescent="0.35">
      <c r="A24" s="18"/>
      <c r="B24" s="22" t="s">
        <v>81</v>
      </c>
      <c r="C24" s="23" t="s">
        <v>251</v>
      </c>
      <c r="D24" s="23" t="s">
        <v>477</v>
      </c>
      <c r="E24" s="24">
        <v>1</v>
      </c>
      <c r="F24" s="25">
        <v>2.74</v>
      </c>
      <c r="G24" s="25">
        <v>2.74</v>
      </c>
      <c r="H24" s="26" t="s">
        <v>243</v>
      </c>
      <c r="I24" s="27">
        <f>G24/E24</f>
        <v>2.74</v>
      </c>
      <c r="J24" s="28">
        <v>46036</v>
      </c>
      <c r="K24" s="29" t="s">
        <v>263</v>
      </c>
      <c r="L24" s="30">
        <f t="shared" si="0"/>
        <v>1.1740000000000004</v>
      </c>
      <c r="M24" s="30">
        <f>'Custos insumos'!$H$7</f>
        <v>1.5659999999999998</v>
      </c>
      <c r="N24" s="30">
        <v>0</v>
      </c>
      <c r="O24" s="18"/>
      <c r="P24" s="53">
        <f t="shared" ref="P24:P59" si="10">(Q24-S24)/Q24</f>
        <v>4.9257907542579152E-2</v>
      </c>
      <c r="Q24" s="50">
        <f t="shared" ref="Q24:Q59" si="11">G24*R24</f>
        <v>493.20000000000005</v>
      </c>
      <c r="R24" s="50" cm="1">
        <f t="array" ref="R24">_xlfn.IFS(C24="Calandra",(350),C24="Peletização",(421),C24="Dublagem Spun",(250),C24="Dublagem Cretone PES",(180),C24="Felpagem",(270/E24),C24="Emborrachamento",(200),C24="Espelhamento",(250),C24="Malha",(1),C24="Dublagem Cretone",(180),C24="Malha",(1),C24="Dublagem Spun - MO",250,C24="Dublagem Cretone - MO",180,C24="Dublagem Cretone PES - MO",180,C24="Espelhamento - MO",250,C24="Emborrachamento",100,C24="Malha",0,C24="Dublagem Barreira",100,C24="Pel. + Cal.",350,C24="Fel. + Pel. + Cal.",270,C24="Pel. + Spun",250,C24="Espelhamento - L: 1,45m",200,C24="Espelhamento - L: 1,65m",200,C24="Estampagem",100,C24="Fel. + Cal.",270,C24="Dublagem Juta",180,C24="Dublagem Cretone - MO (Juta)",180,C24="Dublagem Tapete",150,C24="Esp. + Pel.",200,C24="Espelhamento 2x",100)</f>
        <v>180</v>
      </c>
      <c r="S24" s="50">
        <f t="shared" ref="S24:S59" si="12">(T24*X24)+(U24*Y24)+(V24*Z24)+((M24+N24)*(R24))</f>
        <v>468.90600000000001</v>
      </c>
      <c r="T24" s="18" cm="1">
        <f t="array" ref="T24">_xlfn.IFS(C24="Calandra",0.4,C24="Felpagem",0.3,C24="Dublagem Spun",0.8,C24="Dublagem Cretone",0.8,C24="Dublagem Cretone PES",0.8,C24="Espelhamento",0.8,C24="Peletização",0.5,C24="Dublagem Spun - MO",0.8,C24="Dublagem Cretone - MO",0.8,C24="Dublagem Cretone PES - MO",0.8,C24="Espelhamento - MO",0.8,C24="Emborrachamento",1,C24="Malha",0,C24="Dublagem Barreira",1,C24="Pel. + Cal.",0.4,C24="Fel. + Pel. + Cal.",0.5,C24="Pel. + Spun",0.8,C24="Espelhamento - L: 1,45m",0.8,C24="Espelhamento - L: 1,65m",0.8,C24="Estampagem",1,C24="Fel. + Cal.",0.4,C24="Dublagem Juta",0.8,C24="Dublagem Cretone - MO (Juta)",0.8,C24="Dublagem Tapete",0.8,C24="Esp. + Pel.",0.8,C24="Espelhamento 2x",0.8)</f>
        <v>0.8</v>
      </c>
      <c r="U24" s="18">
        <v>1</v>
      </c>
      <c r="V24" s="18">
        <v>1</v>
      </c>
      <c r="W24" s="18"/>
      <c r="X24" s="18">
        <v>39.67</v>
      </c>
      <c r="Y24" s="18">
        <v>38.51</v>
      </c>
      <c r="Z24" s="18">
        <v>116.78</v>
      </c>
      <c r="AA24" s="18"/>
    </row>
    <row r="25" spans="1:27" ht="14.25" customHeight="1" x14ac:dyDescent="0.35">
      <c r="A25" s="18"/>
      <c r="B25" s="22" t="s">
        <v>418</v>
      </c>
      <c r="C25" s="23" t="s">
        <v>261</v>
      </c>
      <c r="D25" s="23" t="s">
        <v>419</v>
      </c>
      <c r="E25" s="24">
        <v>1</v>
      </c>
      <c r="F25" s="25">
        <v>7.5</v>
      </c>
      <c r="G25" s="25">
        <v>8.25</v>
      </c>
      <c r="H25" s="26"/>
      <c r="I25" s="27"/>
      <c r="J25" s="28">
        <v>46036</v>
      </c>
      <c r="K25" s="29"/>
      <c r="L25" s="30"/>
      <c r="M25" s="30"/>
      <c r="N25" s="30"/>
      <c r="O25" s="18"/>
      <c r="P25" s="53">
        <f t="shared" si="10"/>
        <v>0.87405656565656564</v>
      </c>
      <c r="Q25" s="50">
        <f t="shared" si="11"/>
        <v>1485</v>
      </c>
      <c r="R25" s="50" cm="1">
        <f t="array" ref="R25">_xlfn.IFS(C25="Calandra",(350),C25="Peletização",(421),C25="Dublagem Spun",(250),C25="Dublagem Cretone PES",(180),C25="Felpagem",(270/E25),C25="Emborrachamento",(200),C25="Espelhamento",(250),C25="Malha",(1),C25="Dublagem Cretone",(180),C25="Malha",(1),C25="Dublagem Spun - MO",250,C25="Dublagem Cretone - MO",180,C25="Dublagem Cretone PES - MO",180,C25="Espelhamento - MO",250,C25="Emborrachamento",100,C25="Malha",0,C25="Dublagem Barreira",100,C25="Pel. + Cal.",350,C25="Fel. + Pel. + Cal.",270,C25="Pel. + Spun",250,C25="Espelhamento - L: 1,45m",200,C25="Espelhamento - L: 1,65m",200,C25="Estampagem",100,C25="Fel. + Cal.",270,C25="Dublagem Juta",180,C25="Dublagem Cretone - MO (Juta)",180,C25="Dublagem Tapete",150,C25="Esp. + Pel.",200,C25="Espelhamento 2x",100)</f>
        <v>180</v>
      </c>
      <c r="S25" s="50">
        <f t="shared" si="12"/>
        <v>187.02600000000001</v>
      </c>
      <c r="T25" s="18" cm="1">
        <f t="array" ref="T25">_xlfn.IFS(C25="Calandra",0.4,C25="Felpagem",0.3,C25="Dublagem Spun",0.8,C25="Dublagem Cretone",0.8,C25="Dublagem Cretone PES",0.8,C25="Espelhamento",0.8,C25="Peletização",0.5,C25="Dublagem Spun - MO",0.8,C25="Dublagem Cretone - MO",0.8,C25="Dublagem Cretone PES - MO",0.8,C25="Espelhamento - MO",0.8,C25="Emborrachamento",1,C25="Malha",0,C25="Dublagem Barreira",1,C25="Pel. + Cal.",0.4,C25="Fel. + Pel. + Cal.",0.5,C25="Pel. + Spun",0.8,C25="Espelhamento - L: 1,45m",0.8,C25="Espelhamento - L: 1,65m",0.8,C25="Estampagem",1,C25="Fel. + Cal.",0.4,C25="Dublagem Juta",0.8,C25="Dublagem Cretone - MO (Juta)",0.8,C25="Dublagem Tapete",0.8,C25="Esp. + Pel.",0.8,C25="Espelhamento 2x",0.8)</f>
        <v>0.8</v>
      </c>
      <c r="U25" s="18">
        <v>1</v>
      </c>
      <c r="V25" s="18">
        <v>1</v>
      </c>
      <c r="W25" s="18"/>
      <c r="X25" s="18">
        <v>39.67</v>
      </c>
      <c r="Y25" s="18">
        <v>38.51</v>
      </c>
      <c r="Z25" s="18">
        <v>116.78</v>
      </c>
      <c r="AA25" s="18"/>
    </row>
    <row r="26" spans="1:27" ht="14.25" customHeight="1" x14ac:dyDescent="0.35">
      <c r="A26" s="18"/>
      <c r="B26" s="64" t="s">
        <v>87</v>
      </c>
      <c r="C26" s="23" t="s">
        <v>144</v>
      </c>
      <c r="D26" s="23"/>
      <c r="E26" s="24">
        <v>1</v>
      </c>
      <c r="F26" s="25">
        <v>0.75</v>
      </c>
      <c r="G26" s="25">
        <v>0.82500000000000007</v>
      </c>
      <c r="H26" s="26" t="s">
        <v>243</v>
      </c>
      <c r="I26" s="27">
        <f t="shared" ref="I26:I37" si="13">G26/E26</f>
        <v>0.82500000000000007</v>
      </c>
      <c r="J26" s="28">
        <v>46036</v>
      </c>
      <c r="K26" s="29"/>
      <c r="L26" s="30">
        <v>0.75</v>
      </c>
      <c r="M26" s="30">
        <f>IF(B26="Texion Textil",0,IF(C26="Malha",'Custos insumos'!$B$24,IF(C26="Dublagem Cretone",'Custos insumos'!$D$7,IF(C26="Dublagem Spun",'Custos insumos'!$D$4,IF(C26="Espelhamento",'Custos insumos'!$B$11,IF(C26="Espelhamento 2x",2*'Custos insumos'!$B$11,IF(C26="Esp. + Pel.",'Custos insumos'!$B$11,IF(C26="Pel. + Spun",'Custos insumos'!$D$4,IF(C26="Dublagem Cretone PES",'Custos insumos'!$D$7,IF(C26="Dublagem Barreira",'Custos insumos'!$D$11,IF(C26="Dublagem - MO + Filme",'Custos insumos'!$D$4,IF(C26="Dublagem Cretone HM50",'Custos insumos'!$D$26,IF(C26="Dublagem Cretone HM70",'Custos insumos'!$F$10,)))))))))))))</f>
        <v>0</v>
      </c>
      <c r="N26" s="30">
        <f>IF(B26="Texion Textil",0,IF(B26="Três Elos",0,IF(C26="Malha",0,IF(C26="Dublagem Cretone",'Custos insumos'!$D$23,IF(C26="Dublagem Spun",'Custos insumos'!$D$19,IF(C26="Espelhamento",0,IF(C26="Espelhamento 2x",0,IF(C26="Esp. + Pel.",0,IF(C26="Pel. + Spun",'Custos insumos'!$D$19,IF(C26="Dublagem Cretone PES",'Custos insumos'!$F$25,IF(C26="Dublagem Barreira",'Custos insumos'!$D$22,)))))))))))</f>
        <v>0</v>
      </c>
      <c r="O26" s="18"/>
      <c r="P26" s="53">
        <f t="shared" si="10"/>
        <v>0.4957892463830707</v>
      </c>
      <c r="Q26" s="50">
        <f t="shared" si="11"/>
        <v>347.32500000000005</v>
      </c>
      <c r="R26" s="50" cm="1">
        <f t="array" ref="R26">_xlfn.IFS(C26="Calandra",(350),C26="Peletização",(421),C26="Dublagem Spun",(250),C26="Dublagem Cretone PES",(180),C26="Felpagem",(270/E26),C26="Emborrachamento",(200),C26="Espelhamento",(250),C26="Malha",(1),C26="Dublagem Cretone",(180),C26="Malha",(1),C26="Dublagem Spun - MO",250,C26="Dublagem Cretone - MO",180,C26="Dublagem Cretone PES - MO",180,C26="Espelhamento - MO",250,C26="Emborrachamento",100,C26="Malha",0,C26="Dublagem Barreira",100,C26="Pel. + Cal.",350,C26="Fel. + Pel. + Cal.",270,C26="Pel. + Spun",250,C26="Espelhamento - L: 1,45m",200,C26="Espelhamento - L: 1,65m",200,C26="Estampagem",100,C26="Fel. + Cal.",270,C26="Dublagem Juta",180,C26="Dublagem Cretone - MO (Juta)",180,C26="Dublagem Tapete",150,C26="Esp. + Pel.",200,C26="Espelhamento 2x",100)</f>
        <v>421</v>
      </c>
      <c r="S26" s="50">
        <f t="shared" si="12"/>
        <v>175.125</v>
      </c>
      <c r="T26" s="18" cm="1">
        <f t="array" ref="T26">_xlfn.IFS(C26="Calandra",0.4,C26="Felpagem",0.3,C26="Dublagem Spun",0.8,C26="Dublagem Cretone",0.8,C26="Dublagem Cretone PES",0.8,C26="Espelhamento",0.8,C26="Peletização",0.5,C26="Dublagem Spun - MO",0.8,C26="Dublagem Cretone - MO",0.8,C26="Dublagem Cretone PES - MO",0.8,C26="Espelhamento - MO",0.8,C26="Emborrachamento",1,C26="Malha",0,C26="Dublagem Barreira",1,C26="Pel. + Cal.",0.4,C26="Fel. + Pel. + Cal.",0.5,C26="Pel. + Spun",0.8,C26="Espelhamento - L: 1,45m",0.8,C26="Espelhamento - L: 1,65m",0.8,C26="Estampagem",1,C26="Fel. + Cal.",0.4,C26="Dublagem Juta",0.8,C26="Dublagem Cretone - MO (Juta)",0.8,C26="Dublagem Tapete",0.8,C26="Esp. + Pel.",0.8,C26="Espelhamento 2x",0.8)</f>
        <v>0.5</v>
      </c>
      <c r="U26" s="18">
        <v>1</v>
      </c>
      <c r="V26" s="18">
        <v>1</v>
      </c>
      <c r="W26" s="18"/>
      <c r="X26" s="18">
        <v>39.67</v>
      </c>
      <c r="Y26" s="18">
        <v>38.51</v>
      </c>
      <c r="Z26" s="18">
        <v>116.78</v>
      </c>
      <c r="AA26" s="18"/>
    </row>
    <row r="27" spans="1:27" ht="14.25" customHeight="1" x14ac:dyDescent="0.35">
      <c r="A27" s="18"/>
      <c r="B27" s="64" t="s">
        <v>87</v>
      </c>
      <c r="C27" s="23" t="s">
        <v>144</v>
      </c>
      <c r="D27" s="23" t="s">
        <v>265</v>
      </c>
      <c r="E27" s="24">
        <v>2</v>
      </c>
      <c r="F27" s="25">
        <v>1.25</v>
      </c>
      <c r="G27" s="25">
        <v>1.375</v>
      </c>
      <c r="H27" s="26" t="s">
        <v>243</v>
      </c>
      <c r="I27" s="27">
        <f t="shared" si="13"/>
        <v>0.6875</v>
      </c>
      <c r="J27" s="28">
        <v>46036</v>
      </c>
      <c r="K27" s="29"/>
      <c r="L27" s="30">
        <f t="shared" ref="L27:L59" si="14">G27-M27-N27</f>
        <v>1.375</v>
      </c>
      <c r="M27" s="30">
        <f>IF(B27="Texion Textil",0,IF(C27="Malha",'Custos insumos'!$B$24,IF(C27="Dublagem Cretone",'Custos insumos'!$D$7,IF(C27="Dublagem Spun",'Custos insumos'!$D$4,IF(C27="Espelhamento",'Custos insumos'!$B$11,IF(C27="Espelhamento 2x",2*'Custos insumos'!$B$11,IF(C27="Esp. + Pel.",'Custos insumos'!$B$11,IF(C27="Pel. + Spun",'Custos insumos'!$D$4,IF(C27="Dublagem Cretone PES",'Custos insumos'!$D$7,IF(C27="Dublagem Barreira",'Custos insumos'!$D$11,IF(C27="Dublagem - MO + Filme",'Custos insumos'!$D$4,IF(C27="Dublagem Cretone HM50",'Custos insumos'!$D$26,IF(C27="Dublagem Cretone HM70",'Custos insumos'!$F$10,)))))))))))))</f>
        <v>0</v>
      </c>
      <c r="N27" s="30">
        <f>IF(B27="Texion Textil",0,IF(B27="Três Elos",0,IF(C27="Malha",0,IF(C27="Dublagem Cretone",'Custos insumos'!$D$23,IF(C27="Dublagem Spun",'Custos insumos'!$D$19,IF(C27="Espelhamento",0,IF(C27="Espelhamento 2x",0,IF(C27="Esp. + Pel.",0,IF(C27="Pel. + Spun",'Custos insumos'!$D$19,IF(C27="Dublagem Cretone PES",'Custos insumos'!$F$25,IF(C27="Dublagem Barreira",'Custos insumos'!$D$22,)))))))))))</f>
        <v>0</v>
      </c>
      <c r="O27" s="18"/>
      <c r="P27" s="53">
        <f t="shared" si="10"/>
        <v>0.69747354782984239</v>
      </c>
      <c r="Q27" s="50">
        <f t="shared" si="11"/>
        <v>578.875</v>
      </c>
      <c r="R27" s="50" cm="1">
        <f t="array" ref="R27">_xlfn.IFS(C27="Calandra",(350),C27="Peletização",(421),C27="Dublagem Spun",(250),C27="Dublagem Cretone PES",(180),C27="Felpagem",(270/E27),C27="Emborrachamento",(200),C27="Espelhamento",(250),C27="Malha",(1),C27="Dublagem Cretone",(180),C27="Malha",(1),C27="Dublagem Spun - MO",250,C27="Dublagem Cretone - MO",180,C27="Dublagem Cretone PES - MO",180,C27="Espelhamento - MO",250,C27="Emborrachamento",100,C27="Malha",0,C27="Dublagem Barreira",100,C27="Pel. + Cal.",350,C27="Fel. + Pel. + Cal.",270,C27="Pel. + Spun",250,C27="Espelhamento - L: 1,45m",200,C27="Espelhamento - L: 1,65m",200,C27="Estampagem",100,C27="Fel. + Cal.",270,C27="Dublagem Juta",180,C27="Dublagem Cretone - MO (Juta)",180,C27="Dublagem Tapete",150,C27="Esp. + Pel.",200,C27="Espelhamento 2x",100)</f>
        <v>421</v>
      </c>
      <c r="S27" s="50">
        <f t="shared" si="12"/>
        <v>175.125</v>
      </c>
      <c r="T27" s="18" cm="1">
        <f t="array" ref="T27">_xlfn.IFS(C27="Calandra",0.4,C27="Felpagem",0.3,C27="Dublagem Spun",0.8,C27="Dublagem Cretone",0.8,C27="Dublagem Cretone PES",0.8,C27="Espelhamento",0.8,C27="Peletização",0.5,C27="Dublagem Spun - MO",0.8,C27="Dublagem Cretone - MO",0.8,C27="Dublagem Cretone PES - MO",0.8,C27="Espelhamento - MO",0.8,C27="Emborrachamento",1,C27="Malha",0,C27="Dublagem Barreira",1,C27="Pel. + Cal.",0.4,C27="Fel. + Pel. + Cal.",0.5,C27="Pel. + Spun",0.8,C27="Espelhamento - L: 1,45m",0.8,C27="Espelhamento - L: 1,65m",0.8,C27="Estampagem",1,C27="Fel. + Cal.",0.4,C27="Dublagem Juta",0.8,C27="Dublagem Cretone - MO (Juta)",0.8,C27="Dublagem Tapete",0.8,C27="Esp. + Pel.",0.8,C27="Espelhamento 2x",0.8)</f>
        <v>0.5</v>
      </c>
      <c r="U27" s="18">
        <v>1</v>
      </c>
      <c r="V27" s="18">
        <v>1</v>
      </c>
      <c r="W27" s="18"/>
      <c r="X27" s="18">
        <v>39.67</v>
      </c>
      <c r="Y27" s="18">
        <v>38.51</v>
      </c>
      <c r="Z27" s="18">
        <v>116.78</v>
      </c>
      <c r="AA27" s="18"/>
    </row>
    <row r="28" spans="1:27" ht="14.25" customHeight="1" x14ac:dyDescent="0.35">
      <c r="A28" s="18"/>
      <c r="B28" s="75" t="s">
        <v>89</v>
      </c>
      <c r="C28" s="23" t="s">
        <v>254</v>
      </c>
      <c r="D28" s="23"/>
      <c r="E28" s="24">
        <v>1</v>
      </c>
      <c r="F28" s="25">
        <v>0.42</v>
      </c>
      <c r="G28" s="25">
        <v>0.441</v>
      </c>
      <c r="H28" s="26" t="s">
        <v>243</v>
      </c>
      <c r="I28" s="27">
        <f t="shared" si="13"/>
        <v>0.441</v>
      </c>
      <c r="J28" s="28">
        <v>46036</v>
      </c>
      <c r="K28" s="29"/>
      <c r="L28" s="30">
        <f t="shared" si="14"/>
        <v>0.441</v>
      </c>
      <c r="M28" s="30">
        <f>IF(B28="Texion Textil",0,IF(C28="Malha",'Custos insumos'!$B$24,IF(C28="Dublagem Cretone",'Custos insumos'!$D$7,IF(C28="Dublagem Spun",'Custos insumos'!$D$4,IF(C28="Espelhamento",'Custos insumos'!$B$11,IF(C28="Espelhamento 2x",2*'Custos insumos'!$B$11,IF(C28="Esp. + Pel.",'Custos insumos'!$B$11,IF(C28="Pel. + Spun",'Custos insumos'!$D$4,IF(C28="Dublagem Cretone PES",'Custos insumos'!$D$7,IF(C28="Dublagem Barreira",'Custos insumos'!$D$11,IF(C28="Dublagem - MO + Filme",'Custos insumos'!$D$4,IF(C28="Dublagem Cretone HM50",'Custos insumos'!$D$26,IF(C28="Dublagem Cretone HM70",'Custos insumos'!$F$10,)))))))))))))</f>
        <v>0</v>
      </c>
      <c r="N28" s="30">
        <f>IF(B28="Texion Textil",0,IF(B28="Três Elos",0,IF(C28="Malha",0,IF(C28="Dublagem Cretone",'Custos insumos'!$D$23,IF(C28="Dublagem Spun",'Custos insumos'!$D$19,IF(C28="Espelhamento",0,IF(C28="Espelhamento 2x",0,IF(C28="Esp. + Pel.",0,IF(C28="Pel. + Spun",'Custos insumos'!$D$19,IF(C28="Dublagem Cretone PES",'Custos insumos'!$F$25,IF(C28="Dublagem Barreira",'Custos insumos'!$D$22,)))))))))))</f>
        <v>0</v>
      </c>
      <c r="O28" s="18"/>
      <c r="P28" s="53">
        <f t="shared" si="10"/>
        <v>-0.40414042160073899</v>
      </c>
      <c r="Q28" s="50">
        <f t="shared" si="11"/>
        <v>119.07000000000001</v>
      </c>
      <c r="R28" s="50" cm="1">
        <f t="array" ref="R28">_xlfn.IFS(C28="Calandra",(350),C28="Peletização",(421),C28="Dublagem Spun",(250),C28="Dublagem Cretone PES",(180),C28="Felpagem",(270/E28),C28="Emborrachamento",(200),C28="Espelhamento",(250),C28="Malha",(1),C28="Dublagem Cretone",(180),C28="Malha",(1),C28="Dublagem Spun - MO",250,C28="Dublagem Cretone - MO",180,C28="Dublagem Cretone PES - MO",180,C28="Espelhamento - MO",250,C28="Emborrachamento",100,C28="Malha",0,C28="Dublagem Barreira",100,C28="Pel. + Cal.",350,C28="Fel. + Pel. + Cal.",270,C28="Pel. + Spun",250,C28="Espelhamento - L: 1,45m",200,C28="Espelhamento - L: 1,65m",200,C28="Estampagem",100,C28="Fel. + Cal.",270,C28="Dublagem Juta",180,C28="Dublagem Cretone - MO (Juta)",180,C28="Dublagem Tapete",150,C28="Esp. + Pel.",200,C28="Espelhamento 2x",100)</f>
        <v>270</v>
      </c>
      <c r="S28" s="50">
        <f t="shared" si="12"/>
        <v>167.191</v>
      </c>
      <c r="T28" s="18" cm="1">
        <f t="array" ref="T28">_xlfn.IFS(C28="Calandra",0.4,C28="Felpagem",0.3,C28="Dublagem Spun",0.8,C28="Dublagem Cretone",0.8,C28="Dublagem Cretone PES",0.8,C28="Espelhamento",0.8,C28="Peletização",0.5,C28="Dublagem Spun - MO",0.8,C28="Dublagem Cretone - MO",0.8,C28="Dublagem Cretone PES - MO",0.8,C28="Espelhamento - MO",0.8,C28="Emborrachamento",1,C28="Malha",0,C28="Dublagem Barreira",1,C28="Pel. + Cal.",0.4,C28="Fel. + Pel. + Cal.",0.5,C28="Pel. + Spun",0.8,C28="Espelhamento - L: 1,45m",0.8,C28="Espelhamento - L: 1,65m",0.8,C28="Estampagem",1,C28="Fel. + Cal.",0.4,C28="Dublagem Juta",0.8,C28="Dublagem Cretone - MO (Juta)",0.8,C28="Dublagem Tapete",0.8,C28="Esp. + Pel.",0.8,C28="Espelhamento 2x",0.8)</f>
        <v>0.3</v>
      </c>
      <c r="U28" s="18">
        <v>1</v>
      </c>
      <c r="V28" s="18">
        <v>1</v>
      </c>
      <c r="W28" s="18"/>
      <c r="X28" s="18">
        <v>39.67</v>
      </c>
      <c r="Y28" s="18">
        <v>38.51</v>
      </c>
      <c r="Z28" s="18">
        <v>116.78</v>
      </c>
      <c r="AA28" s="18"/>
    </row>
    <row r="29" spans="1:27" ht="14.25" customHeight="1" x14ac:dyDescent="0.35">
      <c r="A29" s="18"/>
      <c r="B29" s="22" t="s">
        <v>90</v>
      </c>
      <c r="C29" s="23" t="s">
        <v>144</v>
      </c>
      <c r="D29" s="23"/>
      <c r="E29" s="24">
        <v>1</v>
      </c>
      <c r="F29" s="25">
        <v>0.65</v>
      </c>
      <c r="G29" s="25">
        <v>0.71500000000000008</v>
      </c>
      <c r="H29" s="26" t="s">
        <v>243</v>
      </c>
      <c r="I29" s="27">
        <f t="shared" si="13"/>
        <v>0.71500000000000008</v>
      </c>
      <c r="J29" s="28">
        <v>46036</v>
      </c>
      <c r="K29" s="29"/>
      <c r="L29" s="30">
        <f t="shared" si="14"/>
        <v>0.71500000000000008</v>
      </c>
      <c r="M29" s="30">
        <f>IF(B29="Texion Textil",0,IF(C29="Malha",'Custos insumos'!$B$24,IF(C29="Dublagem Cretone",'Custos insumos'!$D$7,IF(C29="Dublagem Spun",'Custos insumos'!$D$4,IF(C29="Espelhamento",'Custos insumos'!$B$11,IF(C29="Espelhamento 2x",2*'Custos insumos'!$B$11,IF(C29="Esp. + Pel.",'Custos insumos'!$B$11,IF(C29="Pel. + Spun",'Custos insumos'!$D$4,IF(C29="Dublagem Cretone PES",'Custos insumos'!$D$7,IF(C29="Dublagem Barreira",'Custos insumos'!$D$11,IF(C29="Dublagem - MO + Filme",'Custos insumos'!$D$4,IF(C29="Dublagem Cretone HM50",'Custos insumos'!$D$26,IF(C29="Dublagem Cretone HM70",'Custos insumos'!$F$10,)))))))))))))</f>
        <v>0</v>
      </c>
      <c r="N29" s="30">
        <f>IF(B29="Texion Textil",0,IF(B29="Três Elos",0,IF(C29="Malha",0,IF(C29="Dublagem Cretone",'Custos insumos'!$D$23,IF(C29="Dublagem Spun",'Custos insumos'!$D$19,IF(C29="Espelhamento",0,IF(C29="Espelhamento 2x",0,IF(C29="Esp. + Pel.",0,IF(C29="Pel. + Spun",'Custos insumos'!$D$19,IF(C29="Dublagem Cretone PES",'Custos insumos'!$F$25,IF(C29="Dublagem Barreira",'Custos insumos'!$D$22,)))))))))))</f>
        <v>0</v>
      </c>
      <c r="O29" s="18"/>
      <c r="P29" s="53">
        <f t="shared" si="10"/>
        <v>0.29028453731541631</v>
      </c>
      <c r="Q29" s="50">
        <f t="shared" si="11"/>
        <v>301.01500000000004</v>
      </c>
      <c r="R29" s="50" cm="1">
        <f t="array" ref="R29">_xlfn.IFS(C29="Calandra",(350),C29="Peletização",(421),C29="Dublagem Spun",(250),C29="Dublagem Cretone PES",(180),C29="Felpagem",(270/E29),C29="Emborrachamento",(200),C29="Espelhamento",(250),C29="Malha",(1),C29="Dublagem Cretone",(180),C29="Malha",(1),C29="Dublagem Spun - MO",250,C29="Dublagem Cretone - MO",180,C29="Dublagem Cretone PES - MO",180,C29="Espelhamento - MO",250,C29="Emborrachamento",100,C29="Malha",0,C29="Dublagem Barreira",100,C29="Pel. + Cal.",350,C29="Fel. + Pel. + Cal.",270,C29="Pel. + Spun",250,C29="Espelhamento - L: 1,45m",200,C29="Espelhamento - L: 1,65m",200,C29="Estampagem",100,C29="Fel. + Cal.",270,C29="Dublagem Juta",180,C29="Dublagem Cretone - MO (Juta)",180,C29="Dublagem Tapete",150,C29="Esp. + Pel.",200,C29="Espelhamento 2x",100)</f>
        <v>421</v>
      </c>
      <c r="S29" s="50">
        <f t="shared" si="12"/>
        <v>213.63499999999999</v>
      </c>
      <c r="T29" s="18" cm="1">
        <f t="array" ref="T29">_xlfn.IFS(C29="Calandra",0.4,C29="Felpagem",0.3,C29="Dublagem Spun",0.8,C29="Dublagem Cretone",0.8,C29="Dublagem Cretone PES",0.8,C29="Espelhamento",0.8,C29="Peletização",0.5,C29="Dublagem Spun - MO",0.8,C29="Dublagem Cretone - MO",0.8,C29="Dublagem Cretone PES - MO",0.8,C29="Espelhamento - MO",0.8,C29="Emborrachamento",1,C29="Malha",0,C29="Dublagem Barreira",1,C29="Pel. + Cal.",0.4,C29="Fel. + Pel. + Cal.",0.5,C29="Pel. + Spun",0.8,C29="Espelhamento - L: 1,45m",0.8,C29="Espelhamento - L: 1,65m",0.8,C29="Estampagem",1,C29="Fel. + Cal.",0.4,C29="Dublagem Juta",0.8,C29="Dublagem Cretone - MO (Juta)",0.8,C29="Dublagem Tapete",0.8,C29="Esp. + Pel.",0.8,C29="Espelhamento 2x",0.8)</f>
        <v>0.5</v>
      </c>
      <c r="U29" s="18">
        <v>2</v>
      </c>
      <c r="V29" s="18">
        <v>1</v>
      </c>
      <c r="W29" s="18"/>
      <c r="X29" s="18">
        <v>39.67</v>
      </c>
      <c r="Y29" s="18">
        <v>38.51</v>
      </c>
      <c r="Z29" s="18">
        <v>116.78</v>
      </c>
      <c r="AA29" s="18"/>
    </row>
    <row r="30" spans="1:27" ht="14.25" customHeight="1" x14ac:dyDescent="0.35">
      <c r="A30" s="18"/>
      <c r="B30" s="22" t="s">
        <v>90</v>
      </c>
      <c r="C30" s="23" t="s">
        <v>68</v>
      </c>
      <c r="D30" s="23"/>
      <c r="E30" s="24">
        <v>1</v>
      </c>
      <c r="F30" s="25">
        <v>22.9</v>
      </c>
      <c r="G30" s="25">
        <v>22.9</v>
      </c>
      <c r="H30" s="26" t="s">
        <v>246</v>
      </c>
      <c r="I30" s="27">
        <f t="shared" si="13"/>
        <v>22.9</v>
      </c>
      <c r="J30" s="28">
        <v>46036</v>
      </c>
      <c r="K30" s="29"/>
      <c r="L30" s="30">
        <f t="shared" si="14"/>
        <v>10.399999999999999</v>
      </c>
      <c r="M30" s="30">
        <f>IF(B30="Texion Textil",0,IF(C30="Malha",'Custos insumos'!$B$24,IF(C30="Dublagem Cretone",'Custos insumos'!$D$7,IF(C30="Dublagem Spun",'Custos insumos'!$D$4,IF(C30="Espelhamento",'Custos insumos'!$B$11,IF(C30="Espelhamento 2x",2*'Custos insumos'!$B$11,IF(C30="Esp. + Pel.",'Custos insumos'!$B$11,IF(C30="Pel. + Spun",'Custos insumos'!$D$4,IF(C30="Dublagem Cretone PES",'Custos insumos'!$D$7,IF(C30="Dublagem Barreira",'Custos insumos'!$D$11,IF(C30="Dublagem - MO + Filme",'Custos insumos'!$D$4,IF(C30="Dublagem Cretone HM50",'Custos insumos'!$D$26,IF(C30="Dublagem Cretone HM70",'Custos insumos'!$F$10,)))))))))))))</f>
        <v>12.5</v>
      </c>
      <c r="N30" s="30">
        <f>IF(B30="Texion Textil",0,IF(B30="Três Elos",0,IF(C30="Malha",0,IF(C30="Dublagem Cretone",'Custos insumos'!$D$23,IF(C30="Dublagem Spun",'Custos insumos'!$D$19,IF(C30="Espelhamento",0,IF(C30="Espelhamento 2x",0,IF(C30="Esp. + Pel.",0,IF(C30="Pel. + Spun",'Custos insumos'!$D$19,IF(C30="Dublagem Cretone PES",'Custos insumos'!$F$25,IF(C30="Dublagem Barreira",'Custos insumos'!$D$22,)))))))))))</f>
        <v>0</v>
      </c>
      <c r="O30" s="18"/>
      <c r="P30" s="53">
        <f t="shared" si="10"/>
        <v>-9.6903930131004365</v>
      </c>
      <c r="Q30" s="50">
        <f t="shared" si="11"/>
        <v>22.9</v>
      </c>
      <c r="R30" s="50" cm="1">
        <f t="array" ref="R30">_xlfn.IFS(C30="Calandra",(350),C30="Peletização",(421),C30="Dublagem Spun",(250),C30="Dublagem Cretone PES",(180),C30="Felpagem",(270/E30),C30="Emborrachamento",(200),C30="Espelhamento",(250),C30="Malha",(1),C30="Dublagem Cretone",(180),C30="Malha",(1),C30="Dublagem Spun - MO",250,C30="Dublagem Cretone - MO",180,C30="Dublagem Cretone PES - MO",180,C30="Espelhamento - MO",250,C30="Emborrachamento",100,C30="Malha",0,C30="Dublagem Barreira",100,C30="Pel. + Cal.",350,C30="Fel. + Pel. + Cal.",270,C30="Pel. + Spun",250,C30="Espelhamento - L: 1,45m",200,C30="Espelhamento - L: 1,65m",200,C30="Estampagem",100,C30="Fel. + Cal.",270,C30="Dublagem Juta",180,C30="Dublagem Cretone - MO (Juta)",180,C30="Dublagem Tapete",150,C30="Esp. + Pel.",200,C30="Espelhamento 2x",100)</f>
        <v>1</v>
      </c>
      <c r="S30" s="50">
        <f t="shared" si="12"/>
        <v>244.81</v>
      </c>
      <c r="T30" s="18" cm="1">
        <f t="array" ref="T30">_xlfn.IFS(C30="Calandra",0.4,C30="Felpagem",0.3,C30="Dublagem Spun",0.8,C30="Dublagem Cretone",0.8,C30="Dublagem Cretone PES",0.8,C30="Espelhamento",0.8,C30="Peletização",0.5,C30="Dublagem Spun - MO",0.8,C30="Dublagem Cretone - MO",0.8,C30="Dublagem Cretone PES - MO",0.8,C30="Espelhamento - MO",0.8,C30="Emborrachamento",1,C30="Malha",0,C30="Dublagem Barreira",1,C30="Pel. + Cal.",0.4,C30="Fel. + Pel. + Cal.",0.5,C30="Pel. + Spun",0.8,C30="Espelhamento - L: 1,45m",0.8,C30="Espelhamento - L: 1,65m",0.8,C30="Estampagem",1,C30="Fel. + Cal.",0.4,C30="Dublagem Juta",0.8,C30="Dublagem Cretone - MO (Juta)",0.8,C30="Dublagem Tapete",0.8,C30="Esp. + Pel.",0.8,C30="Espelhamento 2x",0.8)</f>
        <v>0</v>
      </c>
      <c r="U30" s="18">
        <v>3</v>
      </c>
      <c r="V30" s="18">
        <v>1</v>
      </c>
      <c r="W30" s="18"/>
      <c r="X30" s="18">
        <v>39.67</v>
      </c>
      <c r="Y30" s="18">
        <v>38.51</v>
      </c>
      <c r="Z30" s="18">
        <v>116.78</v>
      </c>
      <c r="AA30" s="18"/>
    </row>
    <row r="31" spans="1:27" ht="14.25" customHeight="1" x14ac:dyDescent="0.35">
      <c r="A31" s="18"/>
      <c r="B31" s="22" t="s">
        <v>529</v>
      </c>
      <c r="C31" s="23" t="s">
        <v>83</v>
      </c>
      <c r="D31" s="23" t="s">
        <v>500</v>
      </c>
      <c r="E31" s="24"/>
      <c r="F31" s="25"/>
      <c r="G31" s="25">
        <v>3.19</v>
      </c>
      <c r="H31" s="26"/>
      <c r="I31" s="27"/>
      <c r="J31" s="28"/>
      <c r="K31" s="29"/>
      <c r="L31" s="30">
        <v>1.99</v>
      </c>
      <c r="M31" s="30">
        <v>0.73</v>
      </c>
      <c r="N31" s="30">
        <v>0.47</v>
      </c>
      <c r="O31" s="18"/>
      <c r="P31" s="53"/>
      <c r="Q31" s="50"/>
      <c r="R31" s="50"/>
      <c r="S31" s="50"/>
      <c r="T31" s="18" t="e" cm="1">
        <f t="array" ref="T31">_xlfn.IFS(C31="Calandra",0.4,C31="Felpagem",0.3,C31="Dublagem Spun",0.8,C31="Dublagem Cretone",0.8,C31="Dublagem Cretone PES",0.8,C31="Espelhamento",0.8,C31="Peletização",0.5,C31="Dublagem Spun - MO",0.8,C31="Dublagem Cretone - MO",0.8,C31="Dublagem Cretone PES - MO",0.8,C31="Espelhamento - MO",0.8,C31="Emborrachamento",1,C31="Malha",0,C31="Dublagem Barreira",1,C31="Pel. + Cal.",0.4,C31="Fel. + Pel. + Cal.",0.5,C31="Pel. + Spun",0.8,C31="Espelhamento - L: 1,45m",0.8,C31="Espelhamento - L: 1,65m",0.8,C31="Estampagem",1,C31="Fel. + Cal.",0.4,C31="Dublagem Juta",0.8,C31="Dublagem Cretone - MO (Juta)",0.8,C31="Dublagem Tapete",0.8,C31="Esp. + Pel.",0.8,C31="Espelhamento 2x",0.8)</f>
        <v>#N/A</v>
      </c>
      <c r="U31" s="18"/>
      <c r="V31" s="18"/>
      <c r="W31" s="18"/>
      <c r="X31" s="18"/>
      <c r="Y31" s="18"/>
      <c r="Z31" s="18"/>
      <c r="AA31" s="18"/>
    </row>
    <row r="32" spans="1:27" ht="14.25" customHeight="1" x14ac:dyDescent="0.35">
      <c r="A32" s="18"/>
      <c r="B32" s="22" t="s">
        <v>478</v>
      </c>
      <c r="C32" s="23" t="s">
        <v>254</v>
      </c>
      <c r="D32" s="23"/>
      <c r="E32" s="24">
        <v>1</v>
      </c>
      <c r="F32" s="25">
        <v>0.6</v>
      </c>
      <c r="G32" s="25">
        <v>0.67</v>
      </c>
      <c r="H32" s="26" t="s">
        <v>243</v>
      </c>
      <c r="I32" s="27">
        <f t="shared" si="13"/>
        <v>0.67</v>
      </c>
      <c r="J32" s="28">
        <v>46036</v>
      </c>
      <c r="K32" s="29"/>
      <c r="L32" s="30">
        <f t="shared" si="14"/>
        <v>0.67</v>
      </c>
      <c r="M32" s="30">
        <f>IF(B32="Texion Textil",0,IF(C32="Malha",'Custos insumos'!$B$24,IF(C32="Dublagem Cretone",'Custos insumos'!$D$7,IF(C32="Dublagem Spun",'Custos insumos'!$D$4,IF(C32="Espelhamento",'Custos insumos'!$B$11,IF(C32="Espelhamento 2x",2*'Custos insumos'!$B$11,IF(C32="Esp. + Pel.",'Custos insumos'!$B$11,IF(C32="Pel. + Spun",'Custos insumos'!$D$4,IF(C32="Dublagem Cretone PES",'Custos insumos'!$D$7,IF(C32="Dublagem Barreira",'Custos insumos'!$D$11,IF(C32="Dublagem - MO + Filme",'Custos insumos'!$D$4,IF(C32="Dublagem Cretone HM50",'Custos insumos'!$D$26,IF(C32="Dublagem Cretone HM70",'Custos insumos'!$F$10,)))))))))))))</f>
        <v>0</v>
      </c>
      <c r="N32" s="30">
        <f>IF(B32="Texion Textil",0,IF(B32="Três Elos",0,IF(C32="Malha",0,IF(C32="Dublagem Cretone",'Custos insumos'!$D$23,IF(C32="Dublagem Spun",'Custos insumos'!$D$19,IF(C32="Espelhamento",0,IF(C32="Espelhamento 2x",0,IF(C32="Esp. + Pel.",0,IF(C32="Pel. + Spun",'Custos insumos'!$D$19,IF(C32="Dublagem Cretone PES",'Custos insumos'!$F$25,IF(C32="Dublagem Barreira",'Custos insumos'!$D$22,)))))))))))</f>
        <v>0</v>
      </c>
      <c r="O32" s="18"/>
      <c r="P32" s="53">
        <f t="shared" si="10"/>
        <v>7.5782200110558334E-2</v>
      </c>
      <c r="Q32" s="50">
        <f t="shared" si="11"/>
        <v>180.9</v>
      </c>
      <c r="R32" s="50" cm="1">
        <f t="array" ref="R32">_xlfn.IFS(C32="Calandra",(350),C32="Peletização",(421),C32="Dublagem Spun",(250),C32="Dublagem Cretone PES",(180),C32="Felpagem",(270/E32),C32="Emborrachamento",(200),C32="Espelhamento",(250),C32="Malha",(1),C32="Dublagem Cretone",(180),C32="Malha",(1),C32="Dublagem Spun - MO",250,C32="Dublagem Cretone - MO",180,C32="Dublagem Cretone PES - MO",180,C32="Espelhamento - MO",250,C32="Emborrachamento",100,C32="Malha",0,C32="Dublagem Barreira",100,C32="Pel. + Cal.",350,C32="Fel. + Pel. + Cal.",270,C32="Pel. + Spun",250,C32="Espelhamento - L: 1,45m",200,C32="Espelhamento - L: 1,65m",200,C32="Estampagem",100,C32="Fel. + Cal.",270,C32="Dublagem Juta",180,C32="Dublagem Cretone - MO (Juta)",180,C32="Dublagem Tapete",150,C32="Esp. + Pel.",200,C32="Espelhamento 2x",100)</f>
        <v>270</v>
      </c>
      <c r="S32" s="50">
        <f t="shared" si="12"/>
        <v>167.191</v>
      </c>
      <c r="T32" s="18" cm="1">
        <f t="array" ref="T32">_xlfn.IFS(C32="Calandra",0.4,C32="Felpagem",0.3,C32="Dublagem Spun",0.8,C32="Dublagem Cretone",0.8,C32="Dublagem Cretone PES",0.8,C32="Espelhamento",0.8,C32="Peletização",0.5,C32="Dublagem Spun - MO",0.8,C32="Dublagem Cretone - MO",0.8,C32="Dublagem Cretone PES - MO",0.8,C32="Espelhamento - MO",0.8,C32="Emborrachamento",1,C32="Malha",0,C32="Dublagem Barreira",1,C32="Pel. + Cal.",0.4,C32="Fel. + Pel. + Cal.",0.5,C32="Pel. + Spun",0.8,C32="Espelhamento - L: 1,45m",0.8,C32="Espelhamento - L: 1,65m",0.8,C32="Estampagem",1,C32="Fel. + Cal.",0.4,C32="Dublagem Juta",0.8,C32="Dublagem Cretone - MO (Juta)",0.8,C32="Dublagem Tapete",0.8,C32="Esp. + Pel.",0.8,C32="Espelhamento 2x",0.8)</f>
        <v>0.3</v>
      </c>
      <c r="U32" s="18">
        <v>1</v>
      </c>
      <c r="V32" s="18">
        <v>1</v>
      </c>
      <c r="W32" s="18"/>
      <c r="X32" s="18">
        <v>39.67</v>
      </c>
      <c r="Y32" s="18">
        <v>38.51</v>
      </c>
      <c r="Z32" s="18">
        <v>116.78</v>
      </c>
      <c r="AA32" s="18"/>
    </row>
    <row r="33" spans="1:27" ht="14.25" customHeight="1" x14ac:dyDescent="0.35">
      <c r="A33" s="18"/>
      <c r="B33" s="22" t="s">
        <v>478</v>
      </c>
      <c r="C33" s="23" t="s">
        <v>251</v>
      </c>
      <c r="D33" s="23" t="s">
        <v>477</v>
      </c>
      <c r="E33" s="24">
        <v>1</v>
      </c>
      <c r="F33" s="25">
        <v>4.6500000000000004</v>
      </c>
      <c r="G33" s="25">
        <v>5.1150000000000011</v>
      </c>
      <c r="H33" s="26" t="s">
        <v>243</v>
      </c>
      <c r="I33" s="27">
        <f t="shared" si="13"/>
        <v>5.1150000000000011</v>
      </c>
      <c r="J33" s="28">
        <v>46036</v>
      </c>
      <c r="K33" s="29"/>
      <c r="L33" s="30">
        <f t="shared" si="14"/>
        <v>3.1530000000000014</v>
      </c>
      <c r="M33" s="30">
        <f>IF(B33="Texion Textil",0,IF(C33="Malha",'Custos insumos'!$B$24,IF(C33="Dublagem Cretone",'Custos insumos'!$D$7,IF(C33="Dublagem Spun",'Custos insumos'!$D$4,IF(C33="Espelhamento",'Custos insumos'!$B$11,IF(C33="Espelhamento 2x",2*'Custos insumos'!$B$11,IF(C33="Esp. + Pel.",'Custos insumos'!$B$11,IF(C33="Pel. + Spun",'Custos insumos'!$D$4,IF(C33="Dublagem Cretone PES",'Custos insumos'!$D$7,IF(C33="Dublagem Barreira",'Custos insumos'!$D$11,IF(C33="Dublagem - MO + Filme",'Custos insumos'!$D$4,IF(C33="Dublagem Cretone HM50",'Custos insumos'!$D$26,IF(C33="Dublagem Cretone HM70",'Custos insumos'!$F$10,)))))))))))))</f>
        <v>1.962</v>
      </c>
      <c r="N33" s="30"/>
      <c r="O33" s="18"/>
      <c r="P33" s="53">
        <f t="shared" si="10"/>
        <v>0.41328771586836122</v>
      </c>
      <c r="Q33" s="50">
        <f t="shared" si="11"/>
        <v>920.70000000000016</v>
      </c>
      <c r="R33" s="50" cm="1">
        <f t="array" ref="R33">_xlfn.IFS(C33="Calandra",(350),C33="Peletização",(421),C33="Dublagem Spun",(250),C33="Dublagem Cretone PES",(180),C33="Felpagem",(270/E33),C33="Emborrachamento",(200),C33="Espelhamento",(250),C33="Malha",(1),C33="Dublagem Cretone",(180),C33="Malha",(1),C33="Dublagem Spun - MO",250,C33="Dublagem Cretone - MO",180,C33="Dublagem Cretone PES - MO",180,C33="Espelhamento - MO",250,C33="Emborrachamento",100,C33="Malha",0,C33="Dublagem Barreira",100,C33="Pel. + Cal.",350,C33="Fel. + Pel. + Cal.",270,C33="Pel. + Spun",250,C33="Espelhamento - L: 1,45m",200,C33="Espelhamento - L: 1,65m",200,C33="Estampagem",100,C33="Fel. + Cal.",270,C33="Dublagem Juta",180,C33="Dublagem Cretone - MO (Juta)",180,C33="Dublagem Tapete",150,C33="Esp. + Pel.",200,C33="Espelhamento 2x",100)</f>
        <v>180</v>
      </c>
      <c r="S33" s="50">
        <f t="shared" si="12"/>
        <v>540.18599999999992</v>
      </c>
      <c r="T33" s="18" cm="1">
        <f t="array" ref="T33">_xlfn.IFS(C33="Calandra",0.4,C33="Felpagem",0.3,C33="Dublagem Spun",0.8,C33="Dublagem Cretone",0.8,C33="Dublagem Cretone PES",0.8,C33="Espelhamento",0.8,C33="Peletização",0.5,C33="Dublagem Spun - MO",0.8,C33="Dublagem Cretone - MO",0.8,C33="Dublagem Cretone PES - MO",0.8,C33="Espelhamento - MO",0.8,C33="Emborrachamento",1,C33="Malha",0,C33="Dublagem Barreira",1,C33="Pel. + Cal.",0.4,C33="Fel. + Pel. + Cal.",0.5,C33="Pel. + Spun",0.8,C33="Espelhamento - L: 1,45m",0.8,C33="Espelhamento - L: 1,65m",0.8,C33="Estampagem",1,C33="Fel. + Cal.",0.4,C33="Dublagem Juta",0.8,C33="Dublagem Cretone - MO (Juta)",0.8,C33="Dublagem Tapete",0.8,C33="Esp. + Pel.",0.8,C33="Espelhamento 2x",0.8)</f>
        <v>0.8</v>
      </c>
      <c r="U33" s="18">
        <v>1</v>
      </c>
      <c r="V33" s="18">
        <v>1</v>
      </c>
      <c r="W33" s="18"/>
      <c r="X33" s="18">
        <v>39.67</v>
      </c>
      <c r="Y33" s="18">
        <v>38.51</v>
      </c>
      <c r="Z33" s="18">
        <v>116.78</v>
      </c>
      <c r="AA33" s="18"/>
    </row>
    <row r="34" spans="1:27" ht="14.25" customHeight="1" x14ac:dyDescent="0.35">
      <c r="A34" s="18"/>
      <c r="B34" s="22" t="s">
        <v>478</v>
      </c>
      <c r="C34" s="23" t="s">
        <v>144</v>
      </c>
      <c r="D34" s="23"/>
      <c r="E34" s="24">
        <v>1</v>
      </c>
      <c r="F34" s="25">
        <v>0.7</v>
      </c>
      <c r="G34" s="25">
        <v>0.7</v>
      </c>
      <c r="H34" s="26" t="s">
        <v>243</v>
      </c>
      <c r="I34" s="27">
        <f t="shared" si="13"/>
        <v>0.7</v>
      </c>
      <c r="J34" s="28">
        <v>46036</v>
      </c>
      <c r="K34" s="29"/>
      <c r="L34" s="30">
        <f t="shared" si="14"/>
        <v>0.7</v>
      </c>
      <c r="M34" s="30">
        <f>IF(B34="Texion Textil",0,IF(C34="Malha",'Custos insumos'!$B$24,IF(C34="Dublagem Cretone",'Custos insumos'!$D$7,IF(C34="Dublagem Spun",'Custos insumos'!$D$4,IF(C34="Espelhamento",'Custos insumos'!$B$11,IF(C34="Espelhamento 2x",2*'Custos insumos'!$B$11,IF(C34="Esp. + Pel.",'Custos insumos'!$B$11,IF(C34="Pel. + Spun",'Custos insumos'!$D$4,IF(C34="Dublagem Cretone PES",'Custos insumos'!$D$7,IF(C34="Dublagem Barreira",'Custos insumos'!$D$11,IF(C34="Dublagem - MO + Filme",'Custos insumos'!$D$4,IF(C34="Dublagem Cretone HM50",'Custos insumos'!$D$26,IF(C34="Dublagem Cretone HM70",'Custos insumos'!$F$10,)))))))))))))</f>
        <v>0</v>
      </c>
      <c r="N34" s="30">
        <f>IF(B34="Texion Textil",0,IF(B34="Três Elos",0,IF(C34="Malha",0,IF(C34="Dublagem Cretone",'Custos insumos'!$D$23,IF(C34="Dublagem Spun",'Custos insumos'!$D$19,IF(C34="Espelhamento",0,IF(C34="Espelhamento 2x",0,IF(C34="Esp. + Pel.",0,IF(C34="Pel. + Spun",'Custos insumos'!$D$19,IF(C34="Dublagem Cretone PES",'Custos insumos'!$F$25,IF(C34="Dublagem Barreira",'Custos insumos'!$D$22,)))))))))))</f>
        <v>0</v>
      </c>
      <c r="O34" s="18"/>
      <c r="P34" s="53">
        <f t="shared" si="10"/>
        <v>0.40575161180861891</v>
      </c>
      <c r="Q34" s="50">
        <f t="shared" si="11"/>
        <v>294.7</v>
      </c>
      <c r="R34" s="50" cm="1">
        <f t="array" ref="R34">_xlfn.IFS(C34="Calandra",(350),C34="Peletização",(421),C34="Dublagem Spun",(250),C34="Dublagem Cretone PES",(180),C34="Felpagem",(270/E34),C34="Emborrachamento",(200),C34="Espelhamento",(250),C34="Malha",(1),C34="Dublagem Cretone",(180),C34="Malha",(1),C34="Dublagem Spun - MO",250,C34="Dublagem Cretone - MO",180,C34="Dublagem Cretone PES - MO",180,C34="Espelhamento - MO",250,C34="Emborrachamento",100,C34="Malha",0,C34="Dublagem Barreira",100,C34="Pel. + Cal.",350,C34="Fel. + Pel. + Cal.",270,C34="Pel. + Spun",250,C34="Espelhamento - L: 1,45m",200,C34="Espelhamento - L: 1,65m",200,C34="Estampagem",100,C34="Fel. + Cal.",270,C34="Dublagem Juta",180,C34="Dublagem Cretone - MO (Juta)",180,C34="Dublagem Tapete",150,C34="Esp. + Pel.",200,C34="Espelhamento 2x",100)</f>
        <v>421</v>
      </c>
      <c r="S34" s="50">
        <f t="shared" si="12"/>
        <v>175.125</v>
      </c>
      <c r="T34" s="18" cm="1">
        <f t="array" ref="T34">_xlfn.IFS(C34="Calandra",0.4,C34="Felpagem",0.3,C34="Dublagem Spun",0.8,C34="Dublagem Cretone",0.8,C34="Dublagem Cretone PES",0.8,C34="Espelhamento",0.8,C34="Peletização",0.5,C34="Dublagem Spun - MO",0.8,C34="Dublagem Cretone - MO",0.8,C34="Dublagem Cretone PES - MO",0.8,C34="Espelhamento - MO",0.8,C34="Emborrachamento",1,C34="Malha",0,C34="Dublagem Barreira",1,C34="Pel. + Cal.",0.4,C34="Fel. + Pel. + Cal.",0.5,C34="Pel. + Spun",0.8,C34="Espelhamento - L: 1,45m",0.8,C34="Espelhamento - L: 1,65m",0.8,C34="Estampagem",1,C34="Fel. + Cal.",0.4,C34="Dublagem Juta",0.8,C34="Dublagem Cretone - MO (Juta)",0.8,C34="Dublagem Tapete",0.8,C34="Esp. + Pel.",0.8,C34="Espelhamento 2x",0.8)</f>
        <v>0.5</v>
      </c>
      <c r="U34" s="18">
        <v>1</v>
      </c>
      <c r="V34" s="18">
        <v>1</v>
      </c>
      <c r="W34" s="18"/>
      <c r="X34" s="18">
        <v>39.67</v>
      </c>
      <c r="Y34" s="18">
        <v>38.51</v>
      </c>
      <c r="Z34" s="18">
        <v>116.78</v>
      </c>
      <c r="AA34" s="18"/>
    </row>
    <row r="35" spans="1:27" ht="14.25" customHeight="1" x14ac:dyDescent="0.35">
      <c r="A35" s="18"/>
      <c r="B35" s="22" t="s">
        <v>478</v>
      </c>
      <c r="C35" s="23" t="s">
        <v>142</v>
      </c>
      <c r="D35" s="23"/>
      <c r="E35" s="24"/>
      <c r="F35" s="25"/>
      <c r="G35" s="25">
        <v>0.7</v>
      </c>
      <c r="H35" s="26"/>
      <c r="I35" s="27"/>
      <c r="J35" s="28"/>
      <c r="K35" s="29"/>
      <c r="L35" s="30">
        <v>0.7</v>
      </c>
      <c r="M35" s="30" t="s">
        <v>527</v>
      </c>
      <c r="N35" s="30" t="s">
        <v>528</v>
      </c>
      <c r="O35" s="18"/>
      <c r="P35" s="53"/>
      <c r="Q35" s="50"/>
      <c r="R35" s="50"/>
      <c r="S35" s="50"/>
      <c r="T35" s="18" cm="1">
        <f t="array" ref="T35">_xlfn.IFS(C35="Calandra",0.4,C35="Felpagem",0.3,C35="Dublagem Spun",0.8,C35="Dublagem Cretone",0.8,C35="Dublagem Cretone PES",0.8,C35="Espelhamento",0.8,C35="Peletização",0.5,C35="Dublagem Spun - MO",0.8,C35="Dublagem Cretone - MO",0.8,C35="Dublagem Cretone PES - MO",0.8,C35="Espelhamento - MO",0.8,C35="Emborrachamento",1,C35="Malha",0,C35="Dublagem Barreira",1,C35="Pel. + Cal.",0.4,C35="Fel. + Pel. + Cal.",0.5,C35="Pel. + Spun",0.8,C35="Espelhamento - L: 1,45m",0.8,C35="Espelhamento - L: 1,65m",0.8,C35="Estampagem",1,C35="Fel. + Cal.",0.4,C35="Dublagem Juta",0.8,C35="Dublagem Cretone - MO (Juta)",0.8,C35="Dublagem Tapete",0.8,C35="Esp. + Pel.",0.8,C35="Espelhamento 2x",0.8)</f>
        <v>0.4</v>
      </c>
      <c r="U35" s="18"/>
      <c r="V35" s="18"/>
      <c r="W35" s="18"/>
      <c r="X35" s="18"/>
      <c r="Y35" s="18"/>
      <c r="Z35" s="18"/>
      <c r="AA35" s="18"/>
    </row>
    <row r="36" spans="1:27" ht="14.25" customHeight="1" x14ac:dyDescent="0.35">
      <c r="A36" s="18"/>
      <c r="B36" s="22" t="s">
        <v>356</v>
      </c>
      <c r="C36" s="23" t="s">
        <v>357</v>
      </c>
      <c r="D36" s="23" t="s">
        <v>483</v>
      </c>
      <c r="E36" s="24">
        <v>1</v>
      </c>
      <c r="F36" s="25">
        <v>2.4</v>
      </c>
      <c r="G36" s="25">
        <v>2.64</v>
      </c>
      <c r="H36" s="26" t="s">
        <v>243</v>
      </c>
      <c r="I36" s="27">
        <f t="shared" si="13"/>
        <v>2.64</v>
      </c>
      <c r="J36" s="28">
        <v>46036</v>
      </c>
      <c r="K36" s="29"/>
      <c r="L36" s="30">
        <f t="shared" si="14"/>
        <v>1.7352000000000003</v>
      </c>
      <c r="M36" s="30">
        <f>'Custos insumos'!H11</f>
        <v>0.90479999999999994</v>
      </c>
      <c r="N36" s="30">
        <f>IF(B36="Texion Textil",0,IF(B36="Três Elos",0,IF(C36="Malha",0,IF(C36="Dublagem Cretone",'Custos insumos'!$D$23,IF(C36="Dublagem Spun",'Custos insumos'!$D$19,IF(C36="Espelhamento",0,IF(C36="Espelhamento 2x",0,IF(C36="Esp. + Pel.",0,IF(C36="Pel. + Spun",'Custos insumos'!$D$19,IF(C36="Dublagem Cretone PES",'Custos insumos'!$F$25,IF(C36="Dublagem Barreira",'Custos insumos'!$D$22,)))))))))))</f>
        <v>0</v>
      </c>
      <c r="O36" s="18"/>
      <c r="P36" s="53">
        <f t="shared" si="10"/>
        <v>0.30305681818181818</v>
      </c>
      <c r="Q36" s="50">
        <f t="shared" si="11"/>
        <v>528</v>
      </c>
      <c r="R36" s="50" cm="1">
        <f t="array" ref="R36">_xlfn.IFS(C36="Calandra",(350),C36="Peletização",(421),C36="Dublagem Spun",(250),C36="Dublagem Cretone PES",(180),C36="Felpagem",(270/E36),C36="Emborrachamento",(200),C36="Espelhamento",(250),C36="Malha",(1),C36="Dublagem Cretone",(180),C36="Malha",(1),C36="Dublagem Spun - MO",250,C36="Dublagem Cretone - MO",180,C36="Dublagem Cretone PES - MO",180,C36="Espelhamento - MO",250,C36="Emborrachamento",100,C36="Malha",0,C36="Dublagem Barreira",100,C36="Pel. + Cal.",350,C36="Fel. + Pel. + Cal.",270,C36="Pel. + Spun",250,C36="Espelhamento - L: 1,45m",200,C36="Espelhamento - L: 1,65m",200,C36="Estampagem",100,C36="Fel. + Cal.",270,C36="Dublagem Juta",180,C36="Dublagem Cretone - MO (Juta)",180,C36="Dublagem Tapete",150,C36="Esp. + Pel.",200,C36="Espelhamento 2x",100)</f>
        <v>200</v>
      </c>
      <c r="S36" s="50">
        <f t="shared" si="12"/>
        <v>367.98599999999999</v>
      </c>
      <c r="T36" s="18" cm="1">
        <f t="array" ref="T36">_xlfn.IFS(C36="Calandra",0.4,C36="Felpagem",0.3,C36="Dublagem Spun",0.8,C36="Dublagem Cretone",0.8,C36="Dublagem Cretone PES",0.8,C36="Espelhamento",0.8,C36="Peletização",0.5,C36="Dublagem Spun - MO",0.8,C36="Dublagem Cretone - MO",0.8,C36="Dublagem Cretone PES - MO",0.8,C36="Espelhamento - MO",0.8,C36="Emborrachamento",1,C36="Malha",0,C36="Dublagem Barreira",1,C36="Pel. + Cal.",0.4,C36="Fel. + Pel. + Cal.",0.5,C36="Pel. + Spun",0.8,C36="Espelhamento - L: 1,45m",0.8,C36="Espelhamento - L: 1,65m",0.8,C36="Estampagem",1,C36="Fel. + Cal.",0.4,C36="Dublagem Juta",0.8,C36="Dublagem Cretone - MO (Juta)",0.8,C36="Dublagem Tapete",0.8,C36="Esp. + Pel.",0.8,C36="Espelhamento 2x",0.8)</f>
        <v>0.8</v>
      </c>
      <c r="U36" s="18">
        <v>1</v>
      </c>
      <c r="V36" s="18">
        <v>1</v>
      </c>
      <c r="W36" s="18"/>
      <c r="X36" s="18">
        <v>39.67</v>
      </c>
      <c r="Y36" s="18">
        <v>38.51</v>
      </c>
      <c r="Z36" s="18">
        <v>116.78</v>
      </c>
      <c r="AA36" s="18"/>
    </row>
    <row r="37" spans="1:27" ht="14.25" customHeight="1" x14ac:dyDescent="0.35">
      <c r="A37" s="18"/>
      <c r="B37" s="22" t="s">
        <v>356</v>
      </c>
      <c r="C37" s="23" t="s">
        <v>358</v>
      </c>
      <c r="D37" s="23" t="s">
        <v>509</v>
      </c>
      <c r="E37" s="24">
        <v>1</v>
      </c>
      <c r="F37" s="25">
        <v>2.5299999999999998</v>
      </c>
      <c r="G37" s="25">
        <v>2.7829999999999999</v>
      </c>
      <c r="H37" s="26" t="s">
        <v>243</v>
      </c>
      <c r="I37" s="27">
        <f t="shared" si="13"/>
        <v>2.7829999999999999</v>
      </c>
      <c r="J37" s="28">
        <v>46036</v>
      </c>
      <c r="K37" s="29"/>
      <c r="L37" s="30">
        <f t="shared" si="14"/>
        <v>1.7534000000000001</v>
      </c>
      <c r="M37" s="30">
        <f>'Custos insumos'!H13</f>
        <v>1.0295999999999998</v>
      </c>
      <c r="N37" s="30">
        <f>IF(B37="Texion Textil",0,IF(B37="Três Elos",0,IF(C37="Malha",0,IF(C37="Dublagem Cretone",'Custos insumos'!$D$23,IF(C37="Dublagem Spun",'Custos insumos'!$D$19,IF(C37="Espelhamento",0,IF(C37="Espelhamento 2x",0,IF(C37="Esp. + Pel.",0,IF(C37="Pel. + Spun",'Custos insumos'!$D$19,IF(C37="Dublagem Cretone PES",'Custos insumos'!$F$25,IF(C37="Dublagem Barreira",'Custos insumos'!$D$22,)))))))))))</f>
        <v>0</v>
      </c>
      <c r="O37" s="18"/>
      <c r="P37" s="53">
        <f t="shared" si="10"/>
        <v>0.29402443406395984</v>
      </c>
      <c r="Q37" s="50">
        <f t="shared" si="11"/>
        <v>556.6</v>
      </c>
      <c r="R37" s="50" cm="1">
        <f t="array" ref="R37">_xlfn.IFS(C37="Calandra",(350),C37="Peletização",(421),C37="Dublagem Spun",(250),C37="Dublagem Cretone PES",(180),C37="Felpagem",(270/E37),C37="Emborrachamento",(200),C37="Espelhamento",(250),C37="Malha",(1),C37="Dublagem Cretone",(180),C37="Malha",(1),C37="Dublagem Spun - MO",250,C37="Dublagem Cretone - MO",180,C37="Dublagem Cretone PES - MO",180,C37="Espelhamento - MO",250,C37="Emborrachamento",100,C37="Malha",0,C37="Dublagem Barreira",100,C37="Pel. + Cal.",350,C37="Fel. + Pel. + Cal.",270,C37="Pel. + Spun",250,C37="Espelhamento - L: 1,45m",200,C37="Espelhamento - L: 1,65m",200,C37="Estampagem",100,C37="Fel. + Cal.",270,C37="Dublagem Juta",180,C37="Dublagem Cretone - MO (Juta)",180,C37="Dublagem Tapete",150,C37="Esp. + Pel.",200,C37="Espelhamento 2x",100)</f>
        <v>200</v>
      </c>
      <c r="S37" s="50">
        <f t="shared" si="12"/>
        <v>392.94599999999997</v>
      </c>
      <c r="T37" s="18" cm="1">
        <f t="array" ref="T37">_xlfn.IFS(C37="Calandra",0.4,C37="Felpagem",0.3,C37="Dublagem Spun",0.8,C37="Dublagem Cretone",0.8,C37="Dublagem Cretone PES",0.8,C37="Espelhamento",0.8,C37="Peletização",0.5,C37="Dublagem Spun - MO",0.8,C37="Dublagem Cretone - MO",0.8,C37="Dublagem Cretone PES - MO",0.8,C37="Espelhamento - MO",0.8,C37="Emborrachamento",1,C37="Malha",0,C37="Dublagem Barreira",1,C37="Pel. + Cal.",0.4,C37="Fel. + Pel. + Cal.",0.5,C37="Pel. + Spun",0.8,C37="Espelhamento - L: 1,45m",0.8,C37="Espelhamento - L: 1,65m",0.8,C37="Estampagem",1,C37="Fel. + Cal.",0.4,C37="Dublagem Juta",0.8,C37="Dublagem Cretone - MO (Juta)",0.8,C37="Dublagem Tapete",0.8,C37="Esp. + Pel.",0.8,C37="Espelhamento 2x",0.8)</f>
        <v>0.8</v>
      </c>
      <c r="U37" s="18">
        <v>1</v>
      </c>
      <c r="V37" s="18">
        <v>1</v>
      </c>
      <c r="W37" s="18"/>
      <c r="X37" s="18">
        <v>39.67</v>
      </c>
      <c r="Y37" s="18">
        <v>38.51</v>
      </c>
      <c r="Z37" s="18">
        <v>116.78</v>
      </c>
      <c r="AA37" s="18"/>
    </row>
    <row r="38" spans="1:27" ht="14.25" customHeight="1" x14ac:dyDescent="0.35">
      <c r="A38" s="18"/>
      <c r="B38" s="22" t="s">
        <v>356</v>
      </c>
      <c r="C38" s="23" t="s">
        <v>359</v>
      </c>
      <c r="D38" s="23"/>
      <c r="E38" s="24">
        <v>1</v>
      </c>
      <c r="F38" s="25">
        <v>1.35</v>
      </c>
      <c r="G38" s="25">
        <v>1.4850000000000003</v>
      </c>
      <c r="H38" s="26" t="s">
        <v>243</v>
      </c>
      <c r="I38" s="27"/>
      <c r="J38" s="28">
        <v>46036</v>
      </c>
      <c r="K38" s="29"/>
      <c r="L38" s="30">
        <f t="shared" si="14"/>
        <v>1.4850000000000003</v>
      </c>
      <c r="M38" s="30">
        <f>'Custos insumos'!H16</f>
        <v>0</v>
      </c>
      <c r="N38" s="30">
        <f>IF(B38="Texion Textil",0,IF(B38="Três Elos",0,IF(C38="Malha",0,IF(C38="Dublagem Cretone",'Custos insumos'!$D$23,IF(C38="Dublagem Spun",'Custos insumos'!$D$19,IF(C38="Espelhamento",0,IF(C38="Espelhamento 2x",0,IF(C38="Esp. + Pel.",0,IF(C38="Pel. + Spun",'Custos insumos'!$D$19,IF(C38="Dublagem Cretone PES",'Custos insumos'!$F$25,IF(C38="Dublagem Barreira",'Custos insumos'!$D$22,)))))))))))</f>
        <v>0</v>
      </c>
      <c r="O38" s="18"/>
      <c r="P38" s="53">
        <f t="shared" si="10"/>
        <v>-0.31286195286195267</v>
      </c>
      <c r="Q38" s="50">
        <f t="shared" si="11"/>
        <v>148.50000000000003</v>
      </c>
      <c r="R38" s="50" cm="1">
        <f t="array" ref="R38">_xlfn.IFS(C38="Calandra",(350),C38="Peletização",(421),C38="Dublagem Spun",(250),C38="Dublagem Cretone PES",(180),C38="Felpagem",(270/E38),C38="Emborrachamento",(200),C38="Espelhamento",(250),C38="Malha",(1),C38="Dublagem Cretone",(180),C38="Malha",(1),C38="Dublagem Spun - MO",250,C38="Dublagem Cretone - MO",180,C38="Dublagem Cretone PES - MO",180,C38="Espelhamento - MO",250,C38="Emborrachamento",100,C38="Malha",0,C38="Dublagem Barreira",100,C38="Pel. + Cal.",350,C38="Fel. + Pel. + Cal.",270,C38="Pel. + Spun",250,C38="Espelhamento - L: 1,45m",200,C38="Espelhamento - L: 1,65m",200,C38="Estampagem",100,C38="Fel. + Cal.",270,C38="Dublagem Juta",180,C38="Dublagem Cretone - MO (Juta)",180,C38="Dublagem Tapete",150,C38="Esp. + Pel.",200,C38="Espelhamento 2x",100)</f>
        <v>100</v>
      </c>
      <c r="S38" s="50">
        <f t="shared" si="12"/>
        <v>194.96</v>
      </c>
      <c r="T38" s="18" cm="1">
        <f t="array" ref="T38">_xlfn.IFS(C38="Calandra",0.4,C38="Felpagem",0.3,C38="Dublagem Spun",0.8,C38="Dublagem Cretone",0.8,C38="Dublagem Cretone PES",0.8,C38="Espelhamento",0.8,C38="Peletização",0.5,C38="Dublagem Spun - MO",0.8,C38="Dublagem Cretone - MO",0.8,C38="Dublagem Cretone PES - MO",0.8,C38="Espelhamento - MO",0.8,C38="Emborrachamento",1,C38="Malha",0,C38="Dublagem Barreira",1,C38="Pel. + Cal.",0.4,C38="Fel. + Pel. + Cal.",0.5,C38="Pel. + Spun",0.8,C38="Espelhamento - L: 1,45m",0.8,C38="Espelhamento - L: 1,65m",0.8,C38="Estampagem",1,C38="Fel. + Cal.",0.4,C38="Dublagem Juta",0.8,C38="Dublagem Cretone - MO (Juta)",0.8,C38="Dublagem Tapete",0.8,C38="Esp. + Pel.",0.8,C38="Espelhamento 2x",0.8)</f>
        <v>1</v>
      </c>
      <c r="U38" s="18">
        <v>1</v>
      </c>
      <c r="V38" s="18">
        <v>1</v>
      </c>
      <c r="W38" s="18"/>
      <c r="X38" s="18">
        <v>39.67</v>
      </c>
      <c r="Y38" s="18">
        <v>38.51</v>
      </c>
      <c r="Z38" s="18">
        <v>116.78</v>
      </c>
      <c r="AA38" s="18"/>
    </row>
    <row r="39" spans="1:27" ht="14" customHeight="1" x14ac:dyDescent="0.35">
      <c r="A39" s="18"/>
      <c r="B39" s="22" t="s">
        <v>92</v>
      </c>
      <c r="C39" s="23" t="s">
        <v>267</v>
      </c>
      <c r="D39" s="23" t="s">
        <v>268</v>
      </c>
      <c r="E39" s="24">
        <v>4</v>
      </c>
      <c r="F39" s="25">
        <v>4.2</v>
      </c>
      <c r="G39" s="25">
        <v>4.2</v>
      </c>
      <c r="H39" s="26" t="s">
        <v>243</v>
      </c>
      <c r="I39" s="27">
        <f t="shared" ref="I39:I59" si="15">G39/E39</f>
        <v>1.05</v>
      </c>
      <c r="J39" s="28">
        <v>46036</v>
      </c>
      <c r="K39" s="29" t="s">
        <v>269</v>
      </c>
      <c r="L39" s="30">
        <f t="shared" si="14"/>
        <v>4.2</v>
      </c>
      <c r="M39" s="30">
        <f>IF(B39="Texion Textil",0,IF(C39="Malha",'Custos insumos'!$B$24,IF(C39="Dublagem Cretone",'Custos insumos'!$D$7,IF(C39="Dublagem Spun",'Custos insumos'!$D$4,IF(C39="Espelhamento",'Custos insumos'!$B$11,IF(C39="Espelhamento 2x",2*'Custos insumos'!$B$11,IF(C39="Esp. + Pel.",'Custos insumos'!$B$11,IF(C39="Pel. + Spun",'Custos insumos'!$D$4,IF(C39="Dublagem Cretone PES",'Custos insumos'!$D$7,IF(C39="Dublagem Barreira",'Custos insumos'!$D$11,IF(C39="Dublagem - MO + Filme",'Custos insumos'!$D$4,IF(C39="Dublagem Cretone HM50",'Custos insumos'!$D$26,IF(C39="Dublagem Cretone HM70",'Custos insumos'!$F$10,)))))))))))))</f>
        <v>0</v>
      </c>
      <c r="N39" s="30">
        <f>IF(B39="Texion Textil",0,IF(B39="Três Elos",0,IF(C39="Malha",0,IF(C39="Dublagem Cretone",'Custos insumos'!$D$23,IF(C39="Dublagem Spun",'Custos insumos'!$D$19,IF(C39="Espelhamento",0,IF(C39="Espelhamento 2x",0,IF(C39="Esp. + Pel.",0,IF(C39="Pel. + Spun",'Custos insumos'!$D$19,IF(C39="Dublagem Cretone PES",'Custos insumos'!$F$25,IF(C39="Dublagem Barreira",'Custos insumos'!$D$22,)))))))))))</f>
        <v>0</v>
      </c>
      <c r="O39" s="18"/>
      <c r="P39" s="53">
        <f t="shared" si="10"/>
        <v>0.84906701940035267</v>
      </c>
      <c r="Q39" s="50">
        <f t="shared" si="11"/>
        <v>1134</v>
      </c>
      <c r="R39" s="50" cm="1">
        <f t="array" ref="R39">_xlfn.IFS(C39="Calandra",(350),C39="Peletização",(421),C39="Dublagem Spun",(250),C39="Dublagem Cretone PES",(180),C39="Felpagem",(270/E39),C39="Emborrachamento",(200),C39="Espelhamento",(250),C39="Malha",(1),C39="Dublagem Cretone",(180),C39="Malha",(1),C39="Dublagem Spun - MO",250,C39="Dublagem Cretone - MO",180,C39="Dublagem Cretone PES - MO",180,C39="Espelhamento - MO",250,C39="Emborrachamento",100,C39="Malha",0,C39="Dublagem Barreira",100,C39="Pel. + Cal.",350,C39="Fel. + Pel. + Cal.",270,C39="Pel. + Spun",250,C39="Espelhamento - L: 1,45m",200,C39="Espelhamento - L: 1,65m",200,C39="Estampagem",100,C39="Fel. + Cal.",270,C39="Dublagem Juta",180,C39="Dublagem Cretone - MO (Juta)",180,C39="Dublagem Tapete",150,C39="Esp. + Pel.",200,C39="Espelhamento 2x",100)</f>
        <v>270</v>
      </c>
      <c r="S39" s="50">
        <f t="shared" si="12"/>
        <v>171.15800000000002</v>
      </c>
      <c r="T39" s="18" cm="1">
        <f t="array" ref="T39">_xlfn.IFS(C39="Calandra",0.4,C39="Felpagem",0.3,C39="Dublagem Spun",0.8,C39="Dublagem Cretone",0.8,C39="Dublagem Cretone PES",0.8,C39="Espelhamento",0.8,C39="Peletização",0.5,C39="Dublagem Spun - MO",0.8,C39="Dublagem Cretone - MO",0.8,C39="Dublagem Cretone PES - MO",0.8,C39="Espelhamento - MO",0.8,C39="Emborrachamento",1,C39="Malha",0,C39="Dublagem Barreira",1,C39="Pel. + Cal.",0.4,C39="Fel. + Pel. + Cal.",0.5,C39="Pel. + Spun",0.8,C39="Espelhamento - L: 1,45m",0.8,C39="Espelhamento - L: 1,65m",0.8,C39="Estampagem",1,C39="Fel. + Cal.",0.4,C39="Dublagem Juta",0.8,C39="Dublagem Cretone - MO (Juta)",0.8,C39="Dublagem Tapete",0.8,C39="Esp. + Pel.",0.8,C39="Espelhamento 2x",0.8)</f>
        <v>0.4</v>
      </c>
      <c r="U39" s="18">
        <v>1</v>
      </c>
      <c r="V39" s="18">
        <v>1</v>
      </c>
      <c r="W39" s="18"/>
      <c r="X39" s="18">
        <v>39.67</v>
      </c>
      <c r="Y39" s="18">
        <v>38.51</v>
      </c>
      <c r="Z39" s="18">
        <v>116.78</v>
      </c>
      <c r="AA39" s="18"/>
    </row>
    <row r="40" spans="1:27" ht="14.25" customHeight="1" x14ac:dyDescent="0.35">
      <c r="A40" s="18"/>
      <c r="B40" s="22" t="s">
        <v>92</v>
      </c>
      <c r="C40" s="23" t="s">
        <v>525</v>
      </c>
      <c r="D40" s="23" t="s">
        <v>526</v>
      </c>
      <c r="E40" s="24">
        <v>1</v>
      </c>
      <c r="F40" s="25">
        <v>2.7</v>
      </c>
      <c r="G40" s="25">
        <v>2.1</v>
      </c>
      <c r="H40" s="26" t="s">
        <v>243</v>
      </c>
      <c r="I40" s="27">
        <f t="shared" ref="I40" si="16">G40/E40</f>
        <v>2.1</v>
      </c>
      <c r="J40" s="28">
        <v>46036</v>
      </c>
      <c r="K40" s="29" t="s">
        <v>248</v>
      </c>
      <c r="L40" s="30">
        <f t="shared" ref="L40" si="17">G40-M40-N40</f>
        <v>1.4160000000000001</v>
      </c>
      <c r="M40" s="30">
        <f>'Custos insumos'!N4</f>
        <v>0.68399999999999994</v>
      </c>
      <c r="N40" s="30">
        <f>IF(B40="Texion Textil",0,IF(B40="Três Elos",0,IF(C40="Malha",0,IF(C40="Dublagem Cretone",'Custos insumos'!$D$23,IF(C40="Dublagem Spun",'Custos insumos'!$D$19,IF(C40="Espelhamento",0,IF(C40="Espelhamento 2x",0,IF(C40="Esp. + Pel.",0,IF(C40="Pel. + Spun",'Custos insumos'!$D$19,IF(C40="Dublagem Cretone PES",'Custos insumos'!$F$25,IF(C40="Dublagem Barreira",'Custos insumos'!$D$22,)))))))))))</f>
        <v>0</v>
      </c>
      <c r="O40" s="18"/>
      <c r="P40" s="53" t="e">
        <f t="shared" ref="P40" si="18">(Q40-S40)/Q40</f>
        <v>#N/A</v>
      </c>
      <c r="Q40" s="50" t="e">
        <f t="shared" ref="Q40" si="19">G40*R40</f>
        <v>#N/A</v>
      </c>
      <c r="R40" s="50" t="e" cm="1">
        <f t="array" ref="R40">_xlfn.IFS(C40="Calandra",(350),C40="Peletização",(421),C40="Dublagem Spun",(250),C40="Dublagem Cretone PES",(180),C40="Felpagem",(270/E40),C40="Emborrachamento",(200),C40="Espelhamento",(250),C40="Malha",(1),C40="Dublagem Cretone",(180),C40="Malha",(1),C40="Dublagem Spun - MO",250,C40="Dublagem Cretone - MO",180,C40="Dublagem Cretone PES - MO",180,C40="Espelhamento - MO",250,C40="Emborrachamento",100,C40="Malha",0,C40="Dublagem Barreira",100,C40="Pel. + Cal.",350,C40="Fel. + Pel. + Cal.",270,C40="Pel. + Spun",250,C40="Espelhamento - L: 1,45m",200,C40="Espelhamento - L: 1,65m",200,C40="Estampagem",100,C40="Fel. + Cal.",270,C40="Dublagem Juta",180,C40="Dublagem Cretone - MO (Juta)",180,C40="Dublagem Tapete",150,C40="Esp. + Pel.",200,C40="Espelhamento 2x",100)</f>
        <v>#N/A</v>
      </c>
      <c r="S40" s="50" t="e">
        <f t="shared" ref="S40" si="20">(T40*X40)+(U40*Y40)+(V40*Z40)+((M40+N40)*(R40))</f>
        <v>#N/A</v>
      </c>
      <c r="T40" s="18" t="e" cm="1">
        <f t="array" ref="T40">_xlfn.IFS(C40="Calandra",0.4,C40="Felpagem",0.3,C40="Dublagem Spun",0.8,C40="Dublagem Cretone",0.8,C40="Dublagem Cretone PES",0.8,C40="Espelhamento",0.8,C40="Peletização",0.5,C40="Dublagem Spun - MO",0.8,C40="Dublagem Cretone - MO",0.8,C40="Dublagem Cretone PES - MO",0.8,C40="Espelhamento - MO",0.8,C40="Emborrachamento",1,C40="Malha",0,C40="Dublagem Barreira",1,C40="Pel. + Cal.",0.4,C40="Fel. + Pel. + Cal.",0.5,C40="Pel. + Spun",0.8,C40="Espelhamento - L: 1,45m",0.8,C40="Espelhamento - L: 1,65m",0.8,C40="Estampagem",1,C40="Fel. + Cal.",0.4,C40="Dublagem Juta",0.8,C40="Dublagem Cretone - MO (Juta)",0.8,C40="Dublagem Tapete",0.8,C40="Esp. + Pel.",0.8,C40="Espelhamento 2x",0.8)</f>
        <v>#N/A</v>
      </c>
      <c r="U40" s="18">
        <v>1</v>
      </c>
      <c r="V40" s="18">
        <v>1</v>
      </c>
      <c r="W40" s="18"/>
      <c r="X40" s="18">
        <v>39.67</v>
      </c>
      <c r="Y40" s="18">
        <v>38.51</v>
      </c>
      <c r="Z40" s="18">
        <v>116.78</v>
      </c>
      <c r="AA40" s="18"/>
    </row>
    <row r="41" spans="1:27" ht="14.25" customHeight="1" x14ac:dyDescent="0.35">
      <c r="A41" s="18"/>
      <c r="B41" s="22" t="s">
        <v>92</v>
      </c>
      <c r="C41" s="23" t="s">
        <v>272</v>
      </c>
      <c r="D41" s="23" t="s">
        <v>479</v>
      </c>
      <c r="E41" s="24">
        <v>1</v>
      </c>
      <c r="F41" s="25">
        <v>2.7</v>
      </c>
      <c r="G41" s="25">
        <v>2.7</v>
      </c>
      <c r="H41" s="26" t="s">
        <v>243</v>
      </c>
      <c r="I41" s="27">
        <f t="shared" si="15"/>
        <v>2.7</v>
      </c>
      <c r="J41" s="28">
        <v>46036</v>
      </c>
      <c r="K41" s="29" t="s">
        <v>248</v>
      </c>
      <c r="L41" s="30">
        <f t="shared" si="14"/>
        <v>1.3080000000000003</v>
      </c>
      <c r="M41" s="30">
        <f>'Custos insumos'!N6</f>
        <v>1.3919999999999999</v>
      </c>
      <c r="N41" s="30">
        <f>IF(B41="Texion Textil",0,IF(B41="Três Elos",0,IF(C41="Malha",0,IF(C41="Dublagem Cretone",'Custos insumos'!$D$23,IF(C41="Dublagem Spun",'Custos insumos'!$D$19,IF(C41="Espelhamento",0,IF(C41="Espelhamento 2x",0,IF(C41="Esp. + Pel.",0,IF(C41="Pel. + Spun",'Custos insumos'!$D$19,IF(C41="Dublagem Cretone PES",'Custos insumos'!$F$25,IF(C41="Dublagem Barreira",'Custos insumos'!$D$22,)))))))))))</f>
        <v>0</v>
      </c>
      <c r="O41" s="18"/>
      <c r="P41" s="53">
        <f t="shared" si="10"/>
        <v>9.9617283950617364E-2</v>
      </c>
      <c r="Q41" s="50">
        <f t="shared" si="11"/>
        <v>486.00000000000006</v>
      </c>
      <c r="R41" s="50" cm="1">
        <f t="array" ref="R41">_xlfn.IFS(C41="Calandra",(350),C41="Peletização",(421),C41="Dublagem Spun",(250),C41="Dublagem Cretone PES",(180),C41="Felpagem",(270/E41),C41="Emborrachamento",(200),C41="Espelhamento",(250),C41="Malha",(1),C41="Dublagem Cretone",(180),C41="Malha",(1),C41="Dublagem Spun - MO",250,C41="Dublagem Cretone - MO",180,C41="Dublagem Cretone PES - MO",180,C41="Espelhamento - MO",250,C41="Emborrachamento",100,C41="Malha",0,C41="Dublagem Barreira",100,C41="Pel. + Cal.",350,C41="Fel. + Pel. + Cal.",270,C41="Pel. + Spun",250,C41="Espelhamento - L: 1,45m",200,C41="Espelhamento - L: 1,65m",200,C41="Estampagem",100,C41="Fel. + Cal.",270,C41="Dublagem Juta",180,C41="Dublagem Cretone - MO (Juta)",180,C41="Dublagem Tapete",150,C41="Esp. + Pel.",200,C41="Espelhamento 2x",100)</f>
        <v>180</v>
      </c>
      <c r="S41" s="50">
        <f t="shared" si="12"/>
        <v>437.58600000000001</v>
      </c>
      <c r="T41" s="18" cm="1">
        <f t="array" ref="T41">_xlfn.IFS(C41="Calandra",0.4,C41="Felpagem",0.3,C41="Dublagem Spun",0.8,C41="Dublagem Cretone",0.8,C41="Dublagem Cretone PES",0.8,C41="Espelhamento",0.8,C41="Peletização",0.5,C41="Dublagem Spun - MO",0.8,C41="Dublagem Cretone - MO",0.8,C41="Dublagem Cretone PES - MO",0.8,C41="Espelhamento - MO",0.8,C41="Emborrachamento",1,C41="Malha",0,C41="Dublagem Barreira",1,C41="Pel. + Cal.",0.4,C41="Fel. + Pel. + Cal.",0.5,C41="Pel. + Spun",0.8,C41="Espelhamento - L: 1,45m",0.8,C41="Espelhamento - L: 1,65m",0.8,C41="Estampagem",1,C41="Fel. + Cal.",0.4,C41="Dublagem Juta",0.8,C41="Dublagem Cretone - MO (Juta)",0.8,C41="Dublagem Tapete",0.8,C41="Esp. + Pel.",0.8,C41="Espelhamento 2x",0.8)</f>
        <v>0.8</v>
      </c>
      <c r="U41" s="18">
        <v>1</v>
      </c>
      <c r="V41" s="18">
        <v>1</v>
      </c>
      <c r="W41" s="18"/>
      <c r="X41" s="18">
        <v>39.67</v>
      </c>
      <c r="Y41" s="18">
        <v>38.51</v>
      </c>
      <c r="Z41" s="18">
        <v>116.78</v>
      </c>
      <c r="AA41" s="18"/>
    </row>
    <row r="42" spans="1:27" ht="14.25" customHeight="1" x14ac:dyDescent="0.35">
      <c r="A42" s="18"/>
      <c r="B42" s="22" t="s">
        <v>92</v>
      </c>
      <c r="C42" s="23" t="s">
        <v>272</v>
      </c>
      <c r="D42" s="23" t="s">
        <v>524</v>
      </c>
      <c r="E42" s="24">
        <v>1</v>
      </c>
      <c r="F42" s="25">
        <v>2.9</v>
      </c>
      <c r="G42" s="25">
        <v>2.9</v>
      </c>
      <c r="H42" s="26" t="s">
        <v>243</v>
      </c>
      <c r="I42" s="27">
        <f t="shared" si="15"/>
        <v>2.9</v>
      </c>
      <c r="J42" s="28">
        <v>46036</v>
      </c>
      <c r="K42" s="29" t="s">
        <v>248</v>
      </c>
      <c r="L42" s="30">
        <f t="shared" si="14"/>
        <v>1.1199799999999998</v>
      </c>
      <c r="M42" s="30">
        <f>'Custos insumos'!F8</f>
        <v>1.7800200000000002</v>
      </c>
      <c r="N42" s="30">
        <f>IF(B42="Texion Textil",0,IF(B42="Três Elos",0,IF(C42="Malha",0,IF(C42="Dublagem Cretone",'Custos insumos'!$D$23,IF(C42="Dublagem Spun",'Custos insumos'!$D$19,IF(C42="Espelhamento",0,IF(C42="Espelhamento 2x",0,IF(C42="Esp. + Pel.",0,IF(C42="Pel. + Spun",'Custos insumos'!$D$19,IF(C42="Dublagem Cretone PES",'Custos insumos'!$F$25,IF(C42="Dublagem Barreira",'Custos insumos'!$D$22,)))))))))))</f>
        <v>0</v>
      </c>
      <c r="O42" s="18"/>
      <c r="P42" s="53">
        <f t="shared" si="10"/>
        <v>2.7912643678160824E-2</v>
      </c>
      <c r="Q42" s="50">
        <f t="shared" si="11"/>
        <v>522</v>
      </c>
      <c r="R42" s="50" cm="1">
        <f t="array" ref="R42">_xlfn.IFS(C42="Calandra",(350),C42="Peletização",(421),C42="Dublagem Spun",(250),C42="Dublagem Cretone PES",(180),C42="Felpagem",(270/E42),C42="Emborrachamento",(200),C42="Espelhamento",(250),C42="Malha",(1),C42="Dublagem Cretone",(180),C42="Malha",(1),C42="Dublagem Spun - MO",250,C42="Dublagem Cretone - MO",180,C42="Dublagem Cretone PES - MO",180,C42="Espelhamento - MO",250,C42="Emborrachamento",100,C42="Malha",0,C42="Dublagem Barreira",100,C42="Pel. + Cal.",350,C42="Fel. + Pel. + Cal.",270,C42="Pel. + Spun",250,C42="Espelhamento - L: 1,45m",200,C42="Espelhamento - L: 1,65m",200,C42="Estampagem",100,C42="Fel. + Cal.",270,C42="Dublagem Juta",180,C42="Dublagem Cretone - MO (Juta)",180,C42="Dublagem Tapete",150,C42="Esp. + Pel.",200,C42="Espelhamento 2x",100)</f>
        <v>180</v>
      </c>
      <c r="S42" s="50">
        <f t="shared" si="12"/>
        <v>507.42960000000005</v>
      </c>
      <c r="T42" s="18" cm="1">
        <f t="array" ref="T42">_xlfn.IFS(C42="Calandra",0.4,C42="Felpagem",0.3,C42="Dublagem Spun",0.8,C42="Dublagem Cretone",0.8,C42="Dublagem Cretone PES",0.8,C42="Espelhamento",0.8,C42="Peletização",0.5,C42="Dublagem Spun - MO",0.8,C42="Dublagem Cretone - MO",0.8,C42="Dublagem Cretone PES - MO",0.8,C42="Espelhamento - MO",0.8,C42="Emborrachamento",1,C42="Malha",0,C42="Dublagem Barreira",1,C42="Pel. + Cal.",0.4,C42="Fel. + Pel. + Cal.",0.5,C42="Pel. + Spun",0.8,C42="Espelhamento - L: 1,45m",0.8,C42="Espelhamento - L: 1,65m",0.8,C42="Estampagem",1,C42="Fel. + Cal.",0.4,C42="Dublagem Juta",0.8,C42="Dublagem Cretone - MO (Juta)",0.8,C42="Dublagem Tapete",0.8,C42="Esp. + Pel.",0.8,C42="Espelhamento 2x",0.8)</f>
        <v>0.8</v>
      </c>
      <c r="U42" s="18">
        <v>1</v>
      </c>
      <c r="V42" s="18">
        <v>1</v>
      </c>
      <c r="W42" s="18"/>
      <c r="X42" s="18">
        <v>39.67</v>
      </c>
      <c r="Y42" s="18">
        <v>38.51</v>
      </c>
      <c r="Z42" s="18">
        <v>116.78</v>
      </c>
      <c r="AA42" s="18"/>
    </row>
    <row r="43" spans="1:27" ht="14.25" customHeight="1" x14ac:dyDescent="0.35">
      <c r="A43" s="18"/>
      <c r="B43" s="22" t="s">
        <v>92</v>
      </c>
      <c r="C43" s="23" t="s">
        <v>251</v>
      </c>
      <c r="D43" s="23" t="s">
        <v>480</v>
      </c>
      <c r="E43" s="24">
        <v>1</v>
      </c>
      <c r="F43" s="25">
        <v>6.1</v>
      </c>
      <c r="G43" s="25">
        <v>6.1</v>
      </c>
      <c r="H43" s="26" t="s">
        <v>243</v>
      </c>
      <c r="I43" s="27">
        <f t="shared" si="15"/>
        <v>6.1</v>
      </c>
      <c r="J43" s="28">
        <v>46036</v>
      </c>
      <c r="K43" s="29" t="s">
        <v>248</v>
      </c>
      <c r="L43" s="30">
        <f t="shared" si="14"/>
        <v>1.81</v>
      </c>
      <c r="M43" s="30">
        <f>IF(B43="Texion Textil",0,IF(C43="Malha",'Custos insumos'!$B$24,IF(C43="Dublagem Cretone",'Custos insumos'!$D$7,IF(C43="Dublagem Spun",'Custos insumos'!$D$4,IF(C43="Espelhamento",'Custos insumos'!$B$11,IF(C43="Espelhamento 2x",2*'Custos insumos'!$B$11,IF(C43="Esp. + Pel.",'Custos insumos'!$B$11,IF(C43="Pel. + Spun",'Custos insumos'!$D$4,IF(C43="Dublagem Cretone PES",'Custos insumos'!$D$7,IF(C43="Dublagem Barreira",'Custos insumos'!$D$11,IF(C43="Dublagem - MO + Filme",'Custos insumos'!$D$4,IF(C43="Dublagem Cretone HM50",'Custos insumos'!$D$26,IF(C43="Dublagem Cretone HM70",'Custos insumos'!$F$10,)))))))))))))</f>
        <v>1.962</v>
      </c>
      <c r="N43" s="30">
        <f>IF(B43="Texion Textil",0,IF(B43="Três Elos",0,IF(C43="Malha",0,IF(C43="Dublagem Cretone",'Custos insumos'!$D$23,IF(C43="Dublagem Spun",'Custos insumos'!$D$19,IF(C43="Espelhamento",0,IF(C43="Espelhamento 2x",0,IF(C43="Esp. + Pel.",0,IF(C43="Pel. + Spun",'Custos insumos'!$D$19,IF(C43="Dublagem Cretone PES",'Custos insumos'!$F$25,IF(C43="Dublagem Barreira",'Custos insumos'!$D$22,)))))))))))</f>
        <v>2.3279999999999998</v>
      </c>
      <c r="O43" s="18"/>
      <c r="P43" s="53">
        <f t="shared" si="10"/>
        <v>0.12638797814207639</v>
      </c>
      <c r="Q43" s="50">
        <f t="shared" si="11"/>
        <v>1098</v>
      </c>
      <c r="R43" s="50" cm="1">
        <f t="array" ref="R43">_xlfn.IFS(C43="Calandra",(350),C43="Peletização",(421),C43="Dublagem Spun",(250),C43="Dublagem Cretone PES",(180),C43="Felpagem",(270/E43),C43="Emborrachamento",(200),C43="Espelhamento",(250),C43="Malha",(1),C43="Dublagem Cretone",(180),C43="Malha",(1),C43="Dublagem Spun - MO",250,C43="Dublagem Cretone - MO",180,C43="Dublagem Cretone PES - MO",180,C43="Espelhamento - MO",250,C43="Emborrachamento",100,C43="Malha",0,C43="Dublagem Barreira",100,C43="Pel. + Cal.",350,C43="Fel. + Pel. + Cal.",270,C43="Pel. + Spun",250,C43="Espelhamento - L: 1,45m",200,C43="Espelhamento - L: 1,65m",200,C43="Estampagem",100,C43="Fel. + Cal.",270,C43="Dublagem Juta",180,C43="Dublagem Cretone - MO (Juta)",180,C43="Dublagem Tapete",150,C43="Esp. + Pel.",200,C43="Espelhamento 2x",100)</f>
        <v>180</v>
      </c>
      <c r="S43" s="50">
        <f t="shared" si="12"/>
        <v>959.22600000000011</v>
      </c>
      <c r="T43" s="18" cm="1">
        <f t="array" ref="T43">_xlfn.IFS(C43="Calandra",0.4,C43="Felpagem",0.3,C43="Dublagem Spun",0.8,C43="Dublagem Cretone",0.8,C43="Dublagem Cretone PES",0.8,C43="Espelhamento",0.8,C43="Peletização",0.5,C43="Dublagem Spun - MO",0.8,C43="Dublagem Cretone - MO",0.8,C43="Dublagem Cretone PES - MO",0.8,C43="Espelhamento - MO",0.8,C43="Emborrachamento",1,C43="Malha",0,C43="Dublagem Barreira",1,C43="Pel. + Cal.",0.4,C43="Fel. + Pel. + Cal.",0.5,C43="Pel. + Spun",0.8,C43="Espelhamento - L: 1,45m",0.8,C43="Espelhamento - L: 1,65m",0.8,C43="Estampagem",1,C43="Fel. + Cal.",0.4,C43="Dublagem Juta",0.8,C43="Dublagem Cretone - MO (Juta)",0.8,C43="Dublagem Tapete",0.8,C43="Esp. + Pel.",0.8,C43="Espelhamento 2x",0.8)</f>
        <v>0.8</v>
      </c>
      <c r="U43" s="18">
        <v>1</v>
      </c>
      <c r="V43" s="18">
        <v>1</v>
      </c>
      <c r="W43" s="18"/>
      <c r="X43" s="18">
        <v>39.67</v>
      </c>
      <c r="Y43" s="18">
        <v>38.51</v>
      </c>
      <c r="Z43" s="18">
        <v>116.78</v>
      </c>
      <c r="AA43" s="18"/>
    </row>
    <row r="44" spans="1:27" ht="14.25" customHeight="1" x14ac:dyDescent="0.35">
      <c r="A44" s="18"/>
      <c r="B44" s="22" t="s">
        <v>92</v>
      </c>
      <c r="C44" s="23" t="s">
        <v>247</v>
      </c>
      <c r="D44" s="23" t="s">
        <v>481</v>
      </c>
      <c r="E44" s="24">
        <v>1</v>
      </c>
      <c r="F44" s="25">
        <v>4.9000000000000004</v>
      </c>
      <c r="G44" s="25">
        <v>4.9000000000000004</v>
      </c>
      <c r="H44" s="26" t="s">
        <v>243</v>
      </c>
      <c r="I44" s="27">
        <f t="shared" si="15"/>
        <v>4.9000000000000004</v>
      </c>
      <c r="J44" s="28">
        <v>46036</v>
      </c>
      <c r="K44" s="29" t="s">
        <v>248</v>
      </c>
      <c r="L44" s="30">
        <f t="shared" si="14"/>
        <v>0.61000000000000076</v>
      </c>
      <c r="M44" s="30">
        <f>IF(B44="Texion Textil",0,IF(C44="Malha",'Custos insumos'!$B$24,IF(C44="Dublagem Cretone",'Custos insumos'!$D$7,IF(C44="Dublagem Spun",'Custos insumos'!$D$4,IF(C44="Espelhamento",'Custos insumos'!$B$11,IF(C44="Espelhamento 2x",2*'Custos insumos'!$B$11,IF(C44="Esp. + Pel.",'Custos insumos'!$B$11,IF(C44="Pel. + Spun",'Custos insumos'!$D$4,IF(C44="Dublagem Cretone PES",'Custos insumos'!$D$7,IF(C44="Dublagem Barreira",'Custos insumos'!$D$11,IF(C44="Dublagem - MO + Filme",'Custos insumos'!$D$4,IF(C44="Dublagem Cretone HM50",'Custos insumos'!$D$26,IF(C44="Dublagem Cretone HM70",'Custos insumos'!$F$10,)))))))))))))</f>
        <v>1.962</v>
      </c>
      <c r="N44" s="30">
        <f>IF(B44="Texion Textil",0,IF(B44="Três Elos",0,IF(C44="Malha",0,IF(C44="Dublagem Cretone",'Custos insumos'!$D$23,IF(C44="Dublagem Spun",'Custos insumos'!$D$19,IF(C44="Espelhamento",0,IF(C44="Espelhamento 2x",0,IF(C44="Esp. + Pel.",0,IF(C44="Pel. + Spun",'Custos insumos'!$D$19,IF(C44="Dublagem Cretone PES",'Custos insumos'!$F$25,IF(C44="Dublagem Barreira",'Custos insumos'!$D$22,)))))))))))</f>
        <v>2.3279999999999998</v>
      </c>
      <c r="O44" s="18"/>
      <c r="P44" s="53">
        <f t="shared" si="10"/>
        <v>-8.7557823129251686E-2</v>
      </c>
      <c r="Q44" s="50">
        <f t="shared" si="11"/>
        <v>882.00000000000011</v>
      </c>
      <c r="R44" s="50" cm="1">
        <f t="array" ref="R44">_xlfn.IFS(C44="Calandra",(350),C44="Peletização",(421),C44="Dublagem Spun",(250),C44="Dublagem Cretone PES",(180),C44="Felpagem",(270/E44),C44="Emborrachamento",(200),C44="Espelhamento",(250),C44="Malha",(1),C44="Dublagem Cretone",(180),C44="Malha",(1),C44="Dublagem Spun - MO",250,C44="Dublagem Cretone - MO",180,C44="Dublagem Cretone PES - MO",180,C44="Espelhamento - MO",250,C44="Emborrachamento",100,C44="Malha",0,C44="Dublagem Barreira",100,C44="Pel. + Cal.",350,C44="Fel. + Pel. + Cal.",270,C44="Pel. + Spun",250,C44="Espelhamento - L: 1,45m",200,C44="Espelhamento - L: 1,65m",200,C44="Estampagem",100,C44="Fel. + Cal.",270,C44="Dublagem Juta",180,C44="Dublagem Cretone - MO (Juta)",180,C44="Dublagem Tapete",150,C44="Esp. + Pel.",200,C44="Espelhamento 2x",100)</f>
        <v>180</v>
      </c>
      <c r="S44" s="50">
        <f t="shared" si="12"/>
        <v>959.22600000000011</v>
      </c>
      <c r="T44" s="18" cm="1">
        <f t="array" ref="T44">_xlfn.IFS(C44="Calandra",0.4,C44="Felpagem",0.3,C44="Dublagem Spun",0.8,C44="Dublagem Cretone",0.8,C44="Dublagem Cretone PES",0.8,C44="Espelhamento",0.8,C44="Peletização",0.5,C44="Dublagem Spun - MO",0.8,C44="Dublagem Cretone - MO",0.8,C44="Dublagem Cretone PES - MO",0.8,C44="Espelhamento - MO",0.8,C44="Emborrachamento",1,C44="Malha",0,C44="Dublagem Barreira",1,C44="Pel. + Cal.",0.4,C44="Fel. + Pel. + Cal.",0.5,C44="Pel. + Spun",0.8,C44="Espelhamento - L: 1,45m",0.8,C44="Espelhamento - L: 1,65m",0.8,C44="Estampagem",1,C44="Fel. + Cal.",0.4,C44="Dublagem Juta",0.8,C44="Dublagem Cretone - MO (Juta)",0.8,C44="Dublagem Tapete",0.8,C44="Esp. + Pel.",0.8,C44="Espelhamento 2x",0.8)</f>
        <v>0.8</v>
      </c>
      <c r="U44" s="18">
        <v>1</v>
      </c>
      <c r="V44" s="18">
        <v>1</v>
      </c>
      <c r="W44" s="18"/>
      <c r="X44" s="18">
        <v>39.67</v>
      </c>
      <c r="Y44" s="18">
        <v>38.51</v>
      </c>
      <c r="Z44" s="18">
        <v>116.78</v>
      </c>
      <c r="AA44" s="18"/>
    </row>
    <row r="45" spans="1:27" ht="14.25" customHeight="1" x14ac:dyDescent="0.35">
      <c r="A45" s="18"/>
      <c r="B45" s="22" t="s">
        <v>92</v>
      </c>
      <c r="C45" s="23" t="s">
        <v>98</v>
      </c>
      <c r="D45" s="23" t="s">
        <v>482</v>
      </c>
      <c r="E45" s="24">
        <v>1</v>
      </c>
      <c r="F45" s="25">
        <v>4.5999999999999996</v>
      </c>
      <c r="G45" s="25">
        <v>4.5999999999999996</v>
      </c>
      <c r="H45" s="26" t="s">
        <v>243</v>
      </c>
      <c r="I45" s="27">
        <f t="shared" si="15"/>
        <v>4.5999999999999996</v>
      </c>
      <c r="J45" s="28">
        <v>46036</v>
      </c>
      <c r="K45" s="29" t="s">
        <v>248</v>
      </c>
      <c r="L45" s="30">
        <f t="shared" si="14"/>
        <v>3.1839999999999993</v>
      </c>
      <c r="M45" s="30">
        <f>'Custos insumos'!N4</f>
        <v>0.68399999999999994</v>
      </c>
      <c r="N45" s="30">
        <f>'Custos insumos'!L19</f>
        <v>0.73199999999999998</v>
      </c>
      <c r="O45" s="18"/>
      <c r="P45" s="53" t="e">
        <f t="shared" si="10"/>
        <v>#N/A</v>
      </c>
      <c r="Q45" s="50" t="e">
        <f t="shared" si="11"/>
        <v>#N/A</v>
      </c>
      <c r="R45" s="50" t="e" cm="1">
        <f t="array" ref="R45">_xlfn.IFS(C45="Calandra",(350),C45="Peletização",(421),C45="Dublagem Spun",(250),C45="Dublagem Cretone PES",(180),C45="Felpagem",(270/E45),C45="Emborrachamento",(200),C45="Espelhamento",(250),C45="Malha",(1),C45="Dublagem Cretone",(180),C45="Malha",(1),C45="Dublagem Spun - MO",250,C45="Dublagem Cretone - MO",180,C45="Dublagem Cretone PES - MO",180,C45="Espelhamento - MO",250,C45="Emborrachamento",100,C45="Malha",0,C45="Dublagem Barreira",100,C45="Pel. + Cal.",350,C45="Fel. + Pel. + Cal.",270,C45="Pel. + Spun",250,C45="Espelhamento - L: 1,45m",200,C45="Espelhamento - L: 1,65m",200,C45="Estampagem",100,C45="Fel. + Cal.",270,C45="Dublagem Juta",180,C45="Dublagem Cretone - MO (Juta)",180,C45="Dublagem Tapete",150,C45="Esp. + Pel.",200,C45="Espelhamento 2x",100)</f>
        <v>#N/A</v>
      </c>
      <c r="S45" s="50" t="e">
        <f t="shared" si="12"/>
        <v>#N/A</v>
      </c>
      <c r="T45" s="18" t="e" cm="1">
        <f t="array" ref="T45">_xlfn.IFS(C45="Calandra",0.4,C45="Felpagem",0.3,C45="Dublagem Spun",0.8,C45="Dublagem Cretone",0.8,C45="Dublagem Cretone PES",0.8,C45="Espelhamento",0.8,C45="Peletização",0.5,C45="Dublagem Spun - MO",0.8,C45="Dublagem Cretone - MO",0.8,C45="Dublagem Cretone PES - MO",0.8,C45="Espelhamento - MO",0.8,C45="Emborrachamento",1,C45="Malha",0,C45="Dublagem Barreira",1,C45="Pel. + Cal.",0.4,C45="Fel. + Pel. + Cal.",0.5,C45="Pel. + Spun",0.8,C45="Espelhamento - L: 1,45m",0.8,C45="Espelhamento - L: 1,65m",0.8,C45="Estampagem",1,C45="Fel. + Cal.",0.4,C45="Dublagem Juta",0.8,C45="Dublagem Cretone - MO (Juta)",0.8,C45="Dublagem Tapete",0.8,C45="Esp. + Pel.",0.8,C45="Espelhamento 2x",0.8)</f>
        <v>#N/A</v>
      </c>
      <c r="U45" s="18">
        <v>1</v>
      </c>
      <c r="V45" s="18">
        <v>1</v>
      </c>
      <c r="W45" s="18"/>
      <c r="X45" s="18">
        <v>39.67</v>
      </c>
      <c r="Y45" s="18">
        <v>38.51</v>
      </c>
      <c r="Z45" s="18">
        <v>116.78</v>
      </c>
      <c r="AA45" s="18"/>
    </row>
    <row r="46" spans="1:27" ht="14.25" customHeight="1" x14ac:dyDescent="0.35">
      <c r="A46" s="18"/>
      <c r="B46" s="22" t="s">
        <v>92</v>
      </c>
      <c r="C46" s="23" t="s">
        <v>106</v>
      </c>
      <c r="D46" s="23" t="s">
        <v>483</v>
      </c>
      <c r="E46" s="24">
        <v>1</v>
      </c>
      <c r="F46" s="25">
        <v>2.4500000000000002</v>
      </c>
      <c r="G46" s="25">
        <v>2.4500000000000002</v>
      </c>
      <c r="H46" s="26" t="s">
        <v>243</v>
      </c>
      <c r="I46" s="27">
        <f t="shared" si="15"/>
        <v>2.4500000000000002</v>
      </c>
      <c r="J46" s="28">
        <v>46036</v>
      </c>
      <c r="K46" s="29" t="s">
        <v>276</v>
      </c>
      <c r="L46" s="30">
        <f t="shared" si="14"/>
        <v>1.3914997101449276</v>
      </c>
      <c r="M46" s="30">
        <f>IF(B46="Texion Textil",0,IF(C46="Malha",'Custos insumos'!$B$24,IF(C46="Dublagem Cretone",'Custos insumos'!$D$7,IF(C46="Dublagem Spun",'Custos insumos'!$D$4,IF(C46="Espelhamento",'Custos insumos'!$B$11,IF(C46="Espelhamento 2x",2*'Custos insumos'!$B$11,IF(C46="Esp. + Pel.",'Custos insumos'!$B$11,IF(C46="Pel. + Spun",'Custos insumos'!$D$4,IF(C46="Dublagem Cretone PES",'Custos insumos'!$D$7,IF(C46="Dublagem Barreira",'Custos insumos'!$D$11,IF(C46="Dublagem - MO + Filme",'Custos insumos'!$D$4,IF(C46="Dublagem Cretone HM50",'Custos insumos'!$D$26,IF(C46="Dublagem Cretone HM70",'Custos insumos'!$F$10,)))))))))))))</f>
        <v>1.0585002898550726</v>
      </c>
      <c r="N46" s="30">
        <f>IF(B46="Texion Textil",0,IF(B46="Três Elos",0,IF(C46="Malha",0,IF(C46="Dublagem Cretone",'Custos insumos'!$D$23,IF(C46="Dublagem Spun",'Custos insumos'!$D$19,IF(C46="Espelhamento",0,IF(C46="Espelhamento 2x",0,IF(C46="Esp. + Pel.",0,IF(C46="Pel. + Spun",'Custos insumos'!$D$19,IF(C46="Dublagem Cretone PES",'Custos insumos'!$F$25,IF(C46="Dublagem Barreira",'Custos insumos'!$D$22,)))))))))))</f>
        <v>0</v>
      </c>
      <c r="O46" s="18"/>
      <c r="P46" s="53">
        <f t="shared" si="10"/>
        <v>0.26261049393670505</v>
      </c>
      <c r="Q46" s="50">
        <f t="shared" si="11"/>
        <v>612.5</v>
      </c>
      <c r="R46" s="50" cm="1">
        <f t="array" ref="R46">_xlfn.IFS(C46="Calandra",(350),C46="Peletização",(421),C46="Dublagem Spun",(250),C46="Dublagem Cretone PES",(180),C46="Felpagem",(270/E46),C46="Emborrachamento",(200),C46="Espelhamento",(250),C46="Malha",(1),C46="Dublagem Cretone",(180),C46="Malha",(1),C46="Dublagem Spun - MO",250,C46="Dublagem Cretone - MO",180,C46="Dublagem Cretone PES - MO",180,C46="Espelhamento - MO",250,C46="Emborrachamento",100,C46="Malha",0,C46="Dublagem Barreira",100,C46="Pel. + Cal.",350,C46="Fel. + Pel. + Cal.",270,C46="Pel. + Spun",250,C46="Espelhamento - L: 1,45m",200,C46="Espelhamento - L: 1,65m",200,C46="Estampagem",100,C46="Fel. + Cal.",270,C46="Dublagem Juta",180,C46="Dublagem Cretone - MO (Juta)",180,C46="Dublagem Tapete",150,C46="Esp. + Pel.",200,C46="Espelhamento 2x",100)</f>
        <v>250</v>
      </c>
      <c r="S46" s="50">
        <f t="shared" si="12"/>
        <v>451.65107246376817</v>
      </c>
      <c r="T46" s="18" cm="1">
        <f t="array" ref="T46">_xlfn.IFS(C46="Calandra",0.4,C46="Felpagem",0.3,C46="Dublagem Spun",0.8,C46="Dublagem Cretone",0.8,C46="Dublagem Cretone PES",0.8,C46="Espelhamento",0.8,C46="Peletização",0.5,C46="Dublagem Spun - MO",0.8,C46="Dublagem Cretone - MO",0.8,C46="Dublagem Cretone PES - MO",0.8,C46="Espelhamento - MO",0.8,C46="Emborrachamento",1,C46="Malha",0,C46="Dublagem Barreira",1,C46="Pel. + Cal.",0.4,C46="Fel. + Pel. + Cal.",0.5,C46="Pel. + Spun",0.8,C46="Espelhamento - L: 1,45m",0.8,C46="Espelhamento - L: 1,65m",0.8,C46="Estampagem",1,C46="Fel. + Cal.",0.4,C46="Dublagem Juta",0.8,C46="Dublagem Cretone - MO (Juta)",0.8,C46="Dublagem Tapete",0.8,C46="Esp. + Pel.",0.8,C46="Espelhamento 2x",0.8)</f>
        <v>0.8</v>
      </c>
      <c r="U46" s="18">
        <v>1</v>
      </c>
      <c r="V46" s="18">
        <v>1</v>
      </c>
      <c r="W46" s="18"/>
      <c r="X46" s="18">
        <v>39.67</v>
      </c>
      <c r="Y46" s="18">
        <v>38.51</v>
      </c>
      <c r="Z46" s="18">
        <v>116.78</v>
      </c>
      <c r="AA46" s="18"/>
    </row>
    <row r="47" spans="1:27" ht="14.25" customHeight="1" x14ac:dyDescent="0.35">
      <c r="A47" s="18"/>
      <c r="B47" s="22" t="s">
        <v>92</v>
      </c>
      <c r="C47" s="23" t="s">
        <v>254</v>
      </c>
      <c r="D47" s="23" t="s">
        <v>279</v>
      </c>
      <c r="E47" s="24">
        <v>4</v>
      </c>
      <c r="F47" s="25">
        <v>4.8</v>
      </c>
      <c r="G47" s="25">
        <v>4.8</v>
      </c>
      <c r="H47" s="26" t="s">
        <v>243</v>
      </c>
      <c r="I47" s="27">
        <f t="shared" si="15"/>
        <v>1.2</v>
      </c>
      <c r="J47" s="28">
        <v>46036</v>
      </c>
      <c r="K47" s="29"/>
      <c r="L47" s="30">
        <f t="shared" si="14"/>
        <v>4.8</v>
      </c>
      <c r="M47" s="30">
        <f>IF(B47="Texion Textil",0,IF(C47="Malha",'Custos insumos'!$B$24,IF(C47="Dublagem Cretone",'Custos insumos'!$D$7,IF(C47="Dublagem Spun",'Custos insumos'!$D$4,IF(C47="Espelhamento",'Custos insumos'!$B$11,IF(C47="Espelhamento 2x",2*'Custos insumos'!$B$11,IF(C47="Esp. + Pel.",'Custos insumos'!$B$11,IF(C47="Pel. + Spun",'Custos insumos'!$D$4,IF(C47="Dublagem Cretone PES",'Custos insumos'!$D$7,IF(C47="Dublagem Barreira",'Custos insumos'!$D$11,IF(C47="Dublagem - MO + Filme",'Custos insumos'!$D$4,IF(C47="Dublagem Cretone HM50",'Custos insumos'!$D$26,IF(C47="Dublagem Cretone HM70",'Custos insumos'!$F$10,)))))))))))))</f>
        <v>0</v>
      </c>
      <c r="N47" s="30">
        <f>IF(B47="Texion Textil",0,IF(B47="Três Elos",0,IF(C47="Malha",0,IF(C47="Dublagem Cretone",'Custos insumos'!$D$23,IF(C47="Dublagem Spun",'Custos insumos'!$D$19,IF(C47="Espelhamento",0,IF(C47="Espelhamento 2x",0,IF(C47="Esp. + Pel.",0,IF(C47="Pel. + Spun",'Custos insumos'!$D$19,IF(C47="Dublagem Cretone PES",'Custos insumos'!$F$25,IF(C47="Dublagem Barreira",'Custos insumos'!$D$22,)))))))))))</f>
        <v>0</v>
      </c>
      <c r="O47" s="18"/>
      <c r="P47" s="53">
        <f t="shared" si="10"/>
        <v>0.48397839506172841</v>
      </c>
      <c r="Q47" s="50">
        <f t="shared" si="11"/>
        <v>324</v>
      </c>
      <c r="R47" s="50" cm="1">
        <f t="array" ref="R47">_xlfn.IFS(C47="Calandra",(350),C47="Peletização",(421),C47="Dublagem Spun",(250),C47="Dublagem Cretone PES",(180),C47="Felpagem",(270/E47),C47="Emborrachamento",(200),C47="Espelhamento",(250),C47="Malha",(1),C47="Dublagem Cretone",(180),C47="Malha",(1),C47="Dublagem Spun - MO",250,C47="Dublagem Cretone - MO",180,C47="Dublagem Cretone PES - MO",180,C47="Espelhamento - MO",250,C47="Emborrachamento",100,C47="Malha",0,C47="Dublagem Barreira",100,C47="Pel. + Cal.",350,C47="Fel. + Pel. + Cal.",270,C47="Pel. + Spun",250,C47="Espelhamento - L: 1,45m",200,C47="Espelhamento - L: 1,65m",200,C47="Estampagem",100,C47="Fel. + Cal.",270,C47="Dublagem Juta",180,C47="Dublagem Cretone - MO (Juta)",180,C47="Dublagem Tapete",150,C47="Esp. + Pel.",200,C47="Espelhamento 2x",100)</f>
        <v>67.5</v>
      </c>
      <c r="S47" s="50">
        <f t="shared" si="12"/>
        <v>167.191</v>
      </c>
      <c r="T47" s="18" cm="1">
        <f t="array" ref="T47">_xlfn.IFS(C47="Calandra",0.4,C47="Felpagem",0.3,C47="Dublagem Spun",0.8,C47="Dublagem Cretone",0.8,C47="Dublagem Cretone PES",0.8,C47="Espelhamento",0.8,C47="Peletização",0.5,C47="Dublagem Spun - MO",0.8,C47="Dublagem Cretone - MO",0.8,C47="Dublagem Cretone PES - MO",0.8,C47="Espelhamento - MO",0.8,C47="Emborrachamento",1,C47="Malha",0,C47="Dublagem Barreira",1,C47="Pel. + Cal.",0.4,C47="Fel. + Pel. + Cal.",0.5,C47="Pel. + Spun",0.8,C47="Espelhamento - L: 1,45m",0.8,C47="Espelhamento - L: 1,65m",0.8,C47="Estampagem",1,C47="Fel. + Cal.",0.4,C47="Dublagem Juta",0.8,C47="Dublagem Cretone - MO (Juta)",0.8,C47="Dublagem Tapete",0.8,C47="Esp. + Pel.",0.8,C47="Espelhamento 2x",0.8)</f>
        <v>0.3</v>
      </c>
      <c r="U47" s="18">
        <v>1</v>
      </c>
      <c r="V47" s="18">
        <v>1</v>
      </c>
      <c r="W47" s="18"/>
      <c r="X47" s="18">
        <v>39.67</v>
      </c>
      <c r="Y47" s="18">
        <v>38.51</v>
      </c>
      <c r="Z47" s="18">
        <v>116.78</v>
      </c>
      <c r="AA47" s="18"/>
    </row>
    <row r="48" spans="1:27" ht="14.25" customHeight="1" x14ac:dyDescent="0.35">
      <c r="A48" s="18"/>
      <c r="B48" s="22" t="s">
        <v>92</v>
      </c>
      <c r="C48" s="23" t="s">
        <v>254</v>
      </c>
      <c r="D48" s="23" t="s">
        <v>280</v>
      </c>
      <c r="E48" s="24">
        <v>2</v>
      </c>
      <c r="F48" s="25">
        <v>2.6</v>
      </c>
      <c r="G48" s="25">
        <v>2.6</v>
      </c>
      <c r="H48" s="26" t="s">
        <v>243</v>
      </c>
      <c r="I48" s="27">
        <f t="shared" si="15"/>
        <v>1.3</v>
      </c>
      <c r="J48" s="28">
        <v>46036</v>
      </c>
      <c r="K48" s="29"/>
      <c r="L48" s="30">
        <f t="shared" si="14"/>
        <v>2.6</v>
      </c>
      <c r="M48" s="30">
        <f>IF(B48="Texion Textil",0,IF(C48="Malha",'Custos insumos'!$B$24,IF(C48="Dublagem Cretone",'Custos insumos'!$D$7,IF(C48="Dublagem Spun",'Custos insumos'!$D$4,IF(C48="Espelhamento",'Custos insumos'!$B$11,IF(C48="Espelhamento 2x",2*'Custos insumos'!$B$11,IF(C48="Esp. + Pel.",'Custos insumos'!$B$11,IF(C48="Pel. + Spun",'Custos insumos'!$D$4,IF(C48="Dublagem Cretone PES",'Custos insumos'!$D$7,IF(C48="Dublagem Barreira",'Custos insumos'!$D$11,IF(C48="Dublagem - MO + Filme",'Custos insumos'!$D$4,IF(C48="Dublagem Cretone HM50",'Custos insumos'!$D$26,IF(C48="Dublagem Cretone HM70",'Custos insumos'!$F$10,)))))))))))))</f>
        <v>0</v>
      </c>
      <c r="N48" s="30">
        <f>IF(B48="Texion Textil",0,IF(B48="Três Elos",0,IF(C48="Malha",0,IF(C48="Dublagem Cretone",'Custos insumos'!$D$23,IF(C48="Dublagem Spun",'Custos insumos'!$D$19,IF(C48="Espelhamento",0,IF(C48="Espelhamento 2x",0,IF(C48="Esp. + Pel.",0,IF(C48="Pel. + Spun",'Custos insumos'!$D$19,IF(C48="Dublagem Cretone PES",'Custos insumos'!$F$25,IF(C48="Dublagem Barreira",'Custos insumos'!$D$22,)))))))))))</f>
        <v>0</v>
      </c>
      <c r="O48" s="18"/>
      <c r="P48" s="53">
        <f t="shared" si="10"/>
        <v>0.52367236467236467</v>
      </c>
      <c r="Q48" s="50">
        <f t="shared" si="11"/>
        <v>351</v>
      </c>
      <c r="R48" s="50" cm="1">
        <f t="array" ref="R48">_xlfn.IFS(C48="Calandra",(350),C48="Peletização",(421),C48="Dublagem Spun",(250),C48="Dublagem Cretone PES",(180),C48="Felpagem",(270/E48),C48="Emborrachamento",(200),C48="Espelhamento",(250),C48="Malha",(1),C48="Dublagem Cretone",(180),C48="Malha",(1),C48="Dublagem Spun - MO",250,C48="Dublagem Cretone - MO",180,C48="Dublagem Cretone PES - MO",180,C48="Espelhamento - MO",250,C48="Emborrachamento",100,C48="Malha",0,C48="Dublagem Barreira",100,C48="Pel. + Cal.",350,C48="Fel. + Pel. + Cal.",270,C48="Pel. + Spun",250,C48="Espelhamento - L: 1,45m",200,C48="Espelhamento - L: 1,65m",200,C48="Estampagem",100,C48="Fel. + Cal.",270,C48="Dublagem Juta",180,C48="Dublagem Cretone - MO (Juta)",180,C48="Dublagem Tapete",150,C48="Esp. + Pel.",200,C48="Espelhamento 2x",100)</f>
        <v>135</v>
      </c>
      <c r="S48" s="50">
        <f t="shared" si="12"/>
        <v>167.191</v>
      </c>
      <c r="T48" s="18" cm="1">
        <f t="array" ref="T48">_xlfn.IFS(C48="Calandra",0.4,C48="Felpagem",0.3,C48="Dublagem Spun",0.8,C48="Dublagem Cretone",0.8,C48="Dublagem Cretone PES",0.8,C48="Espelhamento",0.8,C48="Peletização",0.5,C48="Dublagem Spun - MO",0.8,C48="Dublagem Cretone - MO",0.8,C48="Dublagem Cretone PES - MO",0.8,C48="Espelhamento - MO",0.8,C48="Emborrachamento",1,C48="Malha",0,C48="Dublagem Barreira",1,C48="Pel. + Cal.",0.4,C48="Fel. + Pel. + Cal.",0.5,C48="Pel. + Spun",0.8,C48="Espelhamento - L: 1,45m",0.8,C48="Espelhamento - L: 1,65m",0.8,C48="Estampagem",1,C48="Fel. + Cal.",0.4,C48="Dublagem Juta",0.8,C48="Dublagem Cretone - MO (Juta)",0.8,C48="Dublagem Tapete",0.8,C48="Esp. + Pel.",0.8,C48="Espelhamento 2x",0.8)</f>
        <v>0.3</v>
      </c>
      <c r="U48" s="18">
        <v>1</v>
      </c>
      <c r="V48" s="18">
        <v>1</v>
      </c>
      <c r="W48" s="18"/>
      <c r="X48" s="18">
        <v>39.67</v>
      </c>
      <c r="Y48" s="18">
        <v>38.51</v>
      </c>
      <c r="Z48" s="18">
        <v>116.78</v>
      </c>
      <c r="AA48" s="18"/>
    </row>
    <row r="49" spans="1:27" ht="14.25" customHeight="1" x14ac:dyDescent="0.35">
      <c r="A49" s="18"/>
      <c r="B49" s="22" t="s">
        <v>92</v>
      </c>
      <c r="C49" s="23" t="s">
        <v>254</v>
      </c>
      <c r="D49" s="23" t="s">
        <v>281</v>
      </c>
      <c r="E49" s="24">
        <v>2</v>
      </c>
      <c r="F49" s="25">
        <v>1.7</v>
      </c>
      <c r="G49" s="25">
        <v>1.7</v>
      </c>
      <c r="H49" s="26" t="s">
        <v>243</v>
      </c>
      <c r="I49" s="27">
        <f t="shared" si="15"/>
        <v>0.85</v>
      </c>
      <c r="J49" s="28">
        <v>46036</v>
      </c>
      <c r="K49" s="29"/>
      <c r="L49" s="30">
        <f t="shared" si="14"/>
        <v>1.7</v>
      </c>
      <c r="M49" s="30">
        <f>IF(B49="Texion Textil",0,IF(C49="Malha",'Custos insumos'!$B$24,IF(C49="Dublagem Cretone",'Custos insumos'!$D$7,IF(C49="Dublagem Spun",'Custos insumos'!$D$4,IF(C49="Espelhamento",'Custos insumos'!$B$11,IF(C49="Espelhamento 2x",2*'Custos insumos'!$B$11,IF(C49="Esp. + Pel.",'Custos insumos'!$B$11,IF(C49="Pel. + Spun",'Custos insumos'!$D$4,IF(C49="Dublagem Cretone PES",'Custos insumos'!$D$7,IF(C49="Dublagem Barreira",'Custos insumos'!$D$11,IF(C49="Dublagem - MO + Filme",'Custos insumos'!$D$4,IF(C49="Dublagem Cretone HM50",'Custos insumos'!$D$26,IF(C49="Dublagem Cretone HM70",'Custos insumos'!$F$10,)))))))))))))</f>
        <v>0</v>
      </c>
      <c r="N49" s="30">
        <f>IF(B49="Texion Textil",0,IF(B49="Três Elos",0,IF(C49="Malha",0,IF(C49="Dublagem Cretone",'Custos insumos'!$D$23,IF(C49="Dublagem Spun",'Custos insumos'!$D$19,IF(C49="Espelhamento",0,IF(C49="Espelhamento 2x",0,IF(C49="Esp. + Pel.",0,IF(C49="Pel. + Spun",'Custos insumos'!$D$19,IF(C49="Dublagem Cretone PES",'Custos insumos'!$F$25,IF(C49="Dublagem Barreira",'Custos insumos'!$D$22,)))))))))))</f>
        <v>0</v>
      </c>
      <c r="O49" s="18"/>
      <c r="P49" s="53">
        <f t="shared" si="10"/>
        <v>0.27149891067538123</v>
      </c>
      <c r="Q49" s="50">
        <f t="shared" si="11"/>
        <v>229.5</v>
      </c>
      <c r="R49" s="50" cm="1">
        <f t="array" ref="R49">_xlfn.IFS(C49="Calandra",(350),C49="Peletização",(421),C49="Dublagem Spun",(250),C49="Dublagem Cretone PES",(180),C49="Felpagem",(270/E49),C49="Emborrachamento",(200),C49="Espelhamento",(250),C49="Malha",(1),C49="Dublagem Cretone",(180),C49="Malha",(1),C49="Dublagem Spun - MO",250,C49="Dublagem Cretone - MO",180,C49="Dublagem Cretone PES - MO",180,C49="Espelhamento - MO",250,C49="Emborrachamento",100,C49="Malha",0,C49="Dublagem Barreira",100,C49="Pel. + Cal.",350,C49="Fel. + Pel. + Cal.",270,C49="Pel. + Spun",250,C49="Espelhamento - L: 1,45m",200,C49="Espelhamento - L: 1,65m",200,C49="Estampagem",100,C49="Fel. + Cal.",270,C49="Dublagem Juta",180,C49="Dublagem Cretone - MO (Juta)",180,C49="Dublagem Tapete",150,C49="Esp. + Pel.",200,C49="Espelhamento 2x",100)</f>
        <v>135</v>
      </c>
      <c r="S49" s="50">
        <f t="shared" si="12"/>
        <v>167.191</v>
      </c>
      <c r="T49" s="18" cm="1">
        <f t="array" ref="T49">_xlfn.IFS(C49="Calandra",0.4,C49="Felpagem",0.3,C49="Dublagem Spun",0.8,C49="Dublagem Cretone",0.8,C49="Dublagem Cretone PES",0.8,C49="Espelhamento",0.8,C49="Peletização",0.5,C49="Dublagem Spun - MO",0.8,C49="Dublagem Cretone - MO",0.8,C49="Dublagem Cretone PES - MO",0.8,C49="Espelhamento - MO",0.8,C49="Emborrachamento",1,C49="Malha",0,C49="Dublagem Barreira",1,C49="Pel. + Cal.",0.4,C49="Fel. + Pel. + Cal.",0.5,C49="Pel. + Spun",0.8,C49="Espelhamento - L: 1,45m",0.8,C49="Espelhamento - L: 1,65m",0.8,C49="Estampagem",1,C49="Fel. + Cal.",0.4,C49="Dublagem Juta",0.8,C49="Dublagem Cretone - MO (Juta)",0.8,C49="Dublagem Tapete",0.8,C49="Esp. + Pel.",0.8,C49="Espelhamento 2x",0.8)</f>
        <v>0.3</v>
      </c>
      <c r="U49" s="18">
        <v>1</v>
      </c>
      <c r="V49" s="18">
        <v>1</v>
      </c>
      <c r="W49" s="18"/>
      <c r="X49" s="18">
        <v>39.67</v>
      </c>
      <c r="Y49" s="18">
        <v>38.51</v>
      </c>
      <c r="Z49" s="18">
        <v>116.78</v>
      </c>
      <c r="AA49" s="18"/>
    </row>
    <row r="50" spans="1:27" ht="14.25" customHeight="1" x14ac:dyDescent="0.35">
      <c r="A50" s="18"/>
      <c r="B50" s="22" t="s">
        <v>92</v>
      </c>
      <c r="C50" s="23" t="s">
        <v>144</v>
      </c>
      <c r="D50" s="23" t="s">
        <v>103</v>
      </c>
      <c r="E50" s="24">
        <v>1</v>
      </c>
      <c r="F50" s="25">
        <v>0.7</v>
      </c>
      <c r="G50" s="25">
        <v>0.7</v>
      </c>
      <c r="H50" s="26" t="s">
        <v>243</v>
      </c>
      <c r="I50" s="27">
        <f t="shared" si="15"/>
        <v>0.7</v>
      </c>
      <c r="J50" s="28">
        <v>46036</v>
      </c>
      <c r="K50" s="29" t="s">
        <v>283</v>
      </c>
      <c r="L50" s="30">
        <f t="shared" si="14"/>
        <v>0.7</v>
      </c>
      <c r="M50" s="30">
        <f>IF(B50="Texion Textil",0,IF(C50="Malha",'Custos insumos'!$B$24,IF(C50="Dublagem Cretone",'Custos insumos'!$D$7,IF(C50="Dublagem Spun",'Custos insumos'!$D$4,IF(C50="Espelhamento",'Custos insumos'!$B$11,IF(C50="Espelhamento 2x",2*'Custos insumos'!$B$11,IF(C50="Esp. + Pel.",'Custos insumos'!$B$11,IF(C50="Pel. + Spun",'Custos insumos'!$D$4,IF(C50="Dublagem Cretone PES",'Custos insumos'!$D$7,IF(C50="Dublagem Barreira",'Custos insumos'!$D$11,IF(C50="Dublagem - MO + Filme",'Custos insumos'!$D$4,IF(C50="Dublagem Cretone HM50",'Custos insumos'!$D$26,IF(C50="Dublagem Cretone HM70",'Custos insumos'!$F$10,)))))))))))))</f>
        <v>0</v>
      </c>
      <c r="N50" s="30">
        <f>IF(B50="Texion Textil",0,IF(B50="Três Elos",0,IF(C50="Malha",0,IF(C50="Dublagem Cretone",'Custos insumos'!$D$23,IF(C50="Dublagem Spun",'Custos insumos'!$D$19,IF(C50="Espelhamento",0,IF(C50="Espelhamento 2x",0,IF(C50="Esp. + Pel.",0,IF(C50="Pel. + Spun",'Custos insumos'!$D$19,IF(C50="Dublagem Cretone PES",'Custos insumos'!$F$25,IF(C50="Dublagem Barreira",'Custos insumos'!$D$22,)))))))))))</f>
        <v>0</v>
      </c>
      <c r="O50" s="18"/>
      <c r="P50" s="53">
        <f t="shared" si="10"/>
        <v>0.40575161180861891</v>
      </c>
      <c r="Q50" s="50">
        <f t="shared" si="11"/>
        <v>294.7</v>
      </c>
      <c r="R50" s="50" cm="1">
        <f t="array" ref="R50">_xlfn.IFS(C50="Calandra",(350),C50="Peletização",(421),C50="Dublagem Spun",(250),C50="Dublagem Cretone PES",(180),C50="Felpagem",(270/E50),C50="Emborrachamento",(200),C50="Espelhamento",(250),C50="Malha",(1),C50="Dublagem Cretone",(180),C50="Malha",(1),C50="Dublagem Spun - MO",250,C50="Dublagem Cretone - MO",180,C50="Dublagem Cretone PES - MO",180,C50="Espelhamento - MO",250,C50="Emborrachamento",100,C50="Malha",0,C50="Dublagem Barreira",100,C50="Pel. + Cal.",350,C50="Fel. + Pel. + Cal.",270,C50="Pel. + Spun",250,C50="Espelhamento - L: 1,45m",200,C50="Espelhamento - L: 1,65m",200,C50="Estampagem",100,C50="Fel. + Cal.",270,C50="Dublagem Juta",180,C50="Dublagem Cretone - MO (Juta)",180,C50="Dublagem Tapete",150,C50="Esp. + Pel.",200,C50="Espelhamento 2x",100)</f>
        <v>421</v>
      </c>
      <c r="S50" s="50">
        <f t="shared" si="12"/>
        <v>175.125</v>
      </c>
      <c r="T50" s="18" cm="1">
        <f t="array" ref="T50">_xlfn.IFS(C50="Calandra",0.4,C50="Felpagem",0.3,C50="Dublagem Spun",0.8,C50="Dublagem Cretone",0.8,C50="Dublagem Cretone PES",0.8,C50="Espelhamento",0.8,C50="Peletização",0.5,C50="Dublagem Spun - MO",0.8,C50="Dublagem Cretone - MO",0.8,C50="Dublagem Cretone PES - MO",0.8,C50="Espelhamento - MO",0.8,C50="Emborrachamento",1,C50="Malha",0,C50="Dublagem Barreira",1,C50="Pel. + Cal.",0.4,C50="Fel. + Pel. + Cal.",0.5,C50="Pel. + Spun",0.8,C50="Espelhamento - L: 1,45m",0.8,C50="Espelhamento - L: 1,65m",0.8,C50="Estampagem",1,C50="Fel. + Cal.",0.4,C50="Dublagem Juta",0.8,C50="Dublagem Cretone - MO (Juta)",0.8,C50="Dublagem Tapete",0.8,C50="Esp. + Pel.",0.8,C50="Espelhamento 2x",0.8)</f>
        <v>0.5</v>
      </c>
      <c r="U50" s="18">
        <v>1</v>
      </c>
      <c r="V50" s="18">
        <v>1</v>
      </c>
      <c r="W50" s="18"/>
      <c r="X50" s="18">
        <v>39.67</v>
      </c>
      <c r="Y50" s="18">
        <v>38.51</v>
      </c>
      <c r="Z50" s="18">
        <v>116.78</v>
      </c>
      <c r="AA50" s="18"/>
    </row>
    <row r="51" spans="1:27" ht="14.25" customHeight="1" x14ac:dyDescent="0.35">
      <c r="A51" s="18"/>
      <c r="B51" s="22" t="s">
        <v>92</v>
      </c>
      <c r="C51" s="23" t="s">
        <v>292</v>
      </c>
      <c r="D51" s="23"/>
      <c r="E51" s="24">
        <v>1</v>
      </c>
      <c r="F51" s="25">
        <v>1.4</v>
      </c>
      <c r="G51" s="25">
        <v>1.4</v>
      </c>
      <c r="H51" s="26" t="s">
        <v>243</v>
      </c>
      <c r="I51" s="27">
        <f t="shared" si="15"/>
        <v>1.4</v>
      </c>
      <c r="J51" s="28">
        <v>46036</v>
      </c>
      <c r="K51" s="29" t="s">
        <v>285</v>
      </c>
      <c r="L51" s="30">
        <f t="shared" si="14"/>
        <v>1.4</v>
      </c>
      <c r="M51" s="30">
        <f>IF(B51="Texion Textil",0,IF(C51="Malha",'Custos insumos'!$B$24,IF(C51="Dublagem Cretone",'Custos insumos'!$D$7,IF(C51="Dublagem Spun",'Custos insumos'!$D$4,IF(C51="Espelhamento",'Custos insumos'!$B$11,IF(C51="Espelhamento 2x",2*'Custos insumos'!$B$11,IF(C51="Esp. + Pel.",'Custos insumos'!$B$11,IF(C51="Pel. + Spun",'Custos insumos'!$D$4,IF(C51="Dublagem Cretone PES",'Custos insumos'!$D$7,IF(C51="Dublagem Barreira",'Custos insumos'!$D$11,IF(C51="Dublagem - MO + Filme",'Custos insumos'!$D$4,IF(C51="Dublagem Cretone HM50",'Custos insumos'!$D$26,IF(C51="Dublagem Cretone HM70",'Custos insumos'!$F$10,)))))))))))))</f>
        <v>0</v>
      </c>
      <c r="N51" s="30">
        <f>IF(B51="Texion Textil",0,IF(B51="Três Elos",0,IF(C51="Malha",0,IF(C51="Dublagem Cretone",'Custos insumos'!$D$23,IF(C51="Dublagem Spun",'Custos insumos'!$D$19,IF(C51="Espelhamento",0,IF(C51="Espelhamento 2x",0,IF(C51="Esp. + Pel.",0,IF(C51="Pel. + Spun",'Custos insumos'!$D$19,IF(C51="Dublagem Cretone PES",'Custos insumos'!$F$25,IF(C51="Dublagem Barreira",'Custos insumos'!$D$22,)))))))))))</f>
        <v>0</v>
      </c>
      <c r="O51" s="18"/>
      <c r="P51" s="53">
        <f t="shared" si="10"/>
        <v>0.65069795918367335</v>
      </c>
      <c r="Q51" s="50">
        <f t="shared" si="11"/>
        <v>489.99999999999994</v>
      </c>
      <c r="R51" s="50" cm="1">
        <f t="array" ref="R51">_xlfn.IFS(C51="Calandra",(350),C51="Peletização",(421),C51="Dublagem Spun",(250),C51="Dublagem Cretone PES",(180),C51="Felpagem",(270/E51),C51="Emborrachamento",(200),C51="Espelhamento",(250),C51="Malha",(1),C51="Dublagem Cretone",(180),C51="Malha",(1),C51="Dublagem Spun - MO",250,C51="Dublagem Cretone - MO",180,C51="Dublagem Cretone PES - MO",180,C51="Espelhamento - MO",250,C51="Emborrachamento",100,C51="Malha",0,C51="Dublagem Barreira",100,C51="Pel. + Cal.",350,C51="Fel. + Pel. + Cal.",270,C51="Pel. + Spun",250,C51="Espelhamento - L: 1,45m",200,C51="Espelhamento - L: 1,65m",200,C51="Estampagem",100,C51="Fel. + Cal.",270,C51="Dublagem Juta",180,C51="Dublagem Cretone - MO (Juta)",180,C51="Dublagem Tapete",150,C51="Esp. + Pel.",200,C51="Espelhamento 2x",100)</f>
        <v>350</v>
      </c>
      <c r="S51" s="50">
        <f t="shared" si="12"/>
        <v>171.15800000000002</v>
      </c>
      <c r="T51" s="18" cm="1">
        <f t="array" ref="T51">_xlfn.IFS(C51="Calandra",0.4,C51="Felpagem",0.3,C51="Dublagem Spun",0.8,C51="Dublagem Cretone",0.8,C51="Dublagem Cretone PES",0.8,C51="Espelhamento",0.8,C51="Peletização",0.5,C51="Dublagem Spun - MO",0.8,C51="Dublagem Cretone - MO",0.8,C51="Dublagem Cretone PES - MO",0.8,C51="Espelhamento - MO",0.8,C51="Emborrachamento",1,C51="Malha",0,C51="Dublagem Barreira",1,C51="Pel. + Cal.",0.4,C51="Fel. + Pel. + Cal.",0.5,C51="Pel. + Spun",0.8,C51="Espelhamento - L: 1,45m",0.8,C51="Espelhamento - L: 1,65m",0.8,C51="Estampagem",1,C51="Fel. + Cal.",0.4,C51="Dublagem Juta",0.8,C51="Dublagem Cretone - MO (Juta)",0.8,C51="Dublagem Tapete",0.8,C51="Esp. + Pel.",0.8,C51="Espelhamento 2x",0.8)</f>
        <v>0.4</v>
      </c>
      <c r="U51" s="18">
        <v>1</v>
      </c>
      <c r="V51" s="18">
        <v>1</v>
      </c>
      <c r="W51" s="18"/>
      <c r="X51" s="18">
        <v>39.67</v>
      </c>
      <c r="Y51" s="18">
        <v>38.51</v>
      </c>
      <c r="Z51" s="18">
        <v>116.78</v>
      </c>
      <c r="AA51" s="18"/>
    </row>
    <row r="52" spans="1:27" ht="14.25" customHeight="1" x14ac:dyDescent="0.35">
      <c r="A52" s="18"/>
      <c r="B52" s="22" t="s">
        <v>92</v>
      </c>
      <c r="C52" s="23" t="s">
        <v>142</v>
      </c>
      <c r="D52" s="23" t="s">
        <v>114</v>
      </c>
      <c r="E52" s="24">
        <v>1</v>
      </c>
      <c r="F52" s="25">
        <v>0.7</v>
      </c>
      <c r="G52" s="25">
        <v>0.7</v>
      </c>
      <c r="H52" s="26" t="s">
        <v>243</v>
      </c>
      <c r="I52" s="27">
        <f t="shared" si="15"/>
        <v>0.7</v>
      </c>
      <c r="J52" s="28">
        <v>46036</v>
      </c>
      <c r="K52" s="29" t="s">
        <v>285</v>
      </c>
      <c r="L52" s="30">
        <f t="shared" si="14"/>
        <v>0.7</v>
      </c>
      <c r="M52" s="30">
        <f>IF(B52="Texion Textil",0,IF(C52="Malha",'Custos insumos'!$B$24,IF(C52="Dublagem Cretone",'Custos insumos'!$D$7,IF(C52="Dublagem Spun",'Custos insumos'!$D$4,IF(C52="Espelhamento",'Custos insumos'!$B$11,IF(C52="Espelhamento 2x",2*'Custos insumos'!$B$11,IF(C52="Esp. + Pel.",'Custos insumos'!$B$11,IF(C52="Pel. + Spun",'Custos insumos'!$D$4,IF(C52="Dublagem Cretone PES",'Custos insumos'!$D$7,IF(C52="Dublagem Barreira",'Custos insumos'!$D$11,IF(C52="Dublagem - MO + Filme",'Custos insumos'!$D$4,IF(C52="Dublagem Cretone HM50",'Custos insumos'!$D$26,IF(C52="Dublagem Cretone HM70",'Custos insumos'!$F$10,)))))))))))))</f>
        <v>0</v>
      </c>
      <c r="N52" s="30">
        <f>IF(B52="Texion Textil",0,IF(B52="Três Elos",0,IF(C52="Malha",0,IF(C52="Dublagem Cretone",'Custos insumos'!$D$23,IF(C52="Dublagem Spun",'Custos insumos'!$D$19,IF(C52="Espelhamento",0,IF(C52="Espelhamento 2x",0,IF(C52="Esp. + Pel.",0,IF(C52="Pel. + Spun",'Custos insumos'!$D$19,IF(C52="Dublagem Cretone PES",'Custos insumos'!$F$25,IF(C52="Dublagem Barreira",'Custos insumos'!$D$22,)))))))))))</f>
        <v>0</v>
      </c>
      <c r="O52" s="18"/>
      <c r="P52" s="53">
        <f t="shared" si="10"/>
        <v>0.3013959183673468</v>
      </c>
      <c r="Q52" s="50">
        <f t="shared" si="11"/>
        <v>244.99999999999997</v>
      </c>
      <c r="R52" s="50" cm="1">
        <f t="array" ref="R52">_xlfn.IFS(C52="Calandra",(350),C52="Peletização",(421),C52="Dublagem Spun",(250),C52="Dublagem Cretone PES",(180),C52="Felpagem",(270/E52),C52="Emborrachamento",(200),C52="Espelhamento",(250),C52="Malha",(1),C52="Dublagem Cretone",(180),C52="Malha",(1),C52="Dublagem Spun - MO",250,C52="Dublagem Cretone - MO",180,C52="Dublagem Cretone PES - MO",180,C52="Espelhamento - MO",250,C52="Emborrachamento",100,C52="Malha",0,C52="Dublagem Barreira",100,C52="Pel. + Cal.",350,C52="Fel. + Pel. + Cal.",270,C52="Pel. + Spun",250,C52="Espelhamento - L: 1,45m",200,C52="Espelhamento - L: 1,65m",200,C52="Estampagem",100,C52="Fel. + Cal.",270,C52="Dublagem Juta",180,C52="Dublagem Cretone - MO (Juta)",180,C52="Dublagem Tapete",150,C52="Esp. + Pel.",200,C52="Espelhamento 2x",100)</f>
        <v>350</v>
      </c>
      <c r="S52" s="50">
        <f t="shared" si="12"/>
        <v>171.15800000000002</v>
      </c>
      <c r="T52" s="18" cm="1">
        <f t="array" ref="T52">_xlfn.IFS(C52="Calandra",0.4,C52="Felpagem",0.3,C52="Dublagem Spun",0.8,C52="Dublagem Cretone",0.8,C52="Dublagem Cretone PES",0.8,C52="Espelhamento",0.8,C52="Peletização",0.5,C52="Dublagem Spun - MO",0.8,C52="Dublagem Cretone - MO",0.8,C52="Dublagem Cretone PES - MO",0.8,C52="Espelhamento - MO",0.8,C52="Emborrachamento",1,C52="Malha",0,C52="Dublagem Barreira",1,C52="Pel. + Cal.",0.4,C52="Fel. + Pel. + Cal.",0.5,C52="Pel. + Spun",0.8,C52="Espelhamento - L: 1,45m",0.8,C52="Espelhamento - L: 1,65m",0.8,C52="Estampagem",1,C52="Fel. + Cal.",0.4,C52="Dublagem Juta",0.8,C52="Dublagem Cretone - MO (Juta)",0.8,C52="Dublagem Tapete",0.8,C52="Esp. + Pel.",0.8,C52="Espelhamento 2x",0.8)</f>
        <v>0.4</v>
      </c>
      <c r="U52" s="18">
        <v>1</v>
      </c>
      <c r="V52" s="18">
        <v>1</v>
      </c>
      <c r="W52" s="18"/>
      <c r="X52" s="18">
        <v>39.67</v>
      </c>
      <c r="Y52" s="18">
        <v>38.51</v>
      </c>
      <c r="Z52" s="18">
        <v>116.78</v>
      </c>
      <c r="AA52" s="18"/>
    </row>
    <row r="53" spans="1:27" ht="14.25" customHeight="1" x14ac:dyDescent="0.35">
      <c r="A53" s="18"/>
      <c r="B53" s="22" t="s">
        <v>120</v>
      </c>
      <c r="C53" s="23" t="s">
        <v>249</v>
      </c>
      <c r="D53" s="23"/>
      <c r="E53" s="24">
        <v>1</v>
      </c>
      <c r="F53" s="25">
        <v>8.6</v>
      </c>
      <c r="G53" s="25">
        <v>8.6</v>
      </c>
      <c r="H53" s="26" t="s">
        <v>243</v>
      </c>
      <c r="I53" s="27">
        <f t="shared" si="15"/>
        <v>8.6</v>
      </c>
      <c r="J53" s="28">
        <v>46036</v>
      </c>
      <c r="K53" s="29"/>
      <c r="L53" s="30">
        <f t="shared" si="14"/>
        <v>6.5857999999999999</v>
      </c>
      <c r="M53" s="30">
        <f>IF(B53="Texion Textil",0,IF(C53="Malha",'Custos insumos'!$B$24,IF(C53="Dublagem Cretone",'Custos insumos'!$D$7,IF(C53="Dublagem Spun",'Custos insumos'!$D$4,IF(C53="Espelhamento",'Custos insumos'!$B$11,IF(C53="Espelhamento 2x",2*'Custos insumos'!$B$11,IF(C53="Esp. + Pel.",'Custos insumos'!$B$11,IF(C53="Pel. + Spun",'Custos insumos'!$D$4,IF(C53="Dublagem Cretone PES",'Custos insumos'!$D$7,IF(C53="Dublagem Barreira",'Custos insumos'!$D$11,IF(C53="Dublagem - MO + Filme",'Custos insumos'!$D$4,IF(C53="Dublagem Cretone HM50",'Custos insumos'!$D$26,IF(C53="Dublagem Cretone HM70",'Custos insumos'!$F$10,)))))))))))))</f>
        <v>1.1232</v>
      </c>
      <c r="N53" s="30">
        <f>IF(B53="Texion Textil",0,IF(B53="Três Elos",0,IF(C53="Malha",0,IF(C53="Dublagem Cretone",'Custos insumos'!$D$23,IF(C53="Dublagem Spun",'Custos insumos'!$D$19,IF(C53="Espelhamento",0,IF(C53="Espelhamento 2x",0,IF(C53="Esp. + Pel.",0,IF(C53="Pel. + Spun",'Custos insumos'!$D$19,IF(C53="Dublagem Cretone PES",'Custos insumos'!$F$25,IF(C53="Dublagem Barreira",'Custos insumos'!$D$22,)))))))))))</f>
        <v>0.89100000000000001</v>
      </c>
      <c r="O53" s="18"/>
      <c r="P53" s="53">
        <f t="shared" si="10"/>
        <v>0.67880186046511626</v>
      </c>
      <c r="Q53" s="50">
        <f t="shared" si="11"/>
        <v>2150</v>
      </c>
      <c r="R53" s="50" cm="1">
        <f t="array" ref="R53">_xlfn.IFS(C53="Calandra",(350),C53="Peletização",(421),C53="Dublagem Spun",(250),C53="Dublagem Cretone PES",(180),C53="Felpagem",(270/E53),C53="Emborrachamento",(200),C53="Espelhamento",(250),C53="Malha",(1),C53="Dublagem Cretone",(180),C53="Malha",(1),C53="Dublagem Spun - MO",250,C53="Dublagem Cretone - MO",180,C53="Dublagem Cretone PES - MO",180,C53="Espelhamento - MO",250,C53="Emborrachamento",100,C53="Malha",0,C53="Dublagem Barreira",100,C53="Pel. + Cal.",350,C53="Fel. + Pel. + Cal.",270,C53="Pel. + Spun",250,C53="Espelhamento - L: 1,45m",200,C53="Espelhamento - L: 1,65m",200,C53="Estampagem",100,C53="Fel. + Cal.",270,C53="Dublagem Juta",180,C53="Dublagem Cretone - MO (Juta)",180,C53="Dublagem Tapete",150,C53="Esp. + Pel.",200,C53="Espelhamento 2x",100)</f>
        <v>250</v>
      </c>
      <c r="S53" s="50">
        <f t="shared" si="12"/>
        <v>690.57600000000002</v>
      </c>
      <c r="T53" s="18" cm="1">
        <f t="array" ref="T53">_xlfn.IFS(C53="Calandra",0.4,C53="Felpagem",0.3,C53="Dublagem Spun",0.8,C53="Dublagem Cretone",0.8,C53="Dublagem Cretone PES",0.8,C53="Espelhamento",0.8,C53="Peletização",0.5,C53="Dublagem Spun - MO",0.8,C53="Dublagem Cretone - MO",0.8,C53="Dublagem Cretone PES - MO",0.8,C53="Espelhamento - MO",0.8,C53="Emborrachamento",1,C53="Malha",0,C53="Dublagem Barreira",1,C53="Pel. + Cal.",0.4,C53="Fel. + Pel. + Cal.",0.5,C53="Pel. + Spun",0.8,C53="Espelhamento - L: 1,45m",0.8,C53="Espelhamento - L: 1,65m",0.8,C53="Estampagem",1,C53="Fel. + Cal.",0.4,C53="Dublagem Juta",0.8,C53="Dublagem Cretone - MO (Juta)",0.8,C53="Dublagem Tapete",0.8,C53="Esp. + Pel.",0.8,C53="Espelhamento 2x",0.8)</f>
        <v>0.8</v>
      </c>
      <c r="U53" s="18">
        <v>1</v>
      </c>
      <c r="V53" s="18">
        <v>1</v>
      </c>
      <c r="W53" s="18"/>
      <c r="X53" s="18">
        <v>39.67</v>
      </c>
      <c r="Y53" s="18">
        <v>38.51</v>
      </c>
      <c r="Z53" s="18">
        <v>116.78</v>
      </c>
      <c r="AA53" s="18"/>
    </row>
    <row r="54" spans="1:27" ht="14.25" customHeight="1" x14ac:dyDescent="0.35">
      <c r="A54" s="18"/>
      <c r="B54" s="64" t="s">
        <v>121</v>
      </c>
      <c r="C54" s="23" t="s">
        <v>142</v>
      </c>
      <c r="D54" s="23"/>
      <c r="E54" s="24">
        <v>1</v>
      </c>
      <c r="F54" s="25">
        <v>0.75</v>
      </c>
      <c r="G54" s="25">
        <v>0.75</v>
      </c>
      <c r="H54" s="26" t="s">
        <v>243</v>
      </c>
      <c r="I54" s="27">
        <f t="shared" si="15"/>
        <v>0.75</v>
      </c>
      <c r="J54" s="28">
        <v>46036</v>
      </c>
      <c r="K54" s="29"/>
      <c r="L54" s="30">
        <f t="shared" si="14"/>
        <v>0.75</v>
      </c>
      <c r="M54" s="30">
        <f>IF(B54="Texion Textil",0,IF(C54="Malha",'Custos insumos'!$B$24,IF(C54="Dublagem Cretone",'Custos insumos'!$D$7,IF(C54="Dublagem Spun",'Custos insumos'!$D$4,IF(C54="Espelhamento",'Custos insumos'!$B$11,IF(C54="Espelhamento 2x",2*'Custos insumos'!$B$11,IF(C54="Esp. + Pel.",'Custos insumos'!$B$11,IF(C54="Pel. + Spun",'Custos insumos'!$D$4,IF(C54="Dublagem Cretone PES",'Custos insumos'!$D$7,IF(C54="Dublagem Barreira",'Custos insumos'!$D$11,IF(C54="Dublagem - MO + Filme",'Custos insumos'!$D$4,IF(C54="Dublagem Cretone HM50",'Custos insumos'!$D$26,IF(C54="Dublagem Cretone HM70",'Custos insumos'!$F$10,)))))))))))))</f>
        <v>0</v>
      </c>
      <c r="N54" s="30">
        <f>IF(B54="Texion Textil",0,IF(B54="Três Elos",0,IF(C54="Malha",0,IF(C54="Dublagem Cretone",'Custos insumos'!$D$23,IF(C54="Dublagem Spun",'Custos insumos'!$D$19,IF(C54="Espelhamento",0,IF(C54="Espelhamento 2x",0,IF(C54="Esp. + Pel.",0,IF(C54="Pel. + Spun",'Custos insumos'!$D$19,IF(C54="Dublagem Cretone PES",'Custos insumos'!$F$25,IF(C54="Dublagem Barreira",'Custos insumos'!$D$22,)))))))))))</f>
        <v>0</v>
      </c>
      <c r="O54" s="18"/>
      <c r="P54" s="53">
        <f t="shared" si="10"/>
        <v>0.34796952380952373</v>
      </c>
      <c r="Q54" s="50">
        <f t="shared" si="11"/>
        <v>262.5</v>
      </c>
      <c r="R54" s="50" cm="1">
        <f t="array" ref="R54">_xlfn.IFS(C54="Calandra",(350),C54="Peletização",(421),C54="Dublagem Spun",(250),C54="Dublagem Cretone PES",(180),C54="Felpagem",(270/E54),C54="Emborrachamento",(200),C54="Espelhamento",(250),C54="Malha",(1),C54="Dublagem Cretone",(180),C54="Malha",(1),C54="Dublagem Spun - MO",250,C54="Dublagem Cretone - MO",180,C54="Dublagem Cretone PES - MO",180,C54="Espelhamento - MO",250,C54="Emborrachamento",100,C54="Malha",0,C54="Dublagem Barreira",100,C54="Pel. + Cal.",350,C54="Fel. + Pel. + Cal.",270,C54="Pel. + Spun",250,C54="Espelhamento - L: 1,45m",200,C54="Espelhamento - L: 1,65m",200,C54="Estampagem",100,C54="Fel. + Cal.",270,C54="Dublagem Juta",180,C54="Dublagem Cretone - MO (Juta)",180,C54="Dublagem Tapete",150,C54="Esp. + Pel.",200,C54="Espelhamento 2x",100)</f>
        <v>350</v>
      </c>
      <c r="S54" s="50">
        <f t="shared" si="12"/>
        <v>171.15800000000002</v>
      </c>
      <c r="T54" s="18" cm="1">
        <f t="array" ref="T54">_xlfn.IFS(C54="Calandra",0.4,C54="Felpagem",0.3,C54="Dublagem Spun",0.8,C54="Dublagem Cretone",0.8,C54="Dublagem Cretone PES",0.8,C54="Espelhamento",0.8,C54="Peletização",0.5,C54="Dublagem Spun - MO",0.8,C54="Dublagem Cretone - MO",0.8,C54="Dublagem Cretone PES - MO",0.8,C54="Espelhamento - MO",0.8,C54="Emborrachamento",1,C54="Malha",0,C54="Dublagem Barreira",1,C54="Pel. + Cal.",0.4,C54="Fel. + Pel. + Cal.",0.5,C54="Pel. + Spun",0.8,C54="Espelhamento - L: 1,45m",0.8,C54="Espelhamento - L: 1,65m",0.8,C54="Estampagem",1,C54="Fel. + Cal.",0.4,C54="Dublagem Juta",0.8,C54="Dublagem Cretone - MO (Juta)",0.8,C54="Dublagem Tapete",0.8,C54="Esp. + Pel.",0.8,C54="Espelhamento 2x",0.8)</f>
        <v>0.4</v>
      </c>
      <c r="U54" s="18">
        <v>1</v>
      </c>
      <c r="V54" s="18">
        <v>1</v>
      </c>
      <c r="W54" s="18"/>
      <c r="X54" s="18">
        <v>39.67</v>
      </c>
      <c r="Y54" s="18">
        <v>38.51</v>
      </c>
      <c r="Z54" s="18">
        <v>116.78</v>
      </c>
      <c r="AA54" s="18"/>
    </row>
    <row r="55" spans="1:27" ht="14.25" customHeight="1" x14ac:dyDescent="0.35">
      <c r="A55" s="18"/>
      <c r="B55" s="64" t="s">
        <v>121</v>
      </c>
      <c r="C55" s="23" t="s">
        <v>286</v>
      </c>
      <c r="D55" s="23" t="s">
        <v>477</v>
      </c>
      <c r="E55" s="24">
        <v>1</v>
      </c>
      <c r="F55" s="25">
        <v>4.5</v>
      </c>
      <c r="G55" s="25">
        <v>4.5</v>
      </c>
      <c r="H55" s="26" t="s">
        <v>243</v>
      </c>
      <c r="I55" s="27">
        <f t="shared" si="15"/>
        <v>4.5</v>
      </c>
      <c r="J55" s="28">
        <v>46036</v>
      </c>
      <c r="K55" s="29"/>
      <c r="L55" s="30">
        <f t="shared" si="14"/>
        <v>4.5</v>
      </c>
      <c r="M55" s="30">
        <f>IF(B55="Texion Textil",0,IF(C55="Malha",'Custos insumos'!$B$24,IF(C55="Dublagem Cretone",'Custos insumos'!$D$7,IF(C55="Dublagem Spun",'Custos insumos'!$D$4,IF(C55="Espelhamento",'Custos insumos'!$B$11,IF(C55="Espelhamento 2x",2*'Custos insumos'!$B$11,IF(C55="Esp. + Pel.",'Custos insumos'!$B$11,IF(C55="Pel. + Spun",'Custos insumos'!$D$4,IF(C55="Dublagem Cretone PES",'Custos insumos'!$D$7,IF(C55="Dublagem Barreira",'Custos insumos'!$D$11,IF(C55="Dublagem - MO + Filme",'Custos insumos'!$D$4,IF(C55="Dublagem Cretone HM50",'Custos insumos'!$D$26,IF(C55="Dublagem Cretone HM70",'Custos insumos'!$F$10,)))))))))))))</f>
        <v>0</v>
      </c>
      <c r="N55" s="30">
        <f>IF(B55="Texion Textil",0,IF(B55="Três Elos",0,IF(C55="Malha",0,IF(C55="Dublagem Cretone",'Custos insumos'!$D$23,IF(C55="Dublagem Spun",'Custos insumos'!$D$19,IF(C55="Espelhamento",0,IF(C55="Espelhamento 2x",0,IF(C55="Esp. + Pel.",0,IF(C55="Pel. + Spun",'Custos insumos'!$D$19,IF(C55="Dublagem Cretone PES",'Custos insumos'!$F$25,IF(C55="Dublagem Barreira",'Custos insumos'!$D$22,)))))))))))</f>
        <v>0</v>
      </c>
      <c r="O55" s="18"/>
      <c r="P55" s="53">
        <f t="shared" si="10"/>
        <v>0.72292444444444448</v>
      </c>
      <c r="Q55" s="50">
        <f t="shared" si="11"/>
        <v>675</v>
      </c>
      <c r="R55" s="50" cm="1">
        <f t="array" ref="R55">_xlfn.IFS(C55="Calandra",(350),C55="Peletização",(421),C55="Dublagem Spun",(250),C55="Dublagem Cretone PES",(180),C55="Felpagem",(270/E55),C55="Emborrachamento",(200),C55="Espelhamento",(250),C55="Malha",(1),C55="Dublagem Cretone",(180),C55="Malha",(1),C55="Dublagem Spun - MO",250,C55="Dublagem Cretone - MO",180,C55="Dublagem Cretone PES - MO",180,C55="Espelhamento - MO",250,C55="Emborrachamento",100,C55="Malha",0,C55="Dublagem Barreira",100,C55="Pel. + Cal.",350,C55="Fel. + Pel. + Cal.",270,C55="Pel. + Spun",250,C55="Espelhamento - L: 1,45m",200,C55="Espelhamento - L: 1,65m",200,C55="Estampagem",100,C55="Fel. + Cal.",270,C55="Dublagem Juta",180,C55="Dublagem Cretone - MO (Juta)",180,C55="Dublagem Tapete",150,C55="Esp. + Pel.",200,C55="Espelhamento 2x",100)</f>
        <v>150</v>
      </c>
      <c r="S55" s="50">
        <f t="shared" si="12"/>
        <v>187.02600000000001</v>
      </c>
      <c r="T55" s="18" cm="1">
        <f t="array" ref="T55">_xlfn.IFS(C55="Calandra",0.4,C55="Felpagem",0.3,C55="Dublagem Spun",0.8,C55="Dublagem Cretone",0.8,C55="Dublagem Cretone PES",0.8,C55="Espelhamento",0.8,C55="Peletização",0.5,C55="Dublagem Spun - MO",0.8,C55="Dublagem Cretone - MO",0.8,C55="Dublagem Cretone PES - MO",0.8,C55="Espelhamento - MO",0.8,C55="Emborrachamento",1,C55="Malha",0,C55="Dublagem Barreira",1,C55="Pel. + Cal.",0.4,C55="Fel. + Pel. + Cal.",0.5,C55="Pel. + Spun",0.8,C55="Espelhamento - L: 1,45m",0.8,C55="Espelhamento - L: 1,65m",0.8,C55="Estampagem",1,C55="Fel. + Cal.",0.4,C55="Dublagem Juta",0.8,C55="Dublagem Cretone - MO (Juta)",0.8,C55="Dublagem Tapete",0.8,C55="Esp. + Pel.",0.8,C55="Espelhamento 2x",0.8)</f>
        <v>0.8</v>
      </c>
      <c r="U55" s="18">
        <v>1</v>
      </c>
      <c r="V55" s="18">
        <v>1</v>
      </c>
      <c r="W55" s="18"/>
      <c r="X55" s="18">
        <v>39.67</v>
      </c>
      <c r="Y55" s="18">
        <v>38.51</v>
      </c>
      <c r="Z55" s="18">
        <v>116.78</v>
      </c>
      <c r="AA55" s="18"/>
    </row>
    <row r="56" spans="1:27" ht="14.25" customHeight="1" x14ac:dyDescent="0.35">
      <c r="A56" s="18"/>
      <c r="B56" s="64" t="s">
        <v>121</v>
      </c>
      <c r="C56" s="23" t="s">
        <v>98</v>
      </c>
      <c r="D56" s="23"/>
      <c r="E56" s="24">
        <v>1</v>
      </c>
      <c r="F56" s="25">
        <v>4.5</v>
      </c>
      <c r="G56" s="25">
        <v>4.5</v>
      </c>
      <c r="H56" s="26" t="s">
        <v>243</v>
      </c>
      <c r="I56" s="27">
        <f t="shared" si="15"/>
        <v>4.5</v>
      </c>
      <c r="J56" s="28">
        <v>46036</v>
      </c>
      <c r="K56" s="29"/>
      <c r="L56" s="30">
        <f t="shared" si="14"/>
        <v>3.1307999999999998</v>
      </c>
      <c r="M56" s="30">
        <f>'Custos insumos'!N3</f>
        <v>0.6611999999999999</v>
      </c>
      <c r="N56" s="30">
        <f>'Custos insumos'!L18</f>
        <v>0.70799999999999996</v>
      </c>
      <c r="O56" s="18"/>
      <c r="P56" s="53" t="e">
        <f t="shared" si="10"/>
        <v>#N/A</v>
      </c>
      <c r="Q56" s="50" t="e">
        <f t="shared" si="11"/>
        <v>#N/A</v>
      </c>
      <c r="R56" s="50" t="e" cm="1">
        <f t="array" ref="R56">_xlfn.IFS(C56="Calandra",(350),C56="Peletização",(421),C56="Dublagem Spun",(250),C56="Dublagem Cretone PES",(180),C56="Felpagem",(270/E56),C56="Emborrachamento",(200),C56="Espelhamento",(250),C56="Malha",(1),C56="Dublagem Cretone",(180),C56="Malha",(1),C56="Dublagem Spun - MO",250,C56="Dublagem Cretone - MO",180,C56="Dublagem Cretone PES - MO",180,C56="Espelhamento - MO",250,C56="Emborrachamento",100,C56="Malha",0,C56="Dublagem Barreira",100,C56="Pel. + Cal.",350,C56="Fel. + Pel. + Cal.",270,C56="Pel. + Spun",250,C56="Espelhamento - L: 1,45m",200,C56="Espelhamento - L: 1,65m",200,C56="Estampagem",100,C56="Fel. + Cal.",270,C56="Dublagem Juta",180,C56="Dublagem Cretone - MO (Juta)",180,C56="Dublagem Tapete",150,C56="Esp. + Pel.",200,C56="Espelhamento 2x",100)</f>
        <v>#N/A</v>
      </c>
      <c r="S56" s="50" t="e">
        <f t="shared" si="12"/>
        <v>#N/A</v>
      </c>
      <c r="T56" s="18" t="e" cm="1">
        <f t="array" ref="T56">_xlfn.IFS(C56="Calandra",0.4,C56="Felpagem",0.3,C56="Dublagem Spun",0.8,C56="Dublagem Cretone",0.8,C56="Dublagem Cretone PES",0.8,C56="Espelhamento",0.8,C56="Peletização",0.5,C56="Dublagem Spun - MO",0.8,C56="Dublagem Cretone - MO",0.8,C56="Dublagem Cretone PES - MO",0.8,C56="Espelhamento - MO",0.8,C56="Emborrachamento",1,C56="Malha",0,C56="Dublagem Barreira",1,C56="Pel. + Cal.",0.4,C56="Fel. + Pel. + Cal.",0.5,C56="Pel. + Spun",0.8,C56="Espelhamento - L: 1,45m",0.8,C56="Espelhamento - L: 1,65m",0.8,C56="Estampagem",1,C56="Fel. + Cal.",0.4,C56="Dublagem Juta",0.8,C56="Dublagem Cretone - MO (Juta)",0.8,C56="Dublagem Tapete",0.8,C56="Esp. + Pel.",0.8,C56="Espelhamento 2x",0.8)</f>
        <v>#N/A</v>
      </c>
      <c r="U56" s="18">
        <v>1</v>
      </c>
      <c r="V56" s="18">
        <v>1</v>
      </c>
      <c r="W56" s="18"/>
      <c r="X56" s="18">
        <v>39.67</v>
      </c>
      <c r="Y56" s="18">
        <v>38.51</v>
      </c>
      <c r="Z56" s="18">
        <v>116.78</v>
      </c>
      <c r="AA56" s="18"/>
    </row>
    <row r="57" spans="1:27" ht="14.25" customHeight="1" x14ac:dyDescent="0.35">
      <c r="A57" s="18"/>
      <c r="B57" s="64" t="s">
        <v>121</v>
      </c>
      <c r="C57" s="23" t="s">
        <v>254</v>
      </c>
      <c r="D57" s="23"/>
      <c r="E57" s="24">
        <v>2</v>
      </c>
      <c r="F57" s="25">
        <v>1</v>
      </c>
      <c r="G57" s="25">
        <v>1.1000000000000001</v>
      </c>
      <c r="H57" s="26" t="s">
        <v>243</v>
      </c>
      <c r="I57" s="27">
        <f t="shared" si="15"/>
        <v>0.55000000000000004</v>
      </c>
      <c r="J57" s="28">
        <v>46036</v>
      </c>
      <c r="K57" s="29"/>
      <c r="L57" s="30">
        <f t="shared" si="14"/>
        <v>1.1000000000000001</v>
      </c>
      <c r="M57" s="30">
        <f>IF(B57="Texion Textil",0,IF(C57="Malha",'Custos insumos'!$B$24,IF(C57="Dublagem Cretone",'Custos insumos'!$D$7,IF(C57="Dublagem Spun",'Custos insumos'!$D$4,IF(C57="Espelhamento",'Custos insumos'!$B$11,IF(C57="Espelhamento 2x",2*'Custos insumos'!$B$11,IF(C57="Esp. + Pel.",'Custos insumos'!$B$11,IF(C57="Pel. + Spun",'Custos insumos'!$D$4,IF(C57="Dublagem Cretone PES",'Custos insumos'!$D$7,IF(C57="Dublagem Barreira",'Custos insumos'!$D$11,IF(C57="Dublagem - MO + Filme",'Custos insumos'!$D$4,IF(C57="Dublagem Cretone HM50",'Custos insumos'!$D$26,IF(C57="Dublagem Cretone HM70",'Custos insumos'!$F$10,)))))))))))))</f>
        <v>0</v>
      </c>
      <c r="N57" s="30">
        <f>IF(B57="Texion Textil",0,IF(B57="Três Elos",0,IF(C57="Malha",0,IF(C57="Dublagem Cretone",'Custos insumos'!$D$23,IF(C57="Dublagem Spun",'Custos insumos'!$D$19,IF(C57="Espelhamento",0,IF(C57="Espelhamento 2x",0,IF(C57="Esp. + Pel.",0,IF(C57="Pel. + Spun",'Custos insumos'!$D$19,IF(C57="Dublagem Cretone PES",'Custos insumos'!$F$25,IF(C57="Dublagem Barreira",'Custos insumos'!$D$22,)))))))))))</f>
        <v>0</v>
      </c>
      <c r="O57" s="18"/>
      <c r="P57" s="53">
        <f t="shared" si="10"/>
        <v>-0.12586531986531987</v>
      </c>
      <c r="Q57" s="50">
        <f t="shared" si="11"/>
        <v>148.5</v>
      </c>
      <c r="R57" s="50" cm="1">
        <f t="array" ref="R57">_xlfn.IFS(C57="Calandra",(350),C57="Peletização",(421),C57="Dublagem Spun",(250),C57="Dublagem Cretone PES",(180),C57="Felpagem",(270/E57),C57="Emborrachamento",(200),C57="Espelhamento",(250),C57="Malha",(1),C57="Dublagem Cretone",(180),C57="Malha",(1),C57="Dublagem Spun - MO",250,C57="Dublagem Cretone - MO",180,C57="Dublagem Cretone PES - MO",180,C57="Espelhamento - MO",250,C57="Emborrachamento",100,C57="Malha",0,C57="Dublagem Barreira",100,C57="Pel. + Cal.",350,C57="Fel. + Pel. + Cal.",270,C57="Pel. + Spun",250,C57="Espelhamento - L: 1,45m",200,C57="Espelhamento - L: 1,65m",200,C57="Estampagem",100,C57="Fel. + Cal.",270,C57="Dublagem Juta",180,C57="Dublagem Cretone - MO (Juta)",180,C57="Dublagem Tapete",150,C57="Esp. + Pel.",200,C57="Espelhamento 2x",100)</f>
        <v>135</v>
      </c>
      <c r="S57" s="50">
        <f t="shared" si="12"/>
        <v>167.191</v>
      </c>
      <c r="T57" s="18" cm="1">
        <f t="array" ref="T57">_xlfn.IFS(C57="Calandra",0.4,C57="Felpagem",0.3,C57="Dublagem Spun",0.8,C57="Dublagem Cretone",0.8,C57="Dublagem Cretone PES",0.8,C57="Espelhamento",0.8,C57="Peletização",0.5,C57="Dublagem Spun - MO",0.8,C57="Dublagem Cretone - MO",0.8,C57="Dublagem Cretone PES - MO",0.8,C57="Espelhamento - MO",0.8,C57="Emborrachamento",1,C57="Malha",0,C57="Dublagem Barreira",1,C57="Pel. + Cal.",0.4,C57="Fel. + Pel. + Cal.",0.5,C57="Pel. + Spun",0.8,C57="Espelhamento - L: 1,45m",0.8,C57="Espelhamento - L: 1,65m",0.8,C57="Estampagem",1,C57="Fel. + Cal.",0.4,C57="Dublagem Juta",0.8,C57="Dublagem Cretone - MO (Juta)",0.8,C57="Dublagem Tapete",0.8,C57="Esp. + Pel.",0.8,C57="Espelhamento 2x",0.8)</f>
        <v>0.3</v>
      </c>
      <c r="U57" s="18">
        <v>1</v>
      </c>
      <c r="V57" s="18">
        <v>1</v>
      </c>
      <c r="W57" s="18"/>
      <c r="X57" s="18">
        <v>39.67</v>
      </c>
      <c r="Y57" s="18">
        <v>38.51</v>
      </c>
      <c r="Z57" s="18">
        <v>116.78</v>
      </c>
      <c r="AA57" s="18"/>
    </row>
    <row r="58" spans="1:27" ht="14.25" customHeight="1" x14ac:dyDescent="0.35">
      <c r="A58" s="18"/>
      <c r="B58" s="22" t="s">
        <v>288</v>
      </c>
      <c r="C58" s="23" t="s">
        <v>142</v>
      </c>
      <c r="D58" s="23"/>
      <c r="E58" s="24">
        <v>1</v>
      </c>
      <c r="F58" s="25">
        <v>0.8</v>
      </c>
      <c r="G58" s="25">
        <v>0.8</v>
      </c>
      <c r="H58" s="26" t="s">
        <v>243</v>
      </c>
      <c r="I58" s="27">
        <f t="shared" si="15"/>
        <v>0.8</v>
      </c>
      <c r="J58" s="28">
        <v>46036</v>
      </c>
      <c r="K58" s="29"/>
      <c r="L58" s="30">
        <f t="shared" si="14"/>
        <v>0.8</v>
      </c>
      <c r="M58" s="30">
        <f>IF(B58="Texion Textil",0,IF(C58="Malha",'Custos insumos'!$B$24,IF(C58="Dublagem Cretone",'Custos insumos'!$D$7,IF(C58="Dublagem Spun",'Custos insumos'!$D$4,IF(C58="Espelhamento",'Custos insumos'!$B$11,IF(C58="Espelhamento 2x",2*'Custos insumos'!$B$11,IF(C58="Esp. + Pel.",'Custos insumos'!$B$11,IF(C58="Pel. + Spun",'Custos insumos'!$D$4,IF(C58="Dublagem Cretone PES",'Custos insumos'!$D$7,IF(C58="Dublagem Barreira",'Custos insumos'!$D$11,IF(C58="Dublagem - MO + Filme",'Custos insumos'!$D$4,IF(C58="Dublagem Cretone HM50",'Custos insumos'!$D$26,IF(C58="Dublagem Cretone HM70",'Custos insumos'!$F$10,)))))))))))))</f>
        <v>0</v>
      </c>
      <c r="N58" s="30">
        <f>IF(B58="Texion Textil",0,IF(B58="Três Elos",0,IF(C58="Malha",0,IF(C58="Dublagem Cretone",'Custos insumos'!$D$23,IF(C58="Dublagem Spun",'Custos insumos'!$D$19,IF(C58="Espelhamento",0,IF(C58="Espelhamento 2x",0,IF(C58="Esp. + Pel.",0,IF(C58="Pel. + Spun",'Custos insumos'!$D$19,IF(C58="Dublagem Cretone PES",'Custos insumos'!$F$25,IF(C58="Dublagem Barreira",'Custos insumos'!$D$22,)))))))))))</f>
        <v>0</v>
      </c>
      <c r="O58" s="18"/>
      <c r="P58" s="53">
        <f t="shared" si="10"/>
        <v>0.3887214285714285</v>
      </c>
      <c r="Q58" s="50">
        <f t="shared" si="11"/>
        <v>280</v>
      </c>
      <c r="R58" s="50" cm="1">
        <f t="array" ref="R58">_xlfn.IFS(C58="Calandra",(350),C58="Peletização",(421),C58="Dublagem Spun",(250),C58="Dublagem Cretone PES",(180),C58="Felpagem",(270/E58),C58="Emborrachamento",(200),C58="Espelhamento",(250),C58="Malha",(1),C58="Dublagem Cretone",(180),C58="Malha",(1),C58="Dublagem Spun - MO",250,C58="Dublagem Cretone - MO",180,C58="Dublagem Cretone PES - MO",180,C58="Espelhamento - MO",250,C58="Emborrachamento",100,C58="Malha",0,C58="Dublagem Barreira",100,C58="Pel. + Cal.",350,C58="Fel. + Pel. + Cal.",270,C58="Pel. + Spun",250,C58="Espelhamento - L: 1,45m",200,C58="Espelhamento - L: 1,65m",200,C58="Estampagem",100,C58="Fel. + Cal.",270,C58="Dublagem Juta",180,C58="Dublagem Cretone - MO (Juta)",180,C58="Dublagem Tapete",150,C58="Esp. + Pel.",200,C58="Espelhamento 2x",100)</f>
        <v>350</v>
      </c>
      <c r="S58" s="50">
        <f t="shared" si="12"/>
        <v>171.15800000000002</v>
      </c>
      <c r="T58" s="18" cm="1">
        <f t="array" ref="T58">_xlfn.IFS(C58="Calandra",0.4,C58="Felpagem",0.3,C58="Dublagem Spun",0.8,C58="Dublagem Cretone",0.8,C58="Dublagem Cretone PES",0.8,C58="Espelhamento",0.8,C58="Peletização",0.5,C58="Dublagem Spun - MO",0.8,C58="Dublagem Cretone - MO",0.8,C58="Dublagem Cretone PES - MO",0.8,C58="Espelhamento - MO",0.8,C58="Emborrachamento",1,C58="Malha",0,C58="Dublagem Barreira",1,C58="Pel. + Cal.",0.4,C58="Fel. + Pel. + Cal.",0.5,C58="Pel. + Spun",0.8,C58="Espelhamento - L: 1,45m",0.8,C58="Espelhamento - L: 1,65m",0.8,C58="Estampagem",1,C58="Fel. + Cal.",0.4,C58="Dublagem Juta",0.8,C58="Dublagem Cretone - MO (Juta)",0.8,C58="Dublagem Tapete",0.8,C58="Esp. + Pel.",0.8,C58="Espelhamento 2x",0.8)</f>
        <v>0.4</v>
      </c>
      <c r="U58" s="18">
        <v>1</v>
      </c>
      <c r="V58" s="18">
        <v>1</v>
      </c>
      <c r="W58" s="18"/>
      <c r="X58" s="18">
        <v>39.67</v>
      </c>
      <c r="Y58" s="18">
        <v>38.51</v>
      </c>
      <c r="Z58" s="18">
        <v>116.78</v>
      </c>
      <c r="AA58" s="18"/>
    </row>
    <row r="59" spans="1:27" ht="14.25" customHeight="1" x14ac:dyDescent="0.35">
      <c r="A59" s="18"/>
      <c r="B59" s="22" t="s">
        <v>288</v>
      </c>
      <c r="C59" s="23" t="s">
        <v>254</v>
      </c>
      <c r="D59" s="23"/>
      <c r="E59" s="24">
        <v>1</v>
      </c>
      <c r="F59" s="25">
        <v>0.87009999999999998</v>
      </c>
      <c r="G59" s="25">
        <v>0.87009999999999998</v>
      </c>
      <c r="H59" s="26" t="s">
        <v>243</v>
      </c>
      <c r="I59" s="27">
        <f t="shared" si="15"/>
        <v>0.87009999999999998</v>
      </c>
      <c r="J59" s="28">
        <v>46036</v>
      </c>
      <c r="K59" s="29"/>
      <c r="L59" s="30">
        <f t="shared" si="14"/>
        <v>0.87009999999999998</v>
      </c>
      <c r="M59" s="30">
        <f>IF(B59="Texion Textil",0,IF(C59="Malha",'Custos insumos'!$B$24,IF(C59="Dublagem Cretone",'Custos insumos'!$D$7,IF(C59="Dublagem Spun",'Custos insumos'!$D$4,IF(C59="Espelhamento",'Custos insumos'!$B$11,IF(C59="Espelhamento 2x",2*'Custos insumos'!$B$11,IF(C59="Esp. + Pel.",'Custos insumos'!$B$11,IF(C59="Pel. + Spun",'Custos insumos'!$D$4,IF(C59="Dublagem Cretone PES",'Custos insumos'!$D$7,IF(C59="Dublagem Barreira",'Custos insumos'!$D$11,IF(C59="Dublagem - MO + Filme",'Custos insumos'!$D$4,IF(C59="Dublagem Cretone HM50",'Custos insumos'!$D$26,IF(C59="Dublagem Cretone HM70",'Custos insumos'!$F$10,)))))))))))))</f>
        <v>0</v>
      </c>
      <c r="N59" s="30">
        <f>IF(B59="Texion Textil",0,IF(B59="Três Elos",0,IF(C59="Malha",0,IF(C59="Dublagem Cretone",'Custos insumos'!$D$23,IF(C59="Dublagem Spun",'Custos insumos'!$D$19,IF(C59="Espelhamento",0,IF(C59="Espelhamento 2x",0,IF(C59="Esp. + Pel.",0,IF(C59="Pel. + Spun",'Custos insumos'!$D$19,IF(C59="Dublagem Cretone PES",'Custos insumos'!$F$25,IF(C59="Dublagem Barreira",'Custos insumos'!$D$22,)))))))))))</f>
        <v>0</v>
      </c>
      <c r="O59" s="18"/>
      <c r="P59" s="53">
        <f t="shared" si="10"/>
        <v>0.28832786354910245</v>
      </c>
      <c r="Q59" s="50">
        <f t="shared" si="11"/>
        <v>234.92699999999999</v>
      </c>
      <c r="R59" s="50" cm="1">
        <f t="array" ref="R59">_xlfn.IFS(C59="Calandra",(350),C59="Peletização",(421),C59="Dublagem Spun",(250),C59="Dublagem Cretone PES",(180),C59="Felpagem",(270/E59),C59="Emborrachamento",(200),C59="Espelhamento",(250),C59="Malha",(1),C59="Dublagem Cretone",(180),C59="Malha",(1),C59="Dublagem Spun - MO",250,C59="Dublagem Cretone - MO",180,C59="Dublagem Cretone PES - MO",180,C59="Espelhamento - MO",250,C59="Emborrachamento",100,C59="Malha",0,C59="Dublagem Barreira",100,C59="Pel. + Cal.",350,C59="Fel. + Pel. + Cal.",270,C59="Pel. + Spun",250,C59="Espelhamento - L: 1,45m",200,C59="Espelhamento - L: 1,65m",200,C59="Estampagem",100,C59="Fel. + Cal.",270,C59="Dublagem Juta",180,C59="Dublagem Cretone - MO (Juta)",180,C59="Dublagem Tapete",150,C59="Esp. + Pel.",200,C59="Espelhamento 2x",100)</f>
        <v>270</v>
      </c>
      <c r="S59" s="50">
        <f t="shared" si="12"/>
        <v>167.191</v>
      </c>
      <c r="T59" s="18" cm="1">
        <f t="array" ref="T59">_xlfn.IFS(C59="Calandra",0.4,C59="Felpagem",0.3,C59="Dublagem Spun",0.8,C59="Dublagem Cretone",0.8,C59="Dublagem Cretone PES",0.8,C59="Espelhamento",0.8,C59="Peletização",0.5,C59="Dublagem Spun - MO",0.8,C59="Dublagem Cretone - MO",0.8,C59="Dublagem Cretone PES - MO",0.8,C59="Espelhamento - MO",0.8,C59="Emborrachamento",1,C59="Malha",0,C59="Dublagem Barreira",1,C59="Pel. + Cal.",0.4,C59="Fel. + Pel. + Cal.",0.5,C59="Pel. + Spun",0.8,C59="Espelhamento - L: 1,45m",0.8,C59="Espelhamento - L: 1,65m",0.8,C59="Estampagem",1,C59="Fel. + Cal.",0.4,C59="Dublagem Juta",0.8,C59="Dublagem Cretone - MO (Juta)",0.8,C59="Dublagem Tapete",0.8,C59="Esp. + Pel.",0.8,C59="Espelhamento 2x",0.8)</f>
        <v>0.3</v>
      </c>
      <c r="U59" s="18">
        <v>1</v>
      </c>
      <c r="V59" s="18">
        <v>1</v>
      </c>
      <c r="W59" s="18"/>
      <c r="X59" s="18">
        <v>39.67</v>
      </c>
      <c r="Y59" s="18">
        <v>38.51</v>
      </c>
      <c r="Z59" s="18">
        <v>116.78</v>
      </c>
      <c r="AA59" s="18"/>
    </row>
    <row r="60" spans="1:27" ht="14.25" customHeight="1" x14ac:dyDescent="0.35">
      <c r="A60" s="18"/>
      <c r="B60" s="22" t="s">
        <v>288</v>
      </c>
      <c r="C60" s="23" t="s">
        <v>98</v>
      </c>
      <c r="D60" s="23" t="s">
        <v>484</v>
      </c>
      <c r="E60" s="24">
        <v>1</v>
      </c>
      <c r="F60" s="25">
        <v>2.1</v>
      </c>
      <c r="G60" s="25">
        <v>2.1</v>
      </c>
      <c r="H60" s="26"/>
      <c r="I60" s="27"/>
      <c r="J60" s="28">
        <v>46036</v>
      </c>
      <c r="K60" s="29"/>
      <c r="L60" s="30">
        <f>G60-M60</f>
        <v>1.4388000000000001</v>
      </c>
      <c r="M60" s="30">
        <f>'Custos insumos'!N3</f>
        <v>0.6611999999999999</v>
      </c>
      <c r="N60" s="30"/>
      <c r="O60" s="18"/>
      <c r="P60" s="53"/>
      <c r="Q60" s="50"/>
      <c r="R60" s="50" t="e" cm="1">
        <f t="array" ref="R60">_xlfn.IFS(C60="Calandra",(350),C60="Peletização",(421),C60="Dublagem Spun",(250),C60="Dublagem Cretone PES",(180),C60="Felpagem",(270/E60),C60="Emborrachamento",(200),C60="Espelhamento",(250),C60="Malha",(1),C60="Dublagem Cretone",(180),C60="Malha",(1),C60="Dublagem Spun - MO",250,C60="Dublagem Cretone - MO",180,C60="Dublagem Cretone PES - MO",180,C60="Espelhamento - MO",250,C60="Emborrachamento",100,C60="Malha",0,C60="Dublagem Barreira",100,C60="Pel. + Cal.",350,C60="Fel. + Pel. + Cal.",270,C60="Pel. + Spun",250,C60="Espelhamento - L: 1,45m",200,C60="Espelhamento - L: 1,65m",200,C60="Estampagem",100,C60="Fel. + Cal.",270,C60="Dublagem Juta",180,C60="Dublagem Cretone - MO (Juta)",180,C60="Dublagem Tapete",150,C60="Esp. + Pel.",200,C60="Espelhamento 2x",100)</f>
        <v>#N/A</v>
      </c>
      <c r="S60" s="50"/>
      <c r="T60" s="18" t="e" cm="1">
        <f t="array" ref="T60">_xlfn.IFS(C60="Calandra",0.4,C60="Felpagem",0.3,C60="Dublagem Spun",0.8,C60="Dublagem Cretone",0.8,C60="Dublagem Cretone PES",0.8,C60="Espelhamento",0.8,C60="Peletização",0.5,C60="Dublagem Spun - MO",0.8,C60="Dublagem Cretone - MO",0.8,C60="Dublagem Cretone PES - MO",0.8,C60="Espelhamento - MO",0.8,C60="Emborrachamento",1,C60="Malha",0,C60="Dublagem Barreira",1,C60="Pel. + Cal.",0.4,C60="Fel. + Pel. + Cal.",0.5,C60="Pel. + Spun",0.8,C60="Espelhamento - L: 1,45m",0.8,C60="Espelhamento - L: 1,65m",0.8,C60="Estampagem",1,C60="Fel. + Cal.",0.4,C60="Dublagem Juta",0.8,C60="Dublagem Cretone - MO (Juta)",0.8,C60="Dublagem Tapete",0.8,C60="Esp. + Pel.",0.8,C60="Espelhamento 2x",0.8)</f>
        <v>#N/A</v>
      </c>
      <c r="U60" s="18"/>
      <c r="V60" s="18"/>
      <c r="W60" s="18"/>
      <c r="X60" s="18"/>
      <c r="Y60" s="18"/>
      <c r="Z60" s="18"/>
      <c r="AA60" s="18"/>
    </row>
    <row r="61" spans="1:27" ht="14.25" customHeight="1" x14ac:dyDescent="0.35">
      <c r="A61" s="18"/>
      <c r="B61" s="22" t="s">
        <v>288</v>
      </c>
      <c r="C61" s="23" t="s">
        <v>464</v>
      </c>
      <c r="D61" s="23" t="s">
        <v>485</v>
      </c>
      <c r="E61" s="24">
        <v>1</v>
      </c>
      <c r="F61" s="25">
        <v>2.8</v>
      </c>
      <c r="G61" s="25">
        <v>2.8</v>
      </c>
      <c r="H61" s="26" t="s">
        <v>243</v>
      </c>
      <c r="I61" s="27">
        <f t="shared" ref="I61:I89" si="21">G61/E61</f>
        <v>2.8</v>
      </c>
      <c r="J61" s="28">
        <v>46036</v>
      </c>
      <c r="K61" s="29"/>
      <c r="L61" s="30">
        <f t="shared" ref="L61:L89" si="22">G61-M61-N61</f>
        <v>2.1387999999999998</v>
      </c>
      <c r="M61" s="30">
        <f>'Custos insumos'!N3</f>
        <v>0.6611999999999999</v>
      </c>
      <c r="N61" s="30">
        <f>IF(B61="Texion Textil",0,IF(B61="Três Elos",0,IF(C61="Malha",0,IF(C61="Dublagem Cretone",'Custos insumos'!$D$23,IF(C61="Dublagem Spun",'Custos insumos'!$D$19,IF(C61="Espelhamento",0,IF(C61="Espelhamento 2x",0,IF(C61="Esp. + Pel.",0,IF(C61="Pel. + Spun",'Custos insumos'!$D$19,IF(C61="Dublagem Cretone PES",'Custos insumos'!$F$25,IF(C61="Dublagem Barreira",'Custos insumos'!$D$22,)))))))))))</f>
        <v>0</v>
      </c>
      <c r="O61" s="18"/>
      <c r="P61" s="53" t="e">
        <f t="shared" ref="P61:P123" si="23">(Q61-S61)/Q61</f>
        <v>#N/A</v>
      </c>
      <c r="Q61" s="50" t="e">
        <f t="shared" ref="Q61:Q123" si="24">G61*R61</f>
        <v>#N/A</v>
      </c>
      <c r="R61" s="50" t="e" cm="1">
        <f t="array" ref="R61">_xlfn.IFS(C61="Calandra",(350),C61="Peletização",(421),C61="Dublagem Spun",(250),C61="Dublagem Cretone PES",(180),C61="Felpagem",(270/E61),C61="Emborrachamento",(200),C61="Espelhamento",(250),C61="Malha",(1),C61="Dublagem Cretone",(180),C61="Malha",(1),C61="Dublagem Spun - MO",250,C61="Dublagem Cretone - MO",180,C61="Dublagem Cretone PES - MO",180,C61="Espelhamento - MO",250,C61="Emborrachamento",100,C61="Malha",0,C61="Dublagem Barreira",100,C61="Pel. + Cal.",350,C61="Fel. + Pel. + Cal.",270,C61="Pel. + Spun",250,C61="Espelhamento - L: 1,45m",200,C61="Espelhamento - L: 1,65m",200,C61="Estampagem",100,C61="Fel. + Cal.",270,C61="Dublagem Juta",180,C61="Dublagem Cretone - MO (Juta)",180,C61="Dublagem Tapete",150,C61="Esp. + Pel.",200,C61="Espelhamento 2x",100)</f>
        <v>#N/A</v>
      </c>
      <c r="S61" s="50" t="e">
        <f t="shared" ref="S61:S86" si="25">(T61*X61)+(U61*Y61)+(V61*Z61)+((M61+N61)*(R61))</f>
        <v>#N/A</v>
      </c>
      <c r="T61" s="18" t="e" cm="1">
        <f t="array" ref="T61">_xlfn.IFS(C61="Calandra",0.4,C61="Felpagem",0.3,C61="Dublagem Spun",0.8,C61="Dublagem Cretone",0.8,C61="Dublagem Cretone PES",0.8,C61="Espelhamento",0.8,C61="Peletização",0.5,C61="Dublagem Spun - MO",0.8,C61="Dublagem Cretone - MO",0.8,C61="Dublagem Cretone PES - MO",0.8,C61="Espelhamento - MO",0.8,C61="Emborrachamento",1,C61="Malha",0,C61="Dublagem Barreira",1,C61="Pel. + Cal.",0.4,C61="Fel. + Pel. + Cal.",0.5,C61="Pel. + Spun",0.8,C61="Espelhamento - L: 1,45m",0.8,C61="Espelhamento - L: 1,65m",0.8,C61="Estampagem",1,C61="Fel. + Cal.",0.4,C61="Dublagem Juta",0.8,C61="Dublagem Cretone - MO (Juta)",0.8,C61="Dublagem Tapete",0.8,C61="Esp. + Pel.",0.8,C61="Espelhamento 2x",0.8)</f>
        <v>#N/A</v>
      </c>
      <c r="U61" s="18">
        <v>1</v>
      </c>
      <c r="V61" s="18">
        <v>1</v>
      </c>
      <c r="W61" s="18"/>
      <c r="X61" s="18">
        <v>39.67</v>
      </c>
      <c r="Y61" s="18">
        <v>38.51</v>
      </c>
      <c r="Z61" s="18">
        <v>116.78</v>
      </c>
      <c r="AA61" s="18"/>
    </row>
    <row r="62" spans="1:27" ht="14.25" customHeight="1" x14ac:dyDescent="0.35">
      <c r="A62" s="18"/>
      <c r="B62" s="22" t="s">
        <v>523</v>
      </c>
      <c r="C62" s="23" t="s">
        <v>106</v>
      </c>
      <c r="D62" s="23" t="s">
        <v>522</v>
      </c>
      <c r="E62" s="24"/>
      <c r="F62" s="25"/>
      <c r="G62" s="25">
        <f>2.45*1.3</f>
        <v>3.1850000000000005</v>
      </c>
      <c r="H62" s="26"/>
      <c r="I62" s="27"/>
      <c r="J62" s="28"/>
      <c r="K62" s="29"/>
      <c r="L62" s="30">
        <f t="shared" si="22"/>
        <v>1.8626000000000007</v>
      </c>
      <c r="M62" s="30">
        <f>'Custos insumos'!L11</f>
        <v>1.3223999999999998</v>
      </c>
      <c r="N62" s="30"/>
      <c r="O62" s="18"/>
      <c r="P62" s="53"/>
      <c r="Q62" s="50"/>
      <c r="R62" s="50"/>
      <c r="S62" s="50"/>
      <c r="T62" s="18" cm="1">
        <f t="array" ref="T62">_xlfn.IFS(C62="Calandra",0.4,C62="Felpagem",0.3,C62="Dublagem Spun",0.8,C62="Dublagem Cretone",0.8,C62="Dublagem Cretone PES",0.8,C62="Espelhamento",0.8,C62="Peletização",0.5,C62="Dublagem Spun - MO",0.8,C62="Dublagem Cretone - MO",0.8,C62="Dublagem Cretone PES - MO",0.8,C62="Espelhamento - MO",0.8,C62="Emborrachamento",1,C62="Malha",0,C62="Dublagem Barreira",1,C62="Pel. + Cal.",0.4,C62="Fel. + Pel. + Cal.",0.5,C62="Pel. + Spun",0.8,C62="Espelhamento - L: 1,45m",0.8,C62="Espelhamento - L: 1,65m",0.8,C62="Estampagem",1,C62="Fel. + Cal.",0.4,C62="Dublagem Juta",0.8,C62="Dublagem Cretone - MO (Juta)",0.8,C62="Dublagem Tapete",0.8,C62="Esp. + Pel.",0.8,C62="Espelhamento 2x",0.8)</f>
        <v>0.8</v>
      </c>
      <c r="U62" s="18"/>
      <c r="V62" s="18"/>
      <c r="W62" s="18"/>
      <c r="X62" s="18"/>
      <c r="Y62" s="18"/>
      <c r="Z62" s="18"/>
      <c r="AA62" s="18"/>
    </row>
    <row r="63" spans="1:27" ht="14.25" customHeight="1" x14ac:dyDescent="0.35">
      <c r="A63" s="18"/>
      <c r="B63" s="22" t="s">
        <v>523</v>
      </c>
      <c r="C63" s="23" t="s">
        <v>247</v>
      </c>
      <c r="D63" s="23" t="s">
        <v>492</v>
      </c>
      <c r="E63" s="24"/>
      <c r="F63" s="25"/>
      <c r="G63" s="25">
        <v>6.49</v>
      </c>
      <c r="H63" s="26"/>
      <c r="I63" s="27"/>
      <c r="J63" s="28"/>
      <c r="K63" s="29"/>
      <c r="L63" s="30">
        <f t="shared" si="22"/>
        <v>2.7220000000000009</v>
      </c>
      <c r="M63" s="30">
        <f>'Custos insumos'!N7</f>
        <v>1.44</v>
      </c>
      <c r="N63" s="30">
        <f>'Custos insumos'!F25</f>
        <v>2.3279999999999998</v>
      </c>
      <c r="O63" s="18"/>
      <c r="P63" s="53"/>
      <c r="Q63" s="50"/>
      <c r="R63" s="50"/>
      <c r="S63" s="50"/>
      <c r="T63" s="18" cm="1">
        <f t="array" ref="T63">_xlfn.IFS(C63="Calandra",0.4,C63="Felpagem",0.3,C63="Dublagem Spun",0.8,C63="Dublagem Cretone",0.8,C63="Dublagem Cretone PES",0.8,C63="Espelhamento",0.8,C63="Peletização",0.5,C63="Dublagem Spun - MO",0.8,C63="Dublagem Cretone - MO",0.8,C63="Dublagem Cretone PES - MO",0.8,C63="Espelhamento - MO",0.8,C63="Emborrachamento",1,C63="Malha",0,C63="Dublagem Barreira",1,C63="Pel. + Cal.",0.4,C63="Fel. + Pel. + Cal.",0.5,C63="Pel. + Spun",0.8,C63="Espelhamento - L: 1,45m",0.8,C63="Espelhamento - L: 1,65m",0.8,C63="Estampagem",1,C63="Fel. + Cal.",0.4,C63="Dublagem Juta",0.8,C63="Dublagem Cretone - MO (Juta)",0.8,C63="Dublagem Tapete",0.8,C63="Esp. + Pel.",0.8,C63="Espelhamento 2x",0.8)</f>
        <v>0.8</v>
      </c>
      <c r="U63" s="18"/>
      <c r="V63" s="18"/>
      <c r="W63" s="18"/>
      <c r="X63" s="18"/>
      <c r="Y63" s="18"/>
      <c r="Z63" s="18"/>
      <c r="AA63" s="18"/>
    </row>
    <row r="64" spans="1:27" ht="14.25" customHeight="1" x14ac:dyDescent="0.35">
      <c r="A64" s="18"/>
      <c r="B64" s="22" t="s">
        <v>124</v>
      </c>
      <c r="C64" s="23" t="s">
        <v>144</v>
      </c>
      <c r="D64" s="23"/>
      <c r="E64" s="24">
        <v>1</v>
      </c>
      <c r="F64" s="25">
        <v>0.6</v>
      </c>
      <c r="G64" s="78">
        <v>0.7</v>
      </c>
      <c r="H64" s="26" t="s">
        <v>243</v>
      </c>
      <c r="I64" s="27">
        <f t="shared" si="21"/>
        <v>0.7</v>
      </c>
      <c r="J64" s="28">
        <v>46036</v>
      </c>
      <c r="K64" s="29"/>
      <c r="L64" s="30">
        <f t="shared" si="22"/>
        <v>0.7</v>
      </c>
      <c r="M64" s="30">
        <f>IF(B64="Texion Textil",0,IF(C64="Malha",'Custos insumos'!$B$24,IF(C64="Dublagem Cretone",'Custos insumos'!$D$7,IF(C64="Dublagem Spun",'Custos insumos'!$D$4,IF(C64="Espelhamento",'Custos insumos'!$B$11,IF(C64="Espelhamento 2x",2*'Custos insumos'!$B$11,IF(C64="Esp. + Pel.",'Custos insumos'!$B$11,IF(C64="Pel. + Spun",'Custos insumos'!$D$4,IF(C64="Dublagem Cretone PES",'Custos insumos'!$D$7,IF(C64="Dublagem Barreira",'Custos insumos'!$D$11,IF(C64="Dublagem - MO + Filme",'Custos insumos'!$D$4,IF(C64="Dublagem Cretone HM50",'Custos insumos'!$D$26,IF(C64="Dublagem Cretone HM70",'Custos insumos'!$F$10,)))))))))))))</f>
        <v>0</v>
      </c>
      <c r="N64" s="30">
        <f>IF(B64="Texion Textil",0,IF(B64="Três Elos",0,IF(C64="Malha",0,IF(C64="Dublagem Cretone",'Custos insumos'!$D$23,IF(C64="Dublagem Spun",'Custos insumos'!$D$19,IF(C64="Espelhamento",0,IF(C64="Espelhamento 2x",0,IF(C64="Esp. + Pel.",0,IF(C64="Pel. + Spun",'Custos insumos'!$D$19,IF(C64="Dublagem Cretone PES",'Custos insumos'!$F$25,IF(C64="Dublagem Barreira",'Custos insumos'!$D$22,)))))))))))</f>
        <v>0</v>
      </c>
      <c r="O64" s="18"/>
      <c r="P64" s="53">
        <f t="shared" si="23"/>
        <v>0.40575161180861891</v>
      </c>
      <c r="Q64" s="50">
        <f t="shared" si="24"/>
        <v>294.7</v>
      </c>
      <c r="R64" s="50" cm="1">
        <f t="array" ref="R64">_xlfn.IFS(C64="Calandra",(350),C64="Peletização",(421),C64="Dublagem Spun",(250),C64="Dublagem Cretone PES",(180),C64="Felpagem",(270/E64),C64="Emborrachamento",(200),C64="Espelhamento",(250),C64="Malha",(1),C64="Dublagem Cretone",(180),C64="Malha",(1),C64="Dublagem Spun - MO",250,C64="Dublagem Cretone - MO",180,C64="Dublagem Cretone PES - MO",180,C64="Espelhamento - MO",250,C64="Emborrachamento",100,C64="Malha",0,C64="Dublagem Barreira",100,C64="Pel. + Cal.",350,C64="Fel. + Pel. + Cal.",270,C64="Pel. + Spun",250,C64="Espelhamento - L: 1,45m",200,C64="Espelhamento - L: 1,65m",200,C64="Estampagem",100,C64="Fel. + Cal.",270,C64="Dublagem Juta",180,C64="Dublagem Cretone - MO (Juta)",180,C64="Dublagem Tapete",150,C64="Esp. + Pel.",200,C64="Espelhamento 2x",100)</f>
        <v>421</v>
      </c>
      <c r="S64" s="50">
        <f t="shared" si="25"/>
        <v>175.125</v>
      </c>
      <c r="T64" s="18" cm="1">
        <f t="array" ref="T64">_xlfn.IFS(C64="Calandra",0.4,C64="Felpagem",0.3,C64="Dublagem Spun",0.8,C64="Dublagem Cretone",0.8,C64="Dublagem Cretone PES",0.8,C64="Espelhamento",0.8,C64="Peletização",0.5,C64="Dublagem Spun - MO",0.8,C64="Dublagem Cretone - MO",0.8,C64="Dublagem Cretone PES - MO",0.8,C64="Espelhamento - MO",0.8,C64="Emborrachamento",1,C64="Malha",0,C64="Dublagem Barreira",1,C64="Pel. + Cal.",0.4,C64="Fel. + Pel. + Cal.",0.5,C64="Pel. + Spun",0.8,C64="Espelhamento - L: 1,45m",0.8,C64="Espelhamento - L: 1,65m",0.8,C64="Estampagem",1,C64="Fel. + Cal.",0.4,C64="Dublagem Juta",0.8,C64="Dublagem Cretone - MO (Juta)",0.8,C64="Dublagem Tapete",0.8,C64="Esp. + Pel.",0.8,C64="Espelhamento 2x",0.8)</f>
        <v>0.5</v>
      </c>
      <c r="U64" s="18">
        <v>1</v>
      </c>
      <c r="V64" s="18">
        <v>1</v>
      </c>
      <c r="W64" s="18"/>
      <c r="X64" s="18">
        <v>39.67</v>
      </c>
      <c r="Y64" s="18">
        <v>38.51</v>
      </c>
      <c r="Z64" s="18">
        <v>116.78</v>
      </c>
      <c r="AA64" s="18"/>
    </row>
    <row r="65" spans="1:27" ht="14.25" customHeight="1" x14ac:dyDescent="0.35">
      <c r="A65" s="18">
        <v>0</v>
      </c>
      <c r="B65" s="64" t="s">
        <v>126</v>
      </c>
      <c r="C65" s="23" t="s">
        <v>254</v>
      </c>
      <c r="D65" s="23"/>
      <c r="E65" s="24">
        <v>2</v>
      </c>
      <c r="F65" s="25">
        <v>1.2</v>
      </c>
      <c r="G65" s="25">
        <v>0.7</v>
      </c>
      <c r="H65" s="26" t="s">
        <v>243</v>
      </c>
      <c r="I65" s="27">
        <f t="shared" si="21"/>
        <v>0.35</v>
      </c>
      <c r="J65" s="28">
        <v>46036</v>
      </c>
      <c r="K65" s="29"/>
      <c r="L65" s="30">
        <f t="shared" si="22"/>
        <v>0.7</v>
      </c>
      <c r="M65" s="30">
        <f>IF(B65="Texion Textil",0,IF(C65="Malha",'Custos insumos'!$B$24,IF(C65="Dublagem Cretone",'Custos insumos'!$D$7,IF(C65="Dublagem Spun",'Custos insumos'!$D$4,IF(C65="Espelhamento",'Custos insumos'!$B$11,IF(C65="Espelhamento 2x",2*'Custos insumos'!$B$11,IF(C65="Esp. + Pel.",'Custos insumos'!$B$11,IF(C65="Pel. + Spun",'Custos insumos'!$D$4,IF(C65="Dublagem Cretone PES",'Custos insumos'!$D$7,IF(C65="Dublagem Barreira",'Custos insumos'!$D$11,IF(C65="Dublagem - MO + Filme",'Custos insumos'!$D$4,IF(C65="Dublagem Cretone HM50",'Custos insumos'!$D$26,IF(C65="Dublagem Cretone HM70",'Custos insumos'!$F$10,)))))))))))))</f>
        <v>0</v>
      </c>
      <c r="N65" s="30">
        <f>IF(B65="Texion Textil",0,IF(B65="Três Elos",0,IF(C65="Malha",0,IF(C65="Dublagem Cretone",'Custos insumos'!$D$23,IF(C65="Dublagem Spun",'Custos insumos'!$D$19,IF(C65="Espelhamento",0,IF(C65="Espelhamento 2x",0,IF(C65="Esp. + Pel.",0,IF(C65="Pel. + Spun",'Custos insumos'!$D$19,IF(C65="Dublagem Cretone PES",'Custos insumos'!$F$25,IF(C65="Dublagem Barreira",'Custos insumos'!$D$22,)))))))))))</f>
        <v>0</v>
      </c>
      <c r="O65" s="18"/>
      <c r="P65" s="53">
        <f t="shared" si="23"/>
        <v>-0.76921693121693124</v>
      </c>
      <c r="Q65" s="50">
        <f t="shared" si="24"/>
        <v>94.5</v>
      </c>
      <c r="R65" s="50" cm="1">
        <f t="array" ref="R65">_xlfn.IFS(C65="Calandra",(350),C65="Peletização",(421),C65="Dublagem Spun",(250),C65="Dublagem Cretone PES",(180),C65="Felpagem",(270/E65),C65="Emborrachamento",(200),C65="Espelhamento",(250),C65="Malha",(1),C65="Dublagem Cretone",(180),C65="Malha",(1),C65="Dublagem Spun - MO",250,C65="Dublagem Cretone - MO",180,C65="Dublagem Cretone PES - MO",180,C65="Espelhamento - MO",250,C65="Emborrachamento",100,C65="Malha",0,C65="Dublagem Barreira",100,C65="Pel. + Cal.",350,C65="Fel. + Pel. + Cal.",270,C65="Pel. + Spun",250,C65="Espelhamento - L: 1,45m",200,C65="Espelhamento - L: 1,65m",200,C65="Estampagem",100,C65="Fel. + Cal.",270,C65="Dublagem Juta",180,C65="Dublagem Cretone - MO (Juta)",180,C65="Dublagem Tapete",150,C65="Esp. + Pel.",200,C65="Espelhamento 2x",100)</f>
        <v>135</v>
      </c>
      <c r="S65" s="50">
        <f t="shared" si="25"/>
        <v>167.191</v>
      </c>
      <c r="T65" s="18" cm="1">
        <f t="array" ref="T65">_xlfn.IFS(C65="Calandra",0.4,C65="Felpagem",0.3,C65="Dublagem Spun",0.8,C65="Dublagem Cretone",0.8,C65="Dublagem Cretone PES",0.8,C65="Espelhamento",0.8,C65="Peletização",0.5,C65="Dublagem Spun - MO",0.8,C65="Dublagem Cretone - MO",0.8,C65="Dublagem Cretone PES - MO",0.8,C65="Espelhamento - MO",0.8,C65="Emborrachamento",1,C65="Malha",0,C65="Dublagem Barreira",1,C65="Pel. + Cal.",0.4,C65="Fel. + Pel. + Cal.",0.5,C65="Pel. + Spun",0.8,C65="Espelhamento - L: 1,45m",0.8,C65="Espelhamento - L: 1,65m",0.8,C65="Estampagem",1,C65="Fel. + Cal.",0.4,C65="Dublagem Juta",0.8,C65="Dublagem Cretone - MO (Juta)",0.8,C65="Dublagem Tapete",0.8,C65="Esp. + Pel.",0.8,C65="Espelhamento 2x",0.8)</f>
        <v>0.3</v>
      </c>
      <c r="U65" s="18">
        <v>1</v>
      </c>
      <c r="V65" s="18">
        <v>1</v>
      </c>
      <c r="W65" s="18"/>
      <c r="X65" s="18">
        <v>39.67</v>
      </c>
      <c r="Y65" s="18">
        <v>38.51</v>
      </c>
      <c r="Z65" s="18">
        <v>116.78</v>
      </c>
      <c r="AA65" s="18"/>
    </row>
    <row r="66" spans="1:27" ht="13.5" customHeight="1" x14ac:dyDescent="0.35">
      <c r="A66" s="18"/>
      <c r="B66" s="64" t="s">
        <v>128</v>
      </c>
      <c r="C66" s="23" t="s">
        <v>106</v>
      </c>
      <c r="D66" s="23" t="s">
        <v>483</v>
      </c>
      <c r="E66" s="24">
        <v>1</v>
      </c>
      <c r="F66" s="25">
        <v>2.75</v>
      </c>
      <c r="G66" s="25">
        <v>3</v>
      </c>
      <c r="H66" s="26" t="s">
        <v>243</v>
      </c>
      <c r="I66" s="27">
        <f t="shared" ref="I66" si="26">G66/E66</f>
        <v>3</v>
      </c>
      <c r="J66" s="28">
        <v>46036</v>
      </c>
      <c r="K66" s="29"/>
      <c r="L66" s="30">
        <f t="shared" ref="L66" si="27">G66-M66-N66</f>
        <v>1.6776000000000002</v>
      </c>
      <c r="M66" s="30">
        <f>'Custos insumos'!L11</f>
        <v>1.3223999999999998</v>
      </c>
      <c r="N66" s="30">
        <f>IF(B66="Texion Textil",0,IF(B66="Três Elos",0,IF(C66="Malha",0,IF(C66="Dublagem Cretone",'Custos insumos'!$D$23,IF(C66="Dublagem Spun",'Custos insumos'!$D$19,IF(C66="Espelhamento",0,IF(C66="Espelhamento 2x",0,IF(C66="Esp. + Pel.",0,IF(C66="Pel. + Spun",'Custos insumos'!$D$19,IF(C66="Dublagem Cretone PES",'Custos insumos'!$F$25,IF(C66="Dublagem Barreira",'Custos insumos'!$D$22,)))))))))))</f>
        <v>0</v>
      </c>
      <c r="O66" s="18"/>
      <c r="P66" s="53">
        <f t="shared" ref="P66" si="28">(Q66-S66)/Q66</f>
        <v>0.30983200000000005</v>
      </c>
      <c r="Q66" s="50">
        <f t="shared" ref="Q66" si="29">G66*R66</f>
        <v>750</v>
      </c>
      <c r="R66" s="50" cm="1">
        <f t="array" ref="R66">_xlfn.IFS(C66="Calandra",(350),C66="Peletização",(421),C66="Dublagem Spun",(250),C66="Dublagem Cretone PES",(180),C66="Felpagem",(270/E66),C66="Emborrachamento",(200),C66="Espelhamento",(250),C66="Malha",(1),C66="Dublagem Cretone",(180),C66="Malha",(1),C66="Dublagem Spun - MO",250,C66="Dublagem Cretone - MO",180,C66="Dublagem Cretone PES - MO",180,C66="Espelhamento - MO",250,C66="Emborrachamento",100,C66="Malha",0,C66="Dublagem Barreira",100,C66="Pel. + Cal.",350,C66="Fel. + Pel. + Cal.",270,C66="Pel. + Spun",250,C66="Espelhamento - L: 1,45m",200,C66="Espelhamento - L: 1,65m",200,C66="Estampagem",100,C66="Fel. + Cal.",270,C66="Dublagem Juta",180,C66="Dublagem Cretone - MO (Juta)",180,C66="Dublagem Tapete",150,C66="Esp. + Pel.",200,C66="Espelhamento 2x",100)</f>
        <v>250</v>
      </c>
      <c r="S66" s="50">
        <f t="shared" ref="S66" si="30">(T66*X66)+(U66*Y66)+(V66*Z66)+((M66+N66)*(R66))</f>
        <v>517.62599999999998</v>
      </c>
      <c r="T66" s="18" cm="1">
        <f t="array" ref="T66">_xlfn.IFS(C66="Calandra",0.4,C66="Felpagem",0.3,C66="Dublagem Spun",0.8,C66="Dublagem Cretone",0.8,C66="Dublagem Cretone PES",0.8,C66="Espelhamento",0.8,C66="Peletização",0.5,C66="Dublagem Spun - MO",0.8,C66="Dublagem Cretone - MO",0.8,C66="Dublagem Cretone PES - MO",0.8,C66="Espelhamento - MO",0.8,C66="Emborrachamento",1,C66="Malha",0,C66="Dublagem Barreira",1,C66="Pel. + Cal.",0.4,C66="Fel. + Pel. + Cal.",0.5,C66="Pel. + Spun",0.8,C66="Espelhamento - L: 1,45m",0.8,C66="Espelhamento - L: 1,65m",0.8,C66="Estampagem",1,C66="Fel. + Cal.",0.4,C66="Dublagem Juta",0.8,C66="Dublagem Cretone - MO (Juta)",0.8,C66="Dublagem Tapete",0.8,C66="Esp. + Pel.",0.8,C66="Espelhamento 2x",0.8)</f>
        <v>0.8</v>
      </c>
      <c r="U66" s="18">
        <v>1</v>
      </c>
      <c r="V66" s="18">
        <v>1</v>
      </c>
      <c r="W66" s="18"/>
      <c r="X66" s="18">
        <v>39.67</v>
      </c>
      <c r="Y66" s="18">
        <v>38.51</v>
      </c>
      <c r="Z66" s="18">
        <v>116.78</v>
      </c>
      <c r="AA66" s="18"/>
    </row>
    <row r="67" spans="1:27" ht="13.5" customHeight="1" x14ac:dyDescent="0.35">
      <c r="A67" s="18"/>
      <c r="B67" s="64" t="s">
        <v>128</v>
      </c>
      <c r="C67" s="23" t="s">
        <v>106</v>
      </c>
      <c r="D67" s="23" t="s">
        <v>486</v>
      </c>
      <c r="E67" s="24">
        <v>1</v>
      </c>
      <c r="F67" s="25">
        <v>2.75</v>
      </c>
      <c r="G67" s="25">
        <v>3</v>
      </c>
      <c r="H67" s="26" t="s">
        <v>243</v>
      </c>
      <c r="I67" s="27">
        <f t="shared" si="21"/>
        <v>3</v>
      </c>
      <c r="J67" s="28">
        <v>46036</v>
      </c>
      <c r="K67" s="29"/>
      <c r="L67" s="30">
        <f t="shared" si="22"/>
        <v>1.6776000000000002</v>
      </c>
      <c r="M67" s="30">
        <f>'Custos insumos'!L11</f>
        <v>1.3223999999999998</v>
      </c>
      <c r="N67" s="30">
        <f>IF(B67="Texion Textil",0,IF(B67="Três Elos",0,IF(C67="Malha",0,IF(C67="Dublagem Cretone",'Custos insumos'!$D$23,IF(C67="Dublagem Spun",'Custos insumos'!$D$19,IF(C67="Espelhamento",0,IF(C67="Espelhamento 2x",0,IF(C67="Esp. + Pel.",0,IF(C67="Pel. + Spun",'Custos insumos'!$D$19,IF(C67="Dublagem Cretone PES",'Custos insumos'!$F$25,IF(C67="Dublagem Barreira",'Custos insumos'!$D$22,)))))))))))</f>
        <v>0</v>
      </c>
      <c r="O67" s="18"/>
      <c r="P67" s="53">
        <f t="shared" si="23"/>
        <v>0.30983200000000005</v>
      </c>
      <c r="Q67" s="50">
        <f t="shared" si="24"/>
        <v>750</v>
      </c>
      <c r="R67" s="50" cm="1">
        <f t="array" ref="R67">_xlfn.IFS(C67="Calandra",(350),C67="Peletização",(421),C67="Dublagem Spun",(250),C67="Dublagem Cretone PES",(180),C67="Felpagem",(270/E67),C67="Emborrachamento",(200),C67="Espelhamento",(250),C67="Malha",(1),C67="Dublagem Cretone",(180),C67="Malha",(1),C67="Dublagem Spun - MO",250,C67="Dublagem Cretone - MO",180,C67="Dublagem Cretone PES - MO",180,C67="Espelhamento - MO",250,C67="Emborrachamento",100,C67="Malha",0,C67="Dublagem Barreira",100,C67="Pel. + Cal.",350,C67="Fel. + Pel. + Cal.",270,C67="Pel. + Spun",250,C67="Espelhamento - L: 1,45m",200,C67="Espelhamento - L: 1,65m",200,C67="Estampagem",100,C67="Fel. + Cal.",270,C67="Dublagem Juta",180,C67="Dublagem Cretone - MO (Juta)",180,C67="Dublagem Tapete",150,C67="Esp. + Pel.",200,C67="Espelhamento 2x",100)</f>
        <v>250</v>
      </c>
      <c r="S67" s="50">
        <f t="shared" si="25"/>
        <v>517.62599999999998</v>
      </c>
      <c r="T67" s="18" cm="1">
        <f t="array" ref="T67">_xlfn.IFS(C67="Calandra",0.4,C67="Felpagem",0.3,C67="Dublagem Spun",0.8,C67="Dublagem Cretone",0.8,C67="Dublagem Cretone PES",0.8,C67="Espelhamento",0.8,C67="Peletização",0.5,C67="Dublagem Spun - MO",0.8,C67="Dublagem Cretone - MO",0.8,C67="Dublagem Cretone PES - MO",0.8,C67="Espelhamento - MO",0.8,C67="Emborrachamento",1,C67="Malha",0,C67="Dublagem Barreira",1,C67="Pel. + Cal.",0.4,C67="Fel. + Pel. + Cal.",0.5,C67="Pel. + Spun",0.8,C67="Espelhamento - L: 1,45m",0.8,C67="Espelhamento - L: 1,65m",0.8,C67="Estampagem",1,C67="Fel. + Cal.",0.4,C67="Dublagem Juta",0.8,C67="Dublagem Cretone - MO (Juta)",0.8,C67="Dublagem Tapete",0.8,C67="Esp. + Pel.",0.8,C67="Espelhamento 2x",0.8)</f>
        <v>0.8</v>
      </c>
      <c r="U67" s="18">
        <v>1</v>
      </c>
      <c r="V67" s="18">
        <v>1</v>
      </c>
      <c r="W67" s="18"/>
      <c r="X67" s="18">
        <v>39.67</v>
      </c>
      <c r="Y67" s="18">
        <v>38.51</v>
      </c>
      <c r="Z67" s="18">
        <v>116.78</v>
      </c>
      <c r="AA67" s="18"/>
    </row>
    <row r="68" spans="1:27" ht="14.25" customHeight="1" x14ac:dyDescent="0.35">
      <c r="A68" s="18"/>
      <c r="B68" s="64" t="s">
        <v>128</v>
      </c>
      <c r="C68" s="23" t="s">
        <v>144</v>
      </c>
      <c r="D68" s="23"/>
      <c r="E68" s="24">
        <v>1</v>
      </c>
      <c r="F68" s="25">
        <v>0.65</v>
      </c>
      <c r="G68" s="25">
        <v>0.7</v>
      </c>
      <c r="H68" s="26" t="s">
        <v>243</v>
      </c>
      <c r="I68" s="27">
        <f t="shared" si="21"/>
        <v>0.7</v>
      </c>
      <c r="J68" s="28">
        <v>46036</v>
      </c>
      <c r="K68" s="29"/>
      <c r="L68" s="30">
        <f t="shared" si="22"/>
        <v>0.7</v>
      </c>
      <c r="M68" s="30">
        <f>IF(B68="Texion Textil",0,IF(C68="Malha",'Custos insumos'!$B$24,IF(C68="Dublagem Cretone",'Custos insumos'!$D$7,IF(C68="Dublagem Spun",'Custos insumos'!$D$4,IF(C68="Espelhamento",'Custos insumos'!$B$11,IF(C68="Espelhamento 2x",2*'Custos insumos'!$B$11,IF(C68="Esp. + Pel.",'Custos insumos'!$B$11,IF(C68="Pel. + Spun",'Custos insumos'!$D$4,IF(C68="Dublagem Cretone PES",'Custos insumos'!$D$7,IF(C68="Dublagem Barreira",'Custos insumos'!$D$11,IF(C68="Dublagem - MO + Filme",'Custos insumos'!$D$4,IF(C68="Dublagem Cretone HM50",'Custos insumos'!$D$26,IF(C68="Dublagem Cretone HM70",'Custos insumos'!$F$10,)))))))))))))</f>
        <v>0</v>
      </c>
      <c r="N68" s="30">
        <f>IF(B68="Texion Textil",0,IF(B68="Três Elos",0,IF(C68="Malha",0,IF(C68="Dublagem Cretone",'Custos insumos'!$D$23,IF(C68="Dublagem Spun",'Custos insumos'!$D$19,IF(C68="Espelhamento",0,IF(C68="Espelhamento 2x",0,IF(C68="Esp. + Pel.",0,IF(C68="Pel. + Spun",'Custos insumos'!$D$19,IF(C68="Dublagem Cretone PES",'Custos insumos'!$F$25,IF(C68="Dublagem Barreira",'Custos insumos'!$D$22,)))))))))))</f>
        <v>0</v>
      </c>
      <c r="O68" s="18"/>
      <c r="P68" s="53">
        <f t="shared" si="23"/>
        <v>0.40575161180861891</v>
      </c>
      <c r="Q68" s="50">
        <f t="shared" si="24"/>
        <v>294.7</v>
      </c>
      <c r="R68" s="50" cm="1">
        <f t="array" ref="R68">_xlfn.IFS(C68="Calandra",(350),C68="Peletização",(421),C68="Dublagem Spun",(250),C68="Dublagem Cretone PES",(180),C68="Felpagem",(270/E68),C68="Emborrachamento",(200),C68="Espelhamento",(250),C68="Malha",(1),C68="Dublagem Cretone",(180),C68="Malha",(1),C68="Dublagem Spun - MO",250,C68="Dublagem Cretone - MO",180,C68="Dublagem Cretone PES - MO",180,C68="Espelhamento - MO",250,C68="Emborrachamento",100,C68="Malha",0,C68="Dublagem Barreira",100,C68="Pel. + Cal.",350,C68="Fel. + Pel. + Cal.",270,C68="Pel. + Spun",250,C68="Espelhamento - L: 1,45m",200,C68="Espelhamento - L: 1,65m",200,C68="Estampagem",100,C68="Fel. + Cal.",270,C68="Dublagem Juta",180,C68="Dublagem Cretone - MO (Juta)",180,C68="Dublagem Tapete",150,C68="Esp. + Pel.",200,C68="Espelhamento 2x",100)</f>
        <v>421</v>
      </c>
      <c r="S68" s="50">
        <f t="shared" si="25"/>
        <v>175.125</v>
      </c>
      <c r="T68" s="18" cm="1">
        <f t="array" ref="T68">_xlfn.IFS(C68="Calandra",0.4,C68="Felpagem",0.3,C68="Dublagem Spun",0.8,C68="Dublagem Cretone",0.8,C68="Dublagem Cretone PES",0.8,C68="Espelhamento",0.8,C68="Peletização",0.5,C68="Dublagem Spun - MO",0.8,C68="Dublagem Cretone - MO",0.8,C68="Dublagem Cretone PES - MO",0.8,C68="Espelhamento - MO",0.8,C68="Emborrachamento",1,C68="Malha",0,C68="Dublagem Barreira",1,C68="Pel. + Cal.",0.4,C68="Fel. + Pel. + Cal.",0.5,C68="Pel. + Spun",0.8,C68="Espelhamento - L: 1,45m",0.8,C68="Espelhamento - L: 1,65m",0.8,C68="Estampagem",1,C68="Fel. + Cal.",0.4,C68="Dublagem Juta",0.8,C68="Dublagem Cretone - MO (Juta)",0.8,C68="Dublagem Tapete",0.8,C68="Esp. + Pel.",0.8,C68="Espelhamento 2x",0.8)</f>
        <v>0.5</v>
      </c>
      <c r="U68" s="18">
        <v>1</v>
      </c>
      <c r="V68" s="18">
        <v>1</v>
      </c>
      <c r="W68" s="18"/>
      <c r="X68" s="18">
        <v>39.67</v>
      </c>
      <c r="Y68" s="18">
        <v>38.51</v>
      </c>
      <c r="Z68" s="18">
        <v>116.78</v>
      </c>
      <c r="AA68" s="18"/>
    </row>
    <row r="69" spans="1:27" ht="14.25" customHeight="1" x14ac:dyDescent="0.35">
      <c r="A69" s="18"/>
      <c r="B69" s="64" t="s">
        <v>128</v>
      </c>
      <c r="C69" s="23" t="s">
        <v>254</v>
      </c>
      <c r="D69" s="23" t="s">
        <v>268</v>
      </c>
      <c r="E69" s="24">
        <v>2</v>
      </c>
      <c r="F69" s="25">
        <v>1.25</v>
      </c>
      <c r="G69" s="25">
        <v>1.25</v>
      </c>
      <c r="H69" s="26" t="s">
        <v>243</v>
      </c>
      <c r="I69" s="27">
        <f t="shared" si="21"/>
        <v>0.625</v>
      </c>
      <c r="J69" s="28">
        <v>46036</v>
      </c>
      <c r="K69" s="29"/>
      <c r="L69" s="30">
        <f t="shared" si="22"/>
        <v>1.25</v>
      </c>
      <c r="M69" s="30">
        <f>IF(B69="Texion Textil",0,IF(C69="Malha",'Custos insumos'!$B$24,IF(C69="Dublagem Cretone",'Custos insumos'!$D$7,IF(C69="Dublagem Spun",'Custos insumos'!$D$4,IF(C69="Espelhamento",'Custos insumos'!$B$11,IF(C69="Espelhamento 2x",2*'Custos insumos'!$B$11,IF(C69="Esp. + Pel.",'Custos insumos'!$B$11,IF(C69="Pel. + Spun",'Custos insumos'!$D$4,IF(C69="Dublagem Cretone PES",'Custos insumos'!$D$7,IF(C69="Dublagem Barreira",'Custos insumos'!$D$11,IF(C69="Dublagem - MO + Filme",'Custos insumos'!$D$4,IF(C69="Dublagem Cretone HM50",'Custos insumos'!$D$26,IF(C69="Dublagem Cretone HM70",'Custos insumos'!$F$10,)))))))))))))</f>
        <v>0</v>
      </c>
      <c r="N69" s="30">
        <f>IF(B69="Texion Textil",0,IF(B69="Três Elos",0,IF(C69="Malha",0,IF(C69="Dublagem Cretone",'Custos insumos'!$D$23,IF(C69="Dublagem Spun",'Custos insumos'!$D$19,IF(C69="Espelhamento",0,IF(C69="Espelhamento 2x",0,IF(C69="Esp. + Pel.",0,IF(C69="Pel. + Spun",'Custos insumos'!$D$19,IF(C69="Dublagem Cretone PES",'Custos insumos'!$F$25,IF(C69="Dublagem Barreira",'Custos insumos'!$D$22,)))))))))))</f>
        <v>0</v>
      </c>
      <c r="O69" s="18"/>
      <c r="P69" s="53">
        <f t="shared" si="23"/>
        <v>9.2385185185185036E-3</v>
      </c>
      <c r="Q69" s="50">
        <f t="shared" si="24"/>
        <v>168.75</v>
      </c>
      <c r="R69" s="50" cm="1">
        <f t="array" ref="R69">_xlfn.IFS(C69="Calandra",(350),C69="Peletização",(421),C69="Dublagem Spun",(250),C69="Dublagem Cretone PES",(180),C69="Felpagem",(270/E69),C69="Emborrachamento",(200),C69="Espelhamento",(250),C69="Malha",(1),C69="Dublagem Cretone",(180),C69="Malha",(1),C69="Dublagem Spun - MO",250,C69="Dublagem Cretone - MO",180,C69="Dublagem Cretone PES - MO",180,C69="Espelhamento - MO",250,C69="Emborrachamento",100,C69="Malha",0,C69="Dublagem Barreira",100,C69="Pel. + Cal.",350,C69="Fel. + Pel. + Cal.",270,C69="Pel. + Spun",250,C69="Espelhamento - L: 1,45m",200,C69="Espelhamento - L: 1,65m",200,C69="Estampagem",100,C69="Fel. + Cal.",270,C69="Dublagem Juta",180,C69="Dublagem Cretone - MO (Juta)",180,C69="Dublagem Tapete",150,C69="Esp. + Pel.",200,C69="Espelhamento 2x",100)</f>
        <v>135</v>
      </c>
      <c r="S69" s="50">
        <f t="shared" si="25"/>
        <v>167.191</v>
      </c>
      <c r="T69" s="18" cm="1">
        <f t="array" ref="T69">_xlfn.IFS(C69="Calandra",0.4,C69="Felpagem",0.3,C69="Dublagem Spun",0.8,C69="Dublagem Cretone",0.8,C69="Dublagem Cretone PES",0.8,C69="Espelhamento",0.8,C69="Peletização",0.5,C69="Dublagem Spun - MO",0.8,C69="Dublagem Cretone - MO",0.8,C69="Dublagem Cretone PES - MO",0.8,C69="Espelhamento - MO",0.8,C69="Emborrachamento",1,C69="Malha",0,C69="Dublagem Barreira",1,C69="Pel. + Cal.",0.4,C69="Fel. + Pel. + Cal.",0.5,C69="Pel. + Spun",0.8,C69="Espelhamento - L: 1,45m",0.8,C69="Espelhamento - L: 1,65m",0.8,C69="Estampagem",1,C69="Fel. + Cal.",0.4,C69="Dublagem Juta",0.8,C69="Dublagem Cretone - MO (Juta)",0.8,C69="Dublagem Tapete",0.8,C69="Esp. + Pel.",0.8,C69="Espelhamento 2x",0.8)</f>
        <v>0.3</v>
      </c>
      <c r="U69" s="18">
        <v>1</v>
      </c>
      <c r="V69" s="18">
        <v>1</v>
      </c>
      <c r="W69" s="18"/>
      <c r="X69" s="18">
        <v>39.67</v>
      </c>
      <c r="Y69" s="18">
        <v>38.51</v>
      </c>
      <c r="Z69" s="18">
        <v>116.78</v>
      </c>
      <c r="AA69" s="18"/>
    </row>
    <row r="70" spans="1:27" ht="14.25" customHeight="1" x14ac:dyDescent="0.35">
      <c r="A70" s="18"/>
      <c r="B70" s="64" t="s">
        <v>128</v>
      </c>
      <c r="C70" s="23" t="s">
        <v>254</v>
      </c>
      <c r="D70" s="23" t="s">
        <v>131</v>
      </c>
      <c r="E70" s="24">
        <v>1</v>
      </c>
      <c r="F70" s="25">
        <v>1.1499999999999999</v>
      </c>
      <c r="G70" s="25">
        <v>1.1499999999999999</v>
      </c>
      <c r="H70" s="26" t="s">
        <v>243</v>
      </c>
      <c r="I70" s="27">
        <f t="shared" si="21"/>
        <v>1.1499999999999999</v>
      </c>
      <c r="J70" s="28">
        <v>46036</v>
      </c>
      <c r="K70" s="29"/>
      <c r="L70" s="30">
        <f t="shared" si="22"/>
        <v>1.1499999999999999</v>
      </c>
      <c r="M70" s="30">
        <f>IF(B70="Texion Textil",0,IF(C70="Malha",'Custos insumos'!$B$24,IF(C70="Dublagem Cretone",'Custos insumos'!$D$7,IF(C70="Dublagem Spun",'Custos insumos'!$D$4,IF(C70="Espelhamento",'Custos insumos'!$B$11,IF(C70="Espelhamento 2x",2*'Custos insumos'!$B$11,IF(C70="Esp. + Pel.",'Custos insumos'!$B$11,IF(C70="Pel. + Spun",'Custos insumos'!$D$4,IF(C70="Dublagem Cretone PES",'Custos insumos'!$D$7,IF(C70="Dublagem Barreira",'Custos insumos'!$D$11,IF(C70="Dublagem - MO + Filme",'Custos insumos'!$D$4,IF(C70="Dublagem Cretone HM50",'Custos insumos'!$D$26,IF(C70="Dublagem Cretone HM70",'Custos insumos'!$F$10,)))))))))))))</f>
        <v>0</v>
      </c>
      <c r="N70" s="30">
        <f>IF(B70="Texion Textil",0,IF(B70="Três Elos",0,IF(C70="Malha",0,IF(C70="Dublagem Cretone",'Custos insumos'!$D$23,IF(C70="Dublagem Spun",'Custos insumos'!$D$19,IF(C70="Espelhamento",0,IF(C70="Espelhamento 2x",0,IF(C70="Esp. + Pel.",0,IF(C70="Pel. + Spun",'Custos insumos'!$D$19,IF(C70="Dublagem Cretone PES",'Custos insumos'!$F$25,IF(C70="Dublagem Barreira",'Custos insumos'!$D$22,)))))))))))</f>
        <v>0</v>
      </c>
      <c r="O70" s="18"/>
      <c r="P70" s="53">
        <f t="shared" si="23"/>
        <v>0.46154267310789049</v>
      </c>
      <c r="Q70" s="50">
        <f t="shared" si="24"/>
        <v>310.5</v>
      </c>
      <c r="R70" s="50" cm="1">
        <f t="array" ref="R70">_xlfn.IFS(C70="Calandra",(350),C70="Peletização",(421),C70="Dublagem Spun",(250),C70="Dublagem Cretone PES",(180),C70="Felpagem",(270/E70),C70="Emborrachamento",(200),C70="Espelhamento",(250),C70="Malha",(1),C70="Dublagem Cretone",(180),C70="Malha",(1),C70="Dublagem Spun - MO",250,C70="Dublagem Cretone - MO",180,C70="Dublagem Cretone PES - MO",180,C70="Espelhamento - MO",250,C70="Emborrachamento",100,C70="Malha",0,C70="Dublagem Barreira",100,C70="Pel. + Cal.",350,C70="Fel. + Pel. + Cal.",270,C70="Pel. + Spun",250,C70="Espelhamento - L: 1,45m",200,C70="Espelhamento - L: 1,65m",200,C70="Estampagem",100,C70="Fel. + Cal.",270,C70="Dublagem Juta",180,C70="Dublagem Cretone - MO (Juta)",180,C70="Dublagem Tapete",150,C70="Esp. + Pel.",200,C70="Espelhamento 2x",100)</f>
        <v>270</v>
      </c>
      <c r="S70" s="50">
        <f t="shared" si="25"/>
        <v>167.191</v>
      </c>
      <c r="T70" s="18" cm="1">
        <f t="array" ref="T70">_xlfn.IFS(C70="Calandra",0.4,C70="Felpagem",0.3,C70="Dublagem Spun",0.8,C70="Dublagem Cretone",0.8,C70="Dublagem Cretone PES",0.8,C70="Espelhamento",0.8,C70="Peletização",0.5,C70="Dublagem Spun - MO",0.8,C70="Dublagem Cretone - MO",0.8,C70="Dublagem Cretone PES - MO",0.8,C70="Espelhamento - MO",0.8,C70="Emborrachamento",1,C70="Malha",0,C70="Dublagem Barreira",1,C70="Pel. + Cal.",0.4,C70="Fel. + Pel. + Cal.",0.5,C70="Pel. + Spun",0.8,C70="Espelhamento - L: 1,45m",0.8,C70="Espelhamento - L: 1,65m",0.8,C70="Estampagem",1,C70="Fel. + Cal.",0.4,C70="Dublagem Juta",0.8,C70="Dublagem Cretone - MO (Juta)",0.8,C70="Dublagem Tapete",0.8,C70="Esp. + Pel.",0.8,C70="Espelhamento 2x",0.8)</f>
        <v>0.3</v>
      </c>
      <c r="U70" s="18">
        <v>1</v>
      </c>
      <c r="V70" s="18">
        <v>1</v>
      </c>
      <c r="W70" s="18"/>
      <c r="X70" s="18">
        <v>39.67</v>
      </c>
      <c r="Y70" s="18">
        <v>38.51</v>
      </c>
      <c r="Z70" s="18">
        <v>116.78</v>
      </c>
      <c r="AA70" s="18"/>
    </row>
    <row r="71" spans="1:27" ht="14.25" customHeight="1" x14ac:dyDescent="0.35">
      <c r="A71" s="18"/>
      <c r="B71" s="22" t="s">
        <v>136</v>
      </c>
      <c r="C71" s="23" t="s">
        <v>144</v>
      </c>
      <c r="D71" s="23"/>
      <c r="E71" s="24">
        <v>1</v>
      </c>
      <c r="F71" s="25">
        <v>0.6</v>
      </c>
      <c r="G71" s="25">
        <v>0.7</v>
      </c>
      <c r="H71" s="26" t="s">
        <v>243</v>
      </c>
      <c r="I71" s="27">
        <f t="shared" si="21"/>
        <v>0.7</v>
      </c>
      <c r="J71" s="28">
        <v>46036</v>
      </c>
      <c r="K71" s="29"/>
      <c r="L71" s="30">
        <f t="shared" si="22"/>
        <v>0.7</v>
      </c>
      <c r="M71" s="30">
        <f>IF(B71="Texion Textil",0,IF(C71="Malha",'Custos insumos'!$B$24,IF(C71="Dublagem Cretone",'Custos insumos'!$D$7,IF(C71="Dublagem Spun",'Custos insumos'!$D$4,IF(C71="Espelhamento",'Custos insumos'!$B$11,IF(C71="Espelhamento 2x",2*'Custos insumos'!$B$11,IF(C71="Esp. + Pel.",'Custos insumos'!$B$11,IF(C71="Pel. + Spun",'Custos insumos'!$D$4,IF(C71="Dublagem Cretone PES",'Custos insumos'!$D$7,IF(C71="Dublagem Barreira",'Custos insumos'!$D$11,IF(C71="Dublagem - MO + Filme",'Custos insumos'!$D$4,IF(C71="Dublagem Cretone HM50",'Custos insumos'!$D$26,IF(C71="Dublagem Cretone HM70",'Custos insumos'!$F$10,)))))))))))))</f>
        <v>0</v>
      </c>
      <c r="N71" s="30">
        <f>IF(B71="Texion Textil",0,IF(B71="Três Elos",0,IF(C71="Malha",0,IF(C71="Dublagem Cretone",'Custos insumos'!$D$23,IF(C71="Dublagem Spun",'Custos insumos'!$D$19,IF(C71="Espelhamento",0,IF(C71="Espelhamento 2x",0,IF(C71="Esp. + Pel.",0,IF(C71="Pel. + Spun",'Custos insumos'!$D$19,IF(C71="Dublagem Cretone PES",'Custos insumos'!$F$25,IF(C71="Dublagem Barreira",'Custos insumos'!$D$22,)))))))))))</f>
        <v>0</v>
      </c>
      <c r="O71" s="18"/>
      <c r="P71" s="53">
        <f t="shared" si="23"/>
        <v>0.40575161180861891</v>
      </c>
      <c r="Q71" s="50">
        <f t="shared" si="24"/>
        <v>294.7</v>
      </c>
      <c r="R71" s="50" cm="1">
        <f t="array" ref="R71">_xlfn.IFS(C71="Calandra",(350),C71="Peletização",(421),C71="Dublagem Spun",(250),C71="Dublagem Cretone PES",(180),C71="Felpagem",(270/E71),C71="Emborrachamento",(200),C71="Espelhamento",(250),C71="Malha",(1),C71="Dublagem Cretone",(180),C71="Malha",(1),C71="Dublagem Spun - MO",250,C71="Dublagem Cretone - MO",180,C71="Dublagem Cretone PES - MO",180,C71="Espelhamento - MO",250,C71="Emborrachamento",100,C71="Malha",0,C71="Dublagem Barreira",100,C71="Pel. + Cal.",350,C71="Fel. + Pel. + Cal.",270,C71="Pel. + Spun",250,C71="Espelhamento - L: 1,45m",200,C71="Espelhamento - L: 1,65m",200,C71="Estampagem",100,C71="Fel. + Cal.",270,C71="Dublagem Juta",180,C71="Dublagem Cretone - MO (Juta)",180,C71="Dublagem Tapete",150,C71="Esp. + Pel.",200,C71="Espelhamento 2x",100)</f>
        <v>421</v>
      </c>
      <c r="S71" s="50">
        <f t="shared" si="25"/>
        <v>175.125</v>
      </c>
      <c r="T71" s="18" cm="1">
        <f t="array" ref="T71">_xlfn.IFS(C71="Calandra",0.4,C71="Felpagem",0.3,C71="Dublagem Spun",0.8,C71="Dublagem Cretone",0.8,C71="Dublagem Cretone PES",0.8,C71="Espelhamento",0.8,C71="Peletização",0.5,C71="Dublagem Spun - MO",0.8,C71="Dublagem Cretone - MO",0.8,C71="Dublagem Cretone PES - MO",0.8,C71="Espelhamento - MO",0.8,C71="Emborrachamento",1,C71="Malha",0,C71="Dublagem Barreira",1,C71="Pel. + Cal.",0.4,C71="Fel. + Pel. + Cal.",0.5,C71="Pel. + Spun",0.8,C71="Espelhamento - L: 1,45m",0.8,C71="Espelhamento - L: 1,65m",0.8,C71="Estampagem",1,C71="Fel. + Cal.",0.4,C71="Dublagem Juta",0.8,C71="Dublagem Cretone - MO (Juta)",0.8,C71="Dublagem Tapete",0.8,C71="Esp. + Pel.",0.8,C71="Espelhamento 2x",0.8)</f>
        <v>0.5</v>
      </c>
      <c r="U71" s="18">
        <v>1</v>
      </c>
      <c r="V71" s="18">
        <v>1</v>
      </c>
      <c r="W71" s="18"/>
      <c r="X71" s="18">
        <v>39.67</v>
      </c>
      <c r="Y71" s="18">
        <v>38.51</v>
      </c>
      <c r="Z71" s="18">
        <v>116.78</v>
      </c>
      <c r="AA71" s="18"/>
    </row>
    <row r="72" spans="1:27" ht="14.25" customHeight="1" x14ac:dyDescent="0.35">
      <c r="A72" s="18"/>
      <c r="B72" s="64" t="s">
        <v>137</v>
      </c>
      <c r="C72" s="23" t="s">
        <v>142</v>
      </c>
      <c r="D72" s="23"/>
      <c r="E72" s="24">
        <v>1</v>
      </c>
      <c r="F72" s="25">
        <v>0.65</v>
      </c>
      <c r="G72" s="25">
        <v>0.71500000000000008</v>
      </c>
      <c r="H72" s="26" t="s">
        <v>243</v>
      </c>
      <c r="I72" s="27">
        <f t="shared" si="21"/>
        <v>0.71500000000000008</v>
      </c>
      <c r="J72" s="28">
        <v>46036</v>
      </c>
      <c r="K72" s="29"/>
      <c r="L72" s="30">
        <f t="shared" si="22"/>
        <v>0.71500000000000008</v>
      </c>
      <c r="M72" s="30">
        <f>IF(B72="Texion Textil",0,IF(C72="Malha",'Custos insumos'!$B$24,IF(C72="Dublagem Cretone",'Custos insumos'!$D$7,IF(C72="Dublagem Spun",'Custos insumos'!$D$4,IF(C72="Espelhamento",'Custos insumos'!$B$11,IF(C72="Espelhamento 2x",2*'Custos insumos'!$B$11,IF(C72="Esp. + Pel.",'Custos insumos'!$B$11,IF(C72="Pel. + Spun",'Custos insumos'!$D$4,IF(C72="Dublagem Cretone PES",'Custos insumos'!$D$7,IF(C72="Dublagem Barreira",'Custos insumos'!$D$11,IF(C72="Dublagem - MO + Filme",'Custos insumos'!$D$4,IF(C72="Dublagem Cretone HM50",'Custos insumos'!$D$26,IF(C72="Dublagem Cretone HM70",'Custos insumos'!$F$10,)))))))))))))</f>
        <v>0</v>
      </c>
      <c r="N72" s="30">
        <f>IF(B72="Texion Textil",0,IF(B72="Três Elos",0,IF(C72="Malha",0,IF(C72="Dublagem Cretone",'Custos insumos'!$D$23,IF(C72="Dublagem Spun",'Custos insumos'!$D$19,IF(C72="Espelhamento",0,IF(C72="Espelhamento 2x",0,IF(C72="Esp. + Pel.",0,IF(C72="Pel. + Spun",'Custos insumos'!$D$19,IF(C72="Dublagem Cretone PES",'Custos insumos'!$F$25,IF(C72="Dublagem Barreira",'Custos insumos'!$D$22,)))))))))))</f>
        <v>0</v>
      </c>
      <c r="O72" s="18"/>
      <c r="P72" s="53">
        <f t="shared" si="23"/>
        <v>0.31605194805194808</v>
      </c>
      <c r="Q72" s="50">
        <f t="shared" si="24"/>
        <v>250.25000000000003</v>
      </c>
      <c r="R72" s="50" cm="1">
        <f t="array" ref="R72">_xlfn.IFS(C72="Calandra",(350),C72="Peletização",(421),C72="Dublagem Spun",(250),C72="Dublagem Cretone PES",(180),C72="Felpagem",(270/E72),C72="Emborrachamento",(200),C72="Espelhamento",(250),C72="Malha",(1),C72="Dublagem Cretone",(180),C72="Malha",(1),C72="Dublagem Spun - MO",250,C72="Dublagem Cretone - MO",180,C72="Dublagem Cretone PES - MO",180,C72="Espelhamento - MO",250,C72="Emborrachamento",100,C72="Malha",0,C72="Dublagem Barreira",100,C72="Pel. + Cal.",350,C72="Fel. + Pel. + Cal.",270,C72="Pel. + Spun",250,C72="Espelhamento - L: 1,45m",200,C72="Espelhamento - L: 1,65m",200,C72="Estampagem",100,C72="Fel. + Cal.",270,C72="Dublagem Juta",180,C72="Dublagem Cretone - MO (Juta)",180,C72="Dublagem Tapete",150,C72="Esp. + Pel.",200,C72="Espelhamento 2x",100)</f>
        <v>350</v>
      </c>
      <c r="S72" s="50">
        <f t="shared" si="25"/>
        <v>171.15800000000002</v>
      </c>
      <c r="T72" s="18" cm="1">
        <f t="array" ref="T72">_xlfn.IFS(C72="Calandra",0.4,C72="Felpagem",0.3,C72="Dublagem Spun",0.8,C72="Dublagem Cretone",0.8,C72="Dublagem Cretone PES",0.8,C72="Espelhamento",0.8,C72="Peletização",0.5,C72="Dublagem Spun - MO",0.8,C72="Dublagem Cretone - MO",0.8,C72="Dublagem Cretone PES - MO",0.8,C72="Espelhamento - MO",0.8,C72="Emborrachamento",1,C72="Malha",0,C72="Dublagem Barreira",1,C72="Pel. + Cal.",0.4,C72="Fel. + Pel. + Cal.",0.5,C72="Pel. + Spun",0.8,C72="Espelhamento - L: 1,45m",0.8,C72="Espelhamento - L: 1,65m",0.8,C72="Estampagem",1,C72="Fel. + Cal.",0.4,C72="Dublagem Juta",0.8,C72="Dublagem Cretone - MO (Juta)",0.8,C72="Dublagem Tapete",0.8,C72="Esp. + Pel.",0.8,C72="Espelhamento 2x",0.8)</f>
        <v>0.4</v>
      </c>
      <c r="U72" s="18">
        <v>1</v>
      </c>
      <c r="V72" s="18">
        <v>1</v>
      </c>
      <c r="W72" s="18"/>
      <c r="X72" s="18">
        <v>39.67</v>
      </c>
      <c r="Y72" s="18">
        <v>38.51</v>
      </c>
      <c r="Z72" s="18">
        <v>116.78</v>
      </c>
      <c r="AA72" s="18"/>
    </row>
    <row r="73" spans="1:27" ht="14.25" customHeight="1" x14ac:dyDescent="0.35">
      <c r="A73" s="18"/>
      <c r="B73" s="64" t="s">
        <v>137</v>
      </c>
      <c r="C73" s="23" t="s">
        <v>144</v>
      </c>
      <c r="D73" s="23"/>
      <c r="E73" s="24">
        <v>1</v>
      </c>
      <c r="F73" s="25">
        <v>0.6</v>
      </c>
      <c r="G73" s="25">
        <v>0.7</v>
      </c>
      <c r="H73" s="26" t="s">
        <v>243</v>
      </c>
      <c r="I73" s="66">
        <f t="shared" si="21"/>
        <v>0.7</v>
      </c>
      <c r="J73" s="28">
        <v>46036</v>
      </c>
      <c r="K73" s="29"/>
      <c r="L73" s="30">
        <f t="shared" si="22"/>
        <v>0.7</v>
      </c>
      <c r="M73" s="30">
        <f>IF(B73="Texion Textil",0,IF(C73="Malha",'Custos insumos'!$B$24,IF(C73="Dublagem Cretone",'Custos insumos'!$D$7,IF(C73="Dublagem Spun",'Custos insumos'!$D$4,IF(C73="Espelhamento",'Custos insumos'!$B$11,IF(C73="Espelhamento 2x",2*'Custos insumos'!$B$11,IF(C73="Esp. + Pel.",'Custos insumos'!$B$11,IF(C73="Pel. + Spun",'Custos insumos'!$D$4,IF(C73="Dublagem Cretone PES",'Custos insumos'!$D$7,IF(C73="Dublagem Barreira",'Custos insumos'!$D$11,IF(C73="Dublagem - MO + Filme",'Custos insumos'!$D$4,IF(C73="Dublagem Cretone HM50",'Custos insumos'!$D$26,IF(C73="Dublagem Cretone HM70",'Custos insumos'!$F$10,)))))))))))))</f>
        <v>0</v>
      </c>
      <c r="N73" s="30"/>
      <c r="O73" s="18"/>
      <c r="P73" s="53">
        <f t="shared" si="23"/>
        <v>0.40575161180861891</v>
      </c>
      <c r="Q73" s="50">
        <f t="shared" si="24"/>
        <v>294.7</v>
      </c>
      <c r="R73" s="50" cm="1">
        <f t="array" ref="R73">_xlfn.IFS(C73="Calandra",(350),C73="Peletização",(421),C73="Dublagem Spun",(250),C73="Dublagem Cretone PES",(180),C73="Felpagem",(270/E73),C73="Emborrachamento",(200),C73="Espelhamento",(250),C73="Malha",(1),C73="Dublagem Cretone",(180),C73="Malha",(1),C73="Dublagem Spun - MO",250,C73="Dublagem Cretone - MO",180,C73="Dublagem Cretone PES - MO",180,C73="Espelhamento - MO",250,C73="Emborrachamento",100,C73="Malha",0,C73="Dublagem Barreira",100,C73="Pel. + Cal.",350,C73="Fel. + Pel. + Cal.",270,C73="Pel. + Spun",250,C73="Espelhamento - L: 1,45m",200,C73="Espelhamento - L: 1,65m",200,C73="Estampagem",100,C73="Fel. + Cal.",270,C73="Dublagem Juta",180,C73="Dublagem Cretone - MO (Juta)",180,C73="Dublagem Tapete",150,C73="Esp. + Pel.",200,C73="Espelhamento 2x",100)</f>
        <v>421</v>
      </c>
      <c r="S73" s="50">
        <f t="shared" si="25"/>
        <v>175.125</v>
      </c>
      <c r="T73" s="18" cm="1">
        <f t="array" ref="T73">_xlfn.IFS(C73="Calandra",0.4,C73="Felpagem",0.3,C73="Dublagem Spun",0.8,C73="Dublagem Cretone",0.8,C73="Dublagem Cretone PES",0.8,C73="Espelhamento",0.8,C73="Peletização",0.5,C73="Dublagem Spun - MO",0.8,C73="Dublagem Cretone - MO",0.8,C73="Dublagem Cretone PES - MO",0.8,C73="Espelhamento - MO",0.8,C73="Emborrachamento",1,C73="Malha",0,C73="Dublagem Barreira",1,C73="Pel. + Cal.",0.4,C73="Fel. + Pel. + Cal.",0.5,C73="Pel. + Spun",0.8,C73="Espelhamento - L: 1,45m",0.8,C73="Espelhamento - L: 1,65m",0.8,C73="Estampagem",1,C73="Fel. + Cal.",0.4,C73="Dublagem Juta",0.8,C73="Dublagem Cretone - MO (Juta)",0.8,C73="Dublagem Tapete",0.8,C73="Esp. + Pel.",0.8,C73="Espelhamento 2x",0.8)</f>
        <v>0.5</v>
      </c>
      <c r="U73" s="18">
        <v>1</v>
      </c>
      <c r="V73" s="18">
        <v>1</v>
      </c>
      <c r="W73" s="18"/>
      <c r="X73" s="18">
        <v>39.67</v>
      </c>
      <c r="Y73" s="18">
        <v>38.51</v>
      </c>
      <c r="Z73" s="18">
        <v>116.78</v>
      </c>
      <c r="AA73" s="18"/>
    </row>
    <row r="74" spans="1:27" ht="14.25" customHeight="1" x14ac:dyDescent="0.35">
      <c r="A74" s="18"/>
      <c r="B74" s="75" t="s">
        <v>138</v>
      </c>
      <c r="C74" s="23" t="s">
        <v>254</v>
      </c>
      <c r="D74" s="23"/>
      <c r="E74" s="24">
        <v>1</v>
      </c>
      <c r="F74" s="25">
        <v>0.4</v>
      </c>
      <c r="G74" s="25">
        <v>0.7</v>
      </c>
      <c r="H74" s="26" t="s">
        <v>243</v>
      </c>
      <c r="I74" s="27">
        <f t="shared" si="21"/>
        <v>0.7</v>
      </c>
      <c r="J74" s="28">
        <v>46036</v>
      </c>
      <c r="K74" s="29"/>
      <c r="L74" s="30">
        <f t="shared" si="22"/>
        <v>0.7</v>
      </c>
      <c r="M74" s="30">
        <f>IF(B74="Texion Textil",0,IF(C74="Malha",'Custos insumos'!$B$24,IF(C74="Dublagem Cretone",'Custos insumos'!$D$7,IF(C74="Dublagem Spun",'Custos insumos'!$D$4,IF(C74="Espelhamento",'Custos insumos'!$B$11,IF(C74="Espelhamento 2x",2*'Custos insumos'!$B$11,IF(C74="Esp. + Pel.",'Custos insumos'!$B$11,IF(C74="Pel. + Spun",'Custos insumos'!$D$4,IF(C74="Dublagem Cretone PES",'Custos insumos'!$D$7,IF(C74="Dublagem Barreira",'Custos insumos'!$D$11,IF(C74="Dublagem - MO + Filme",'Custos insumos'!$D$4,IF(C74="Dublagem Cretone HM50",'Custos insumos'!$D$26,IF(C74="Dublagem Cretone HM70",'Custos insumos'!$F$10,)))))))))))))</f>
        <v>0</v>
      </c>
      <c r="N74" s="30">
        <f>IF(B74="Texion Textil",0,IF(B74="Três Elos",0,IF(C74="Malha",0,IF(C74="Dublagem Cretone",'Custos insumos'!$D$23,IF(C74="Dublagem Spun",'Custos insumos'!$D$16,IF(C74="Espelhamento",0,IF(C74="Espelhamento 2x",0,IF(C74="Esp. + Pel.",0,IF(C74="Pel. + Spun",'Custos insumos'!$D$16,IF(C74="Dublagem Cretone PES",'Custos insumos'!$F$25,IF(C74="Dublagem Barreira",'Custos insumos'!$D$22,)))))))))))</f>
        <v>0</v>
      </c>
      <c r="O74" s="18"/>
      <c r="P74" s="53">
        <f t="shared" si="23"/>
        <v>0.11539153439153438</v>
      </c>
      <c r="Q74" s="50">
        <f t="shared" si="24"/>
        <v>189</v>
      </c>
      <c r="R74" s="50" cm="1">
        <f t="array" ref="R74">_xlfn.IFS(C74="Calandra",(350),C74="Peletização",(421),C74="Dublagem Spun",(250),C74="Dublagem Cretone PES",(180),C74="Felpagem",(270/E74),C74="Emborrachamento",(200),C74="Espelhamento",(250),C74="Malha",(1),C74="Dublagem Cretone",(180),C74="Malha",(1),C74="Dublagem Spun - MO",250,C74="Dublagem Cretone - MO",180,C74="Dublagem Cretone PES - MO",180,C74="Espelhamento - MO",250,C74="Emborrachamento",100,C74="Malha",0,C74="Dublagem Barreira",100,C74="Pel. + Cal.",350,C74="Fel. + Pel. + Cal.",270,C74="Pel. + Spun",250,C74="Espelhamento - L: 1,45m",200,C74="Espelhamento - L: 1,65m",200,C74="Estampagem",100,C74="Fel. + Cal.",270,C74="Dublagem Juta",180,C74="Dublagem Cretone - MO (Juta)",180,C74="Dublagem Tapete",150,C74="Esp. + Pel.",200,C74="Espelhamento 2x",100)</f>
        <v>270</v>
      </c>
      <c r="S74" s="50">
        <f t="shared" si="25"/>
        <v>167.191</v>
      </c>
      <c r="T74" s="18" cm="1">
        <f t="array" ref="T74">_xlfn.IFS(C74="Calandra",0.4,C74="Felpagem",0.3,C74="Dublagem Spun",0.8,C74="Dublagem Cretone",0.8,C74="Dublagem Cretone PES",0.8,C74="Espelhamento",0.8,C74="Peletização",0.5,C74="Dublagem Spun - MO",0.8,C74="Dublagem Cretone - MO",0.8,C74="Dublagem Cretone PES - MO",0.8,C74="Espelhamento - MO",0.8,C74="Emborrachamento",1,C74="Malha",0,C74="Dublagem Barreira",1,C74="Pel. + Cal.",0.4,C74="Fel. + Pel. + Cal.",0.5,C74="Pel. + Spun",0.8,C74="Espelhamento - L: 1,45m",0.8,C74="Espelhamento - L: 1,65m",0.8,C74="Estampagem",1,C74="Fel. + Cal.",0.4,C74="Dublagem Juta",0.8,C74="Dublagem Cretone - MO (Juta)",0.8,C74="Dublagem Tapete",0.8,C74="Esp. + Pel.",0.8,C74="Espelhamento 2x",0.8)</f>
        <v>0.3</v>
      </c>
      <c r="U74" s="18">
        <v>1</v>
      </c>
      <c r="V74" s="18">
        <v>1</v>
      </c>
      <c r="W74" s="18"/>
      <c r="X74" s="18">
        <v>39.67</v>
      </c>
      <c r="Y74" s="18">
        <v>38.51</v>
      </c>
      <c r="Z74" s="18">
        <v>116.78</v>
      </c>
      <c r="AA74" s="18"/>
    </row>
    <row r="75" spans="1:27" ht="14.25" customHeight="1" x14ac:dyDescent="0.35">
      <c r="A75" s="18"/>
      <c r="B75" s="75" t="s">
        <v>138</v>
      </c>
      <c r="C75" s="23" t="s">
        <v>98</v>
      </c>
      <c r="D75" s="23" t="s">
        <v>482</v>
      </c>
      <c r="E75" s="24">
        <v>1</v>
      </c>
      <c r="F75" s="25">
        <v>6.1</v>
      </c>
      <c r="G75" s="27">
        <v>6.1</v>
      </c>
      <c r="H75" s="26" t="s">
        <v>243</v>
      </c>
      <c r="I75" s="27">
        <f t="shared" si="21"/>
        <v>6.1</v>
      </c>
      <c r="J75" s="28">
        <v>46036</v>
      </c>
      <c r="K75" s="29" t="s">
        <v>248</v>
      </c>
      <c r="L75" s="30">
        <f t="shared" si="22"/>
        <v>4.7079999999999993</v>
      </c>
      <c r="M75" s="30">
        <f>'Custos insumos'!L18</f>
        <v>0.70799999999999996</v>
      </c>
      <c r="N75" s="30">
        <f>'Custos insumos'!N4</f>
        <v>0.68399999999999994</v>
      </c>
      <c r="O75" s="18"/>
      <c r="P75" s="53" t="e">
        <f t="shared" si="23"/>
        <v>#N/A</v>
      </c>
      <c r="Q75" s="50" t="e">
        <f t="shared" si="24"/>
        <v>#N/A</v>
      </c>
      <c r="R75" s="50" t="e" cm="1">
        <f t="array" ref="R75">_xlfn.IFS(C75="Calandra",(350),C75="Peletização",(421),C75="Dublagem Spun",(250),C75="Dublagem Cretone PES",(180),C75="Felpagem",(270/E75),C75="Emborrachamento",(200),C75="Espelhamento",(250),C75="Malha",(1),C75="Dublagem Cretone",(180),C75="Malha",(1),C75="Dublagem Spun - MO",250,C75="Dublagem Cretone - MO",180,C75="Dublagem Cretone PES - MO",180,C75="Espelhamento - MO",250,C75="Emborrachamento",100,C75="Malha",0,C75="Dublagem Barreira",100,C75="Pel. + Cal.",350,C75="Fel. + Pel. + Cal.",270,C75="Pel. + Spun",250,C75="Espelhamento - L: 1,45m",200,C75="Espelhamento - L: 1,65m",200,C75="Estampagem",100,C75="Fel. + Cal.",270,C75="Dublagem Juta",180,C75="Dublagem Cretone - MO (Juta)",180,C75="Dublagem Tapete",150,C75="Esp. + Pel.",200,C75="Espelhamento 2x",100)</f>
        <v>#N/A</v>
      </c>
      <c r="S75" s="50" t="e">
        <f t="shared" si="25"/>
        <v>#N/A</v>
      </c>
      <c r="T75" s="18" t="e" cm="1">
        <f t="array" ref="T75">_xlfn.IFS(C75="Calandra",0.4,C75="Felpagem",0.3,C75="Dublagem Spun",0.8,C75="Dublagem Cretone",0.8,C75="Dublagem Cretone PES",0.8,C75="Espelhamento",0.8,C75="Peletização",0.5,C75="Dublagem Spun - MO",0.8,C75="Dublagem Cretone - MO",0.8,C75="Dublagem Cretone PES - MO",0.8,C75="Espelhamento - MO",0.8,C75="Emborrachamento",1,C75="Malha",0,C75="Dublagem Barreira",1,C75="Pel. + Cal.",0.4,C75="Fel. + Pel. + Cal.",0.5,C75="Pel. + Spun",0.8,C75="Espelhamento - L: 1,45m",0.8,C75="Espelhamento - L: 1,65m",0.8,C75="Estampagem",1,C75="Fel. + Cal.",0.4,C75="Dublagem Juta",0.8,C75="Dublagem Cretone - MO (Juta)",0.8,C75="Dublagem Tapete",0.8,C75="Esp. + Pel.",0.8,C75="Espelhamento 2x",0.8)</f>
        <v>#N/A</v>
      </c>
      <c r="U75" s="18">
        <v>1</v>
      </c>
      <c r="V75" s="18">
        <v>1</v>
      </c>
      <c r="W75" s="18"/>
      <c r="X75" s="18">
        <v>39.67</v>
      </c>
      <c r="Y75" s="18">
        <v>38.51</v>
      </c>
      <c r="Z75" s="18">
        <v>116.78</v>
      </c>
      <c r="AA75" s="18"/>
    </row>
    <row r="76" spans="1:27" ht="14.25" customHeight="1" x14ac:dyDescent="0.35">
      <c r="A76" s="18"/>
      <c r="B76" s="75" t="s">
        <v>138</v>
      </c>
      <c r="C76" s="23" t="s">
        <v>142</v>
      </c>
      <c r="D76" s="23"/>
      <c r="E76" s="24">
        <v>2</v>
      </c>
      <c r="F76" s="25">
        <v>0.65</v>
      </c>
      <c r="G76" s="25">
        <v>0.7</v>
      </c>
      <c r="H76" s="26" t="s">
        <v>243</v>
      </c>
      <c r="I76" s="27">
        <f t="shared" si="21"/>
        <v>0.35</v>
      </c>
      <c r="J76" s="28">
        <v>46036</v>
      </c>
      <c r="K76" s="29"/>
      <c r="L76" s="30">
        <f t="shared" si="22"/>
        <v>0.7</v>
      </c>
      <c r="M76" s="30">
        <f>IF(B76="Texion Textil",0,IF(C76="Malha",'Custos insumos'!$B$24,IF(C76="Dublagem Cretone",'Custos insumos'!$D$7,IF(C76="Dublagem Spun",'Custos insumos'!$D$4,IF(C76="Espelhamento",'Custos insumos'!$B$11,IF(C76="Espelhamento 2x",2*'Custos insumos'!$B$11,IF(C76="Esp. + Pel.",'Custos insumos'!$B$11,IF(C76="Pel. + Spun",'Custos insumos'!$D$4,IF(C76="Dublagem Cretone PES",'Custos insumos'!$D$7,IF(C76="Dublagem Barreira",'Custos insumos'!$D$11,IF(C76="Dublagem - MO + Filme",'Custos insumos'!$D$4,IF(C76="Dublagem Cretone HM50",'Custos insumos'!$D$26,IF(C76="Dublagem Cretone HM70",'Custos insumos'!$F$10,)))))))))))))</f>
        <v>0</v>
      </c>
      <c r="N76" s="30">
        <f>IF(B76="Texion Textil",0,IF(B76="Três Elos",0,IF(C76="Malha",0,IF(C76="Dublagem Cretone",'Custos insumos'!$D$23,IF(C76="Dublagem Spun",'Custos insumos'!$D$16,IF(C76="Espelhamento",0,IF(C76="Espelhamento 2x",0,IF(C76="Esp. + Pel.",0,IF(C76="Pel. + Spun",'Custos insumos'!$D$16,IF(C76="Dublagem Cretone PES",'Custos insumos'!$F$25,IF(C76="Dublagem Barreira",'Custos insumos'!$D$22,)))))))))))</f>
        <v>0</v>
      </c>
      <c r="O76" s="18"/>
      <c r="P76" s="53">
        <f t="shared" si="23"/>
        <v>0.3013959183673468</v>
      </c>
      <c r="Q76" s="50">
        <f t="shared" si="24"/>
        <v>244.99999999999997</v>
      </c>
      <c r="R76" s="50" cm="1">
        <f t="array" ref="R76">_xlfn.IFS(C76="Calandra",(350),C76="Peletização",(421),C76="Dublagem Spun",(250),C76="Dublagem Cretone PES",(180),C76="Felpagem",(270/E76),C76="Emborrachamento",(200),C76="Espelhamento",(250),C76="Malha",(1),C76="Dublagem Cretone",(180),C76="Malha",(1),C76="Dublagem Spun - MO",250,C76="Dublagem Cretone - MO",180,C76="Dublagem Cretone PES - MO",180,C76="Espelhamento - MO",250,C76="Emborrachamento",100,C76="Malha",0,C76="Dublagem Barreira",100,C76="Pel. + Cal.",350,C76="Fel. + Pel. + Cal.",270,C76="Pel. + Spun",250,C76="Espelhamento - L: 1,45m",200,C76="Espelhamento - L: 1,65m",200,C76="Estampagem",100,C76="Fel. + Cal.",270,C76="Dublagem Juta",180,C76="Dublagem Cretone - MO (Juta)",180,C76="Dublagem Tapete",150,C76="Esp. + Pel.",200,C76="Espelhamento 2x",100)</f>
        <v>350</v>
      </c>
      <c r="S76" s="50">
        <f t="shared" si="25"/>
        <v>171.15800000000002</v>
      </c>
      <c r="T76" s="18" cm="1">
        <f t="array" ref="T76">_xlfn.IFS(C76="Calandra",0.4,C76="Felpagem",0.3,C76="Dublagem Spun",0.8,C76="Dublagem Cretone",0.8,C76="Dublagem Cretone PES",0.8,C76="Espelhamento",0.8,C76="Peletização",0.5,C76="Dublagem Spun - MO",0.8,C76="Dublagem Cretone - MO",0.8,C76="Dublagem Cretone PES - MO",0.8,C76="Espelhamento - MO",0.8,C76="Emborrachamento",1,C76="Malha",0,C76="Dublagem Barreira",1,C76="Pel. + Cal.",0.4,C76="Fel. + Pel. + Cal.",0.5,C76="Pel. + Spun",0.8,C76="Espelhamento - L: 1,45m",0.8,C76="Espelhamento - L: 1,65m",0.8,C76="Estampagem",1,C76="Fel. + Cal.",0.4,C76="Dublagem Juta",0.8,C76="Dublagem Cretone - MO (Juta)",0.8,C76="Dublagem Tapete",0.8,C76="Esp. + Pel.",0.8,C76="Espelhamento 2x",0.8)</f>
        <v>0.4</v>
      </c>
      <c r="U76" s="18">
        <v>1</v>
      </c>
      <c r="V76" s="18">
        <v>1</v>
      </c>
      <c r="W76" s="18"/>
      <c r="X76" s="18">
        <v>39.67</v>
      </c>
      <c r="Y76" s="18">
        <v>38.51</v>
      </c>
      <c r="Z76" s="18">
        <v>116.78</v>
      </c>
      <c r="AA76" s="18"/>
    </row>
    <row r="77" spans="1:27" ht="14.25" customHeight="1" x14ac:dyDescent="0.35">
      <c r="A77" s="18"/>
      <c r="B77" s="64" t="s">
        <v>487</v>
      </c>
      <c r="C77" s="23" t="s">
        <v>251</v>
      </c>
      <c r="D77" s="23" t="s">
        <v>488</v>
      </c>
      <c r="E77" s="24">
        <v>1</v>
      </c>
      <c r="F77" s="25">
        <v>7.1</v>
      </c>
      <c r="G77" s="25">
        <v>7.8100000000000005</v>
      </c>
      <c r="H77" s="26" t="s">
        <v>243</v>
      </c>
      <c r="I77" s="27">
        <f t="shared" si="21"/>
        <v>7.8100000000000005</v>
      </c>
      <c r="J77" s="28">
        <v>46036</v>
      </c>
      <c r="K77" s="29"/>
      <c r="L77" s="30">
        <f t="shared" si="22"/>
        <v>3.2500000000000013</v>
      </c>
      <c r="M77" s="30">
        <f>'Custos insumos'!F9</f>
        <v>2.2319999999999998</v>
      </c>
      <c r="N77" s="30">
        <f>'Custos insumos'!D23</f>
        <v>2.3279999999999998</v>
      </c>
      <c r="O77" s="18"/>
      <c r="P77" s="53">
        <f t="shared" si="23"/>
        <v>0.28309432351685881</v>
      </c>
      <c r="Q77" s="50">
        <f t="shared" si="24"/>
        <v>1405.8000000000002</v>
      </c>
      <c r="R77" s="50" cm="1">
        <f t="array" ref="R77">_xlfn.IFS(C77="Calandra",(350),C77="Peletização",(421),C77="Dublagem Spun",(250),C77="Dublagem Cretone PES",(180),C77="Felpagem",(270/E77),C77="Emborrachamento",(200),C77="Espelhamento",(250),C77="Malha",(1),C77="Dublagem Cretone",(180),C77="Malha",(1),C77="Dublagem Spun - MO",250,C77="Dublagem Cretone - MO",180,C77="Dublagem Cretone PES - MO",180,C77="Espelhamento - MO",250,C77="Emborrachamento",100,C77="Malha",0,C77="Dublagem Barreira",100,C77="Pel. + Cal.",350,C77="Fel. + Pel. + Cal.",270,C77="Pel. + Spun",250,C77="Espelhamento - L: 1,45m",200,C77="Espelhamento - L: 1,65m",200,C77="Estampagem",100,C77="Fel. + Cal.",270,C77="Dublagem Juta",180,C77="Dublagem Cretone - MO (Juta)",180,C77="Dublagem Tapete",150,C77="Esp. + Pel.",200,C77="Espelhamento 2x",100)</f>
        <v>180</v>
      </c>
      <c r="S77" s="50">
        <f t="shared" si="25"/>
        <v>1007.826</v>
      </c>
      <c r="T77" s="18" cm="1">
        <f t="array" ref="T77">_xlfn.IFS(C77="Calandra",0.4,C77="Felpagem",0.3,C77="Dublagem Spun",0.8,C77="Dublagem Cretone",0.8,C77="Dublagem Cretone PES",0.8,C77="Espelhamento",0.8,C77="Peletização",0.5,C77="Dublagem Spun - MO",0.8,C77="Dublagem Cretone - MO",0.8,C77="Dublagem Cretone PES - MO",0.8,C77="Espelhamento - MO",0.8,C77="Emborrachamento",1,C77="Malha",0,C77="Dublagem Barreira",1,C77="Pel. + Cal.",0.4,C77="Fel. + Pel. + Cal.",0.5,C77="Pel. + Spun",0.8,C77="Espelhamento - L: 1,45m",0.8,C77="Espelhamento - L: 1,65m",0.8,C77="Estampagem",1,C77="Fel. + Cal.",0.4,C77="Dublagem Juta",0.8,C77="Dublagem Cretone - MO (Juta)",0.8,C77="Dublagem Tapete",0.8,C77="Esp. + Pel.",0.8,C77="Espelhamento 2x",0.8)</f>
        <v>0.8</v>
      </c>
      <c r="U77" s="18">
        <v>1</v>
      </c>
      <c r="V77" s="18">
        <v>1</v>
      </c>
      <c r="W77" s="18"/>
      <c r="X77" s="18">
        <v>39.67</v>
      </c>
      <c r="Y77" s="18">
        <v>38.51</v>
      </c>
      <c r="Z77" s="18">
        <v>116.78</v>
      </c>
      <c r="AA77" s="18"/>
    </row>
    <row r="78" spans="1:27" ht="14.25" customHeight="1" x14ac:dyDescent="0.35">
      <c r="A78" s="18"/>
      <c r="B78" s="64" t="s">
        <v>487</v>
      </c>
      <c r="C78" s="23" t="s">
        <v>251</v>
      </c>
      <c r="D78" s="23" t="s">
        <v>489</v>
      </c>
      <c r="E78" s="24">
        <v>1</v>
      </c>
      <c r="F78" s="25">
        <v>6.1</v>
      </c>
      <c r="G78" s="25">
        <v>6.71</v>
      </c>
      <c r="H78" s="26" t="s">
        <v>243</v>
      </c>
      <c r="I78" s="27">
        <f t="shared" si="21"/>
        <v>6.71</v>
      </c>
      <c r="J78" s="28">
        <v>46036</v>
      </c>
      <c r="K78" s="29"/>
      <c r="L78" s="30">
        <f t="shared" si="22"/>
        <v>2.4200000000000004</v>
      </c>
      <c r="M78" s="30">
        <f>IF(B78="Texion Textil",0,IF(C78="Malha",'Custos insumos'!$B$24,IF(C78="Dublagem Cretone",'Custos insumos'!$D$7,IF(C78="Dublagem Spun",'Custos insumos'!$D$4,IF(C78="Espelhamento",'Custos insumos'!$B$11,IF(C78="Espelhamento 2x",2*'Custos insumos'!$B$11,IF(C78="Esp. + Pel.",'Custos insumos'!$B$11,IF(C78="Pel. + Spun",'Custos insumos'!$D$4,IF(C78="Dublagem Cretone PES",'Custos insumos'!$D$7,IF(C78="Dublagem Barreira",'Custos insumos'!$D$11,IF(C78="Dublagem - MO + Filme",'Custos insumos'!$D$4,IF(C78="Dublagem Cretone HM50",'Custos insumos'!$D$26,IF(C78="Dublagem Cretone HM70",'Custos insumos'!$F$10,)))))))))))))</f>
        <v>1.962</v>
      </c>
      <c r="N78" s="30">
        <f>IF(B78="Texion Textil",0,IF(B78="Três Elos",0,IF(C78="Malha",0,IF(C78="Dublagem Cretone",'Custos insumos'!$D$23,IF(C78="Dublagem Spun",'Custos insumos'!$D$16,IF(C78="Espelhamento",0,IF(C78="Espelhamento 2x",0,IF(C78="Esp. + Pel.",0,IF(C78="Pel. + Spun",'Custos insumos'!$D$16,IF(C78="Dublagem Cretone PES",'Custos insumos'!$F$25,IF(C78="Dublagem Barreira",'Custos insumos'!$D$22,)))))))))))</f>
        <v>2.3279999999999998</v>
      </c>
      <c r="O78" s="18"/>
      <c r="P78" s="53">
        <f t="shared" si="23"/>
        <v>0.20580725285643306</v>
      </c>
      <c r="Q78" s="50">
        <f t="shared" si="24"/>
        <v>1207.8</v>
      </c>
      <c r="R78" s="50" cm="1">
        <f t="array" ref="R78">_xlfn.IFS(C78="Calandra",(350),C78="Peletização",(421),C78="Dublagem Spun",(250),C78="Dublagem Cretone PES",(180),C78="Felpagem",(270/E78),C78="Emborrachamento",(200),C78="Espelhamento",(250),C78="Malha",(1),C78="Dublagem Cretone",(180),C78="Malha",(1),C78="Dublagem Spun - MO",250,C78="Dublagem Cretone - MO",180,C78="Dublagem Cretone PES - MO",180,C78="Espelhamento - MO",250,C78="Emborrachamento",100,C78="Malha",0,C78="Dublagem Barreira",100,C78="Pel. + Cal.",350,C78="Fel. + Pel. + Cal.",270,C78="Pel. + Spun",250,C78="Espelhamento - L: 1,45m",200,C78="Espelhamento - L: 1,65m",200,C78="Estampagem",100,C78="Fel. + Cal.",270,C78="Dublagem Juta",180,C78="Dublagem Cretone - MO (Juta)",180,C78="Dublagem Tapete",150,C78="Esp. + Pel.",200,C78="Espelhamento 2x",100)</f>
        <v>180</v>
      </c>
      <c r="S78" s="50">
        <f t="shared" si="25"/>
        <v>959.22600000000011</v>
      </c>
      <c r="T78" s="18" cm="1">
        <f t="array" ref="T78">_xlfn.IFS(C78="Calandra",0.4,C78="Felpagem",0.3,C78="Dublagem Spun",0.8,C78="Dublagem Cretone",0.8,C78="Dublagem Cretone PES",0.8,C78="Espelhamento",0.8,C78="Peletização",0.5,C78="Dublagem Spun - MO",0.8,C78="Dublagem Cretone - MO",0.8,C78="Dublagem Cretone PES - MO",0.8,C78="Espelhamento - MO",0.8,C78="Emborrachamento",1,C78="Malha",0,C78="Dublagem Barreira",1,C78="Pel. + Cal.",0.4,C78="Fel. + Pel. + Cal.",0.5,C78="Pel. + Spun",0.8,C78="Espelhamento - L: 1,45m",0.8,C78="Espelhamento - L: 1,65m",0.8,C78="Estampagem",1,C78="Fel. + Cal.",0.4,C78="Dublagem Juta",0.8,C78="Dublagem Cretone - MO (Juta)",0.8,C78="Dublagem Tapete",0.8,C78="Esp. + Pel.",0.8,C78="Espelhamento 2x",0.8)</f>
        <v>0.8</v>
      </c>
      <c r="U78" s="18">
        <v>1</v>
      </c>
      <c r="V78" s="18">
        <v>1</v>
      </c>
      <c r="W78" s="18"/>
      <c r="X78" s="18">
        <v>39.67</v>
      </c>
      <c r="Y78" s="18">
        <v>38.51</v>
      </c>
      <c r="Z78" s="18">
        <v>116.78</v>
      </c>
      <c r="AA78" s="18"/>
    </row>
    <row r="79" spans="1:27" ht="14.25" customHeight="1" x14ac:dyDescent="0.35">
      <c r="A79" s="18"/>
      <c r="B79" s="64" t="s">
        <v>487</v>
      </c>
      <c r="C79" s="23" t="s">
        <v>98</v>
      </c>
      <c r="D79" s="23" t="s">
        <v>482</v>
      </c>
      <c r="E79" s="24">
        <v>1</v>
      </c>
      <c r="F79" s="25">
        <v>6.1</v>
      </c>
      <c r="G79" s="25">
        <v>6.71</v>
      </c>
      <c r="H79" s="26" t="s">
        <v>243</v>
      </c>
      <c r="I79" s="27">
        <f t="shared" si="21"/>
        <v>6.71</v>
      </c>
      <c r="J79" s="28">
        <v>46036</v>
      </c>
      <c r="K79" s="29"/>
      <c r="L79" s="30">
        <f t="shared" si="22"/>
        <v>5.3179999999999996</v>
      </c>
      <c r="M79" s="30">
        <f>'Custos insumos'!N4</f>
        <v>0.68399999999999994</v>
      </c>
      <c r="N79" s="30">
        <f>'Custos insumos'!L18</f>
        <v>0.70799999999999996</v>
      </c>
      <c r="O79" s="18"/>
      <c r="P79" s="53" t="e">
        <f t="shared" si="23"/>
        <v>#N/A</v>
      </c>
      <c r="Q79" s="50" t="e">
        <f t="shared" si="24"/>
        <v>#N/A</v>
      </c>
      <c r="R79" s="50" t="e" cm="1">
        <f t="array" ref="R79">_xlfn.IFS(C79="Calandra",(350),C79="Peletização",(421),C79="Dublagem Spun",(250),C79="Dublagem Cretone PES",(180),C79="Felpagem",(270/E79),C79="Emborrachamento",(200),C79="Espelhamento",(250),C79="Malha",(1),C79="Dublagem Cretone",(180),C79="Malha",(1),C79="Dublagem Spun - MO",250,C79="Dublagem Cretone - MO",180,C79="Dublagem Cretone PES - MO",180,C79="Espelhamento - MO",250,C79="Emborrachamento",100,C79="Malha",0,C79="Dublagem Barreira",100,C79="Pel. + Cal.",350,C79="Fel. + Pel. + Cal.",270,C79="Pel. + Spun",250,C79="Espelhamento - L: 1,45m",200,C79="Espelhamento - L: 1,65m",200,C79="Estampagem",100,C79="Fel. + Cal.",270,C79="Dublagem Juta",180,C79="Dublagem Cretone - MO (Juta)",180,C79="Dublagem Tapete",150,C79="Esp. + Pel.",200,C79="Espelhamento 2x",100)</f>
        <v>#N/A</v>
      </c>
      <c r="S79" s="50" t="e">
        <f t="shared" si="25"/>
        <v>#N/A</v>
      </c>
      <c r="T79" s="18" t="e" cm="1">
        <f t="array" ref="T79">_xlfn.IFS(C79="Calandra",0.4,C79="Felpagem",0.3,C79="Dublagem Spun",0.8,C79="Dublagem Cretone",0.8,C79="Dublagem Cretone PES",0.8,C79="Espelhamento",0.8,C79="Peletização",0.5,C79="Dublagem Spun - MO",0.8,C79="Dublagem Cretone - MO",0.8,C79="Dublagem Cretone PES - MO",0.8,C79="Espelhamento - MO",0.8,C79="Emborrachamento",1,C79="Malha",0,C79="Dublagem Barreira",1,C79="Pel. + Cal.",0.4,C79="Fel. + Pel. + Cal.",0.5,C79="Pel. + Spun",0.8,C79="Espelhamento - L: 1,45m",0.8,C79="Espelhamento - L: 1,65m",0.8,C79="Estampagem",1,C79="Fel. + Cal.",0.4,C79="Dublagem Juta",0.8,C79="Dublagem Cretone - MO (Juta)",0.8,C79="Dublagem Tapete",0.8,C79="Esp. + Pel.",0.8,C79="Espelhamento 2x",0.8)</f>
        <v>#N/A</v>
      </c>
      <c r="U79" s="18">
        <v>1</v>
      </c>
      <c r="V79" s="18">
        <v>1</v>
      </c>
      <c r="W79" s="18"/>
      <c r="X79" s="18">
        <v>39.67</v>
      </c>
      <c r="Y79" s="18">
        <v>38.51</v>
      </c>
      <c r="Z79" s="18">
        <v>116.78</v>
      </c>
      <c r="AA79" s="18"/>
    </row>
    <row r="80" spans="1:27" ht="14.25" customHeight="1" x14ac:dyDescent="0.35">
      <c r="A80" s="18"/>
      <c r="B80" s="64" t="s">
        <v>487</v>
      </c>
      <c r="C80" s="23" t="s">
        <v>144</v>
      </c>
      <c r="D80" s="23"/>
      <c r="E80" s="24">
        <v>1</v>
      </c>
      <c r="F80" s="25">
        <v>0.66</v>
      </c>
      <c r="G80" s="25">
        <v>0.7</v>
      </c>
      <c r="H80" s="26" t="s">
        <v>243</v>
      </c>
      <c r="I80" s="27">
        <f t="shared" si="21"/>
        <v>0.7</v>
      </c>
      <c r="J80" s="28">
        <v>46036</v>
      </c>
      <c r="K80" s="29"/>
      <c r="L80" s="30">
        <f t="shared" si="22"/>
        <v>0.7</v>
      </c>
      <c r="M80" s="30">
        <f>IF(B80="Texion Textil",0,IF(C80="Malha",'Custos insumos'!$B$24,IF(C80="Dublagem Cretone",'Custos insumos'!$D$7,IF(C80="Dublagem Spun",'Custos insumos'!$D$4,IF(C80="Espelhamento",'Custos insumos'!$B$11,IF(C80="Espelhamento 2x",2*'Custos insumos'!$B$11,IF(C80="Esp. + Pel.",'Custos insumos'!$B$11,IF(C80="Pel. + Spun",'Custos insumos'!$D$4,IF(C80="Dublagem Cretone PES",'Custos insumos'!$D$7,IF(C80="Dublagem Barreira",'Custos insumos'!$D$11,IF(C80="Dublagem - MO + Filme",'Custos insumos'!$D$4,IF(C80="Dublagem Cretone HM50",'Custos insumos'!$D$26,IF(C80="Dublagem Cretone HM70",'Custos insumos'!$F$10,)))))))))))))</f>
        <v>0</v>
      </c>
      <c r="N80" s="30">
        <f>IF(B80="Texion Textil",0,IF(B80="Três Elos",0,IF(C80="Malha",0,IF(C80="Dublagem Cretone",'Custos insumos'!$D$23,IF(C80="Dublagem Spun",'Custos insumos'!$D$16,IF(C80="Espelhamento",0,IF(C80="Espelhamento 2x",0,IF(C80="Esp. + Pel.",0,IF(C80="Pel. + Spun",'Custos insumos'!$D$16,IF(C80="Dublagem Cretone PES",'Custos insumos'!$F$25,IF(C80="Dublagem Barreira",'Custos insumos'!$D$22,)))))))))))</f>
        <v>0</v>
      </c>
      <c r="O80" s="18"/>
      <c r="P80" s="53">
        <f t="shared" si="23"/>
        <v>0.40575161180861891</v>
      </c>
      <c r="Q80" s="50">
        <f t="shared" si="24"/>
        <v>294.7</v>
      </c>
      <c r="R80" s="50" cm="1">
        <f t="array" ref="R80">_xlfn.IFS(C80="Calandra",(350),C80="Peletização",(421),C80="Dublagem Spun",(250),C80="Dublagem Cretone PES",(180),C80="Felpagem",(270/E80),C80="Emborrachamento",(200),C80="Espelhamento",(250),C80="Malha",(1),C80="Dublagem Cretone",(180),C80="Malha",(1),C80="Dublagem Spun - MO",250,C80="Dublagem Cretone - MO",180,C80="Dublagem Cretone PES - MO",180,C80="Espelhamento - MO",250,C80="Emborrachamento",100,C80="Malha",0,C80="Dublagem Barreira",100,C80="Pel. + Cal.",350,C80="Fel. + Pel. + Cal.",270,C80="Pel. + Spun",250,C80="Espelhamento - L: 1,45m",200,C80="Espelhamento - L: 1,65m",200,C80="Estampagem",100,C80="Fel. + Cal.",270,C80="Dublagem Juta",180,C80="Dublagem Cretone - MO (Juta)",180,C80="Dublagem Tapete",150,C80="Esp. + Pel.",200,C80="Espelhamento 2x",100)</f>
        <v>421</v>
      </c>
      <c r="S80" s="50">
        <f t="shared" si="25"/>
        <v>175.125</v>
      </c>
      <c r="T80" s="18" cm="1">
        <f t="array" ref="T80">_xlfn.IFS(C80="Calandra",0.4,C80="Felpagem",0.3,C80="Dublagem Spun",0.8,C80="Dublagem Cretone",0.8,C80="Dublagem Cretone PES",0.8,C80="Espelhamento",0.8,C80="Peletização",0.5,C80="Dublagem Spun - MO",0.8,C80="Dublagem Cretone - MO",0.8,C80="Dublagem Cretone PES - MO",0.8,C80="Espelhamento - MO",0.8,C80="Emborrachamento",1,C80="Malha",0,C80="Dublagem Barreira",1,C80="Pel. + Cal.",0.4,C80="Fel. + Pel. + Cal.",0.5,C80="Pel. + Spun",0.8,C80="Espelhamento - L: 1,45m",0.8,C80="Espelhamento - L: 1,65m",0.8,C80="Estampagem",1,C80="Fel. + Cal.",0.4,C80="Dublagem Juta",0.8,C80="Dublagem Cretone - MO (Juta)",0.8,C80="Dublagem Tapete",0.8,C80="Esp. + Pel.",0.8,C80="Espelhamento 2x",0.8)</f>
        <v>0.5</v>
      </c>
      <c r="U80" s="18">
        <v>1</v>
      </c>
      <c r="V80" s="18">
        <v>1</v>
      </c>
      <c r="W80" s="18"/>
      <c r="X80" s="18">
        <v>39.67</v>
      </c>
      <c r="Y80" s="18">
        <v>38.51</v>
      </c>
      <c r="Z80" s="18">
        <v>116.78</v>
      </c>
      <c r="AA80" s="18"/>
    </row>
    <row r="81" spans="1:27" ht="14.25" customHeight="1" x14ac:dyDescent="0.35">
      <c r="A81" s="18"/>
      <c r="B81" s="64" t="s">
        <v>472</v>
      </c>
      <c r="C81" s="23" t="s">
        <v>292</v>
      </c>
      <c r="D81" s="23"/>
      <c r="E81" s="24">
        <v>1</v>
      </c>
      <c r="F81" s="25">
        <v>1.2</v>
      </c>
      <c r="G81" s="25">
        <v>1.4</v>
      </c>
      <c r="H81" s="26" t="s">
        <v>243</v>
      </c>
      <c r="I81" s="27">
        <f t="shared" si="21"/>
        <v>1.4</v>
      </c>
      <c r="J81" s="28">
        <v>46036</v>
      </c>
      <c r="K81" s="29"/>
      <c r="L81" s="30">
        <f t="shared" si="22"/>
        <v>1.4</v>
      </c>
      <c r="M81" s="30">
        <f>IF(B81="Texion Textil",0,IF(C81="Malha",'Custos insumos'!$B$24,IF(C81="Dublagem Cretone",'Custos insumos'!$D$7,IF(C81="Dublagem Spun",'Custos insumos'!$D$4,IF(C81="Espelhamento",'Custos insumos'!$B$11,IF(C81="Espelhamento 2x",2*'Custos insumos'!$B$11,IF(C81="Esp. + Pel.",'Custos insumos'!$B$11,IF(C81="Pel. + Spun",'Custos insumos'!$D$4,IF(C81="Dublagem Cretone PES",'Custos insumos'!$D$7,IF(C81="Dublagem Barreira",'Custos insumos'!$D$11,IF(C81="Dublagem - MO + Filme",'Custos insumos'!$D$4,IF(C81="Dublagem Cretone HM50",'Custos insumos'!$D$26,IF(C81="Dublagem Cretone HM70",'Custos insumos'!$F$10,)))))))))))))</f>
        <v>0</v>
      </c>
      <c r="N81" s="30">
        <f>IF(B81="Texion Textil",0,IF(B81="Três Elos",0,IF(C81="Malha",0,IF(C81="Dublagem Cretone",'Custos insumos'!$D$23,IF(C81="Dublagem Spun",'Custos insumos'!$D$16,IF(C81="Espelhamento",0,IF(C81="Espelhamento 2x",0,IF(C81="Esp. + Pel.",0,IF(C81="Pel. + Spun",'Custos insumos'!$D$16,IF(C81="Dublagem Cretone PES",'Custos insumos'!$F$25,IF(C81="Dublagem Barreira",'Custos insumos'!$D$22,)))))))))))</f>
        <v>0</v>
      </c>
      <c r="O81" s="18"/>
      <c r="P81" s="53">
        <f t="shared" si="23"/>
        <v>0.65069795918367335</v>
      </c>
      <c r="Q81" s="50">
        <f t="shared" si="24"/>
        <v>489.99999999999994</v>
      </c>
      <c r="R81" s="50" cm="1">
        <f t="array" ref="R81">_xlfn.IFS(C81="Calandra",(350),C81="Peletização",(421),C81="Dublagem Spun",(250),C81="Dublagem Cretone PES",(180),C81="Felpagem",(270/E81),C81="Emborrachamento",(200),C81="Espelhamento",(250),C81="Malha",(1),C81="Dublagem Cretone",(180),C81="Malha",(1),C81="Dublagem Spun - MO",250,C81="Dublagem Cretone - MO",180,C81="Dublagem Cretone PES - MO",180,C81="Espelhamento - MO",250,C81="Emborrachamento",100,C81="Malha",0,C81="Dublagem Barreira",100,C81="Pel. + Cal.",350,C81="Fel. + Pel. + Cal.",270,C81="Pel. + Spun",250,C81="Espelhamento - L: 1,45m",200,C81="Espelhamento - L: 1,65m",200,C81="Estampagem",100,C81="Fel. + Cal.",270,C81="Dublagem Juta",180,C81="Dublagem Cretone - MO (Juta)",180,C81="Dublagem Tapete",150,C81="Esp. + Pel.",200,C81="Espelhamento 2x",100)</f>
        <v>350</v>
      </c>
      <c r="S81" s="50">
        <f t="shared" si="25"/>
        <v>171.15800000000002</v>
      </c>
      <c r="T81" s="18" cm="1">
        <f t="array" ref="T81">_xlfn.IFS(C81="Calandra",0.4,C81="Felpagem",0.3,C81="Dublagem Spun",0.8,C81="Dublagem Cretone",0.8,C81="Dublagem Cretone PES",0.8,C81="Espelhamento",0.8,C81="Peletização",0.5,C81="Dublagem Spun - MO",0.8,C81="Dublagem Cretone - MO",0.8,C81="Dublagem Cretone PES - MO",0.8,C81="Espelhamento - MO",0.8,C81="Emborrachamento",1,C81="Malha",0,C81="Dublagem Barreira",1,C81="Pel. + Cal.",0.4,C81="Fel. + Pel. + Cal.",0.5,C81="Pel. + Spun",0.8,C81="Espelhamento - L: 1,45m",0.8,C81="Espelhamento - L: 1,65m",0.8,C81="Estampagem",1,C81="Fel. + Cal.",0.4,C81="Dublagem Juta",0.8,C81="Dublagem Cretone - MO (Juta)",0.8,C81="Dublagem Tapete",0.8,C81="Esp. + Pel.",0.8,C81="Espelhamento 2x",0.8)</f>
        <v>0.4</v>
      </c>
      <c r="U81" s="18">
        <v>1</v>
      </c>
      <c r="V81" s="18">
        <v>1</v>
      </c>
      <c r="W81" s="18"/>
      <c r="X81" s="18">
        <v>39.67</v>
      </c>
      <c r="Y81" s="18">
        <v>38.51</v>
      </c>
      <c r="Z81" s="18">
        <v>116.78</v>
      </c>
      <c r="AA81" s="18"/>
    </row>
    <row r="82" spans="1:27" ht="14.25" customHeight="1" x14ac:dyDescent="0.35">
      <c r="A82" s="18"/>
      <c r="B82" s="22" t="s">
        <v>146</v>
      </c>
      <c r="C82" s="23" t="s">
        <v>144</v>
      </c>
      <c r="D82" s="23"/>
      <c r="E82" s="24">
        <v>1</v>
      </c>
      <c r="F82" s="25">
        <v>1.34</v>
      </c>
      <c r="G82" s="25">
        <v>1.34</v>
      </c>
      <c r="H82" s="26" t="s">
        <v>243</v>
      </c>
      <c r="I82" s="27">
        <f t="shared" si="21"/>
        <v>1.34</v>
      </c>
      <c r="J82" s="28">
        <v>46036</v>
      </c>
      <c r="K82" s="29"/>
      <c r="L82" s="30">
        <f t="shared" si="22"/>
        <v>1.34</v>
      </c>
      <c r="M82" s="30">
        <f>IF(B82="Texion Textil",0,IF(C82="Malha",'Custos insumos'!$B$24,IF(C82="Dublagem Cretone",'Custos insumos'!$D$7,IF(C82="Dublagem Spun",'Custos insumos'!$D$4,IF(C82="Espelhamento",'Custos insumos'!$B$11,IF(C82="Espelhamento 2x",2*'Custos insumos'!$B$11,IF(C82="Esp. + Pel.",'Custos insumos'!$B$11,IF(C82="Pel. + Spun",'Custos insumos'!$D$4,IF(C82="Dublagem Cretone PES",'Custos insumos'!$D$7,IF(C82="Dublagem Barreira",'Custos insumos'!$D$11,IF(C82="Dublagem - MO + Filme",'Custos insumos'!$D$4,IF(C82="Dublagem Cretone HM50",'Custos insumos'!$D$26,IF(C82="Dublagem Cretone HM70",'Custos insumos'!$F$10,)))))))))))))</f>
        <v>0</v>
      </c>
      <c r="N82" s="30">
        <f>IF(B82="Texion Textil",0,IF(B82="Três Elos",0,IF(C82="Malha",0,IF(C82="Dublagem Cretone",'Custos insumos'!$D$23,IF(C82="Dublagem Spun",'Custos insumos'!$D$16,IF(C82="Espelhamento",0,IF(C82="Espelhamento 2x",0,IF(C82="Esp. + Pel.",0,IF(C82="Pel. + Spun",'Custos insumos'!$D$16,IF(C82="Dublagem Cretone PES",'Custos insumos'!$F$25,IF(C82="Dublagem Barreira",'Custos insumos'!$D$22,)))))))))))</f>
        <v>0</v>
      </c>
      <c r="O82" s="18"/>
      <c r="P82" s="53">
        <f t="shared" si="23"/>
        <v>0.6895717375119651</v>
      </c>
      <c r="Q82" s="50">
        <f t="shared" si="24"/>
        <v>564.14</v>
      </c>
      <c r="R82" s="50" cm="1">
        <f t="array" ref="R82">_xlfn.IFS(C82="Calandra",(350),C82="Peletização",(421),C82="Dublagem Spun",(250),C82="Dublagem Cretone PES",(180),C82="Felpagem",(270/E82),C82="Emborrachamento",(200),C82="Espelhamento",(250),C82="Malha",(1),C82="Dublagem Cretone",(180),C82="Malha",(1),C82="Dublagem Spun - MO",250,C82="Dublagem Cretone - MO",180,C82="Dublagem Cretone PES - MO",180,C82="Espelhamento - MO",250,C82="Emborrachamento",100,C82="Malha",0,C82="Dublagem Barreira",100,C82="Pel. + Cal.",350,C82="Fel. + Pel. + Cal.",270,C82="Pel. + Spun",250,C82="Espelhamento - L: 1,45m",200,C82="Espelhamento - L: 1,65m",200,C82="Estampagem",100,C82="Fel. + Cal.",270,C82="Dublagem Juta",180,C82="Dublagem Cretone - MO (Juta)",180,C82="Dublagem Tapete",150,C82="Esp. + Pel.",200,C82="Espelhamento 2x",100)</f>
        <v>421</v>
      </c>
      <c r="S82" s="50">
        <f t="shared" si="25"/>
        <v>175.125</v>
      </c>
      <c r="T82" s="18" cm="1">
        <f t="array" ref="T82">_xlfn.IFS(C82="Calandra",0.4,C82="Felpagem",0.3,C82="Dublagem Spun",0.8,C82="Dublagem Cretone",0.8,C82="Dublagem Cretone PES",0.8,C82="Espelhamento",0.8,C82="Peletização",0.5,C82="Dublagem Spun - MO",0.8,C82="Dublagem Cretone - MO",0.8,C82="Dublagem Cretone PES - MO",0.8,C82="Espelhamento - MO",0.8,C82="Emborrachamento",1,C82="Malha",0,C82="Dublagem Barreira",1,C82="Pel. + Cal.",0.4,C82="Fel. + Pel. + Cal.",0.5,C82="Pel. + Spun",0.8,C82="Espelhamento - L: 1,45m",0.8,C82="Espelhamento - L: 1,65m",0.8,C82="Estampagem",1,C82="Fel. + Cal.",0.4,C82="Dublagem Juta",0.8,C82="Dublagem Cretone - MO (Juta)",0.8,C82="Dublagem Tapete",0.8,C82="Esp. + Pel.",0.8,C82="Espelhamento 2x",0.8)</f>
        <v>0.5</v>
      </c>
      <c r="U82" s="18">
        <v>1</v>
      </c>
      <c r="V82" s="18">
        <v>1</v>
      </c>
      <c r="W82" s="18"/>
      <c r="X82" s="18">
        <v>39.67</v>
      </c>
      <c r="Y82" s="18">
        <v>38.51</v>
      </c>
      <c r="Z82" s="18">
        <v>116.78</v>
      </c>
      <c r="AA82" s="18"/>
    </row>
    <row r="83" spans="1:27" ht="14.25" customHeight="1" x14ac:dyDescent="0.35">
      <c r="A83" s="18"/>
      <c r="B83" s="22" t="s">
        <v>293</v>
      </c>
      <c r="C83" s="23" t="s">
        <v>144</v>
      </c>
      <c r="D83" s="23"/>
      <c r="E83" s="24">
        <v>1</v>
      </c>
      <c r="F83" s="25">
        <v>0.6</v>
      </c>
      <c r="G83" s="25">
        <v>0.7</v>
      </c>
      <c r="H83" s="26" t="s">
        <v>243</v>
      </c>
      <c r="I83" s="27">
        <f t="shared" si="21"/>
        <v>0.7</v>
      </c>
      <c r="J83" s="28">
        <v>46036</v>
      </c>
      <c r="K83" s="29"/>
      <c r="L83" s="30">
        <f t="shared" si="22"/>
        <v>0.7</v>
      </c>
      <c r="M83" s="30">
        <f>IF(B83="Texion Textil",0,IF(C83="Malha",'Custos insumos'!$B$24,IF(C83="Dublagem Cretone",'Custos insumos'!$D$7,IF(C83="Dublagem Spun",'Custos insumos'!$D$4,IF(C83="Espelhamento",'Custos insumos'!$B$11,IF(C83="Espelhamento 2x",2*'Custos insumos'!$B$11,IF(C83="Esp. + Pel.",'Custos insumos'!$B$11,IF(C83="Pel. + Spun",'Custos insumos'!$D$4,IF(C83="Dublagem Cretone PES",'Custos insumos'!$D$7,IF(C83="Dublagem Barreira",'Custos insumos'!$D$11,IF(C83="Dublagem - MO + Filme",'Custos insumos'!$D$4,IF(C83="Dublagem Cretone HM50",'Custos insumos'!$D$26,IF(C83="Dublagem Cretone HM70",'Custos insumos'!$F$10,)))))))))))))</f>
        <v>0</v>
      </c>
      <c r="N83" s="30">
        <f>IF(B83="Texion Textil",0,IF(B83="Três Elos",0,IF(C83="Malha",0,IF(C83="Dublagem Cretone",'Custos insumos'!$D$23,IF(C83="Dublagem Spun",'Custos insumos'!$D$16,IF(C83="Espelhamento",0,IF(C83="Espelhamento 2x",0,IF(C83="Esp. + Pel.",0,IF(C83="Pel. + Spun",'Custos insumos'!$D$16,IF(C83="Dublagem Cretone PES",'Custos insumos'!$F$25,IF(C83="Dublagem Barreira",'Custos insumos'!$D$22,)))))))))))</f>
        <v>0</v>
      </c>
      <c r="O83" s="18"/>
      <c r="P83" s="53">
        <f t="shared" si="23"/>
        <v>0.40575161180861891</v>
      </c>
      <c r="Q83" s="50">
        <f t="shared" si="24"/>
        <v>294.7</v>
      </c>
      <c r="R83" s="50" cm="1">
        <f t="array" ref="R83">_xlfn.IFS(C83="Calandra",(350),C83="Peletização",(421),C83="Dublagem Spun",(250),C83="Dublagem Cretone PES",(180),C83="Felpagem",(270/E83),C83="Emborrachamento",(200),C83="Espelhamento",(250),C83="Malha",(1),C83="Dublagem Cretone",(180),C83="Malha",(1),C83="Dublagem Spun - MO",250,C83="Dublagem Cretone - MO",180,C83="Dublagem Cretone PES - MO",180,C83="Espelhamento - MO",250,C83="Emborrachamento",100,C83="Malha",0,C83="Dublagem Barreira",100,C83="Pel. + Cal.",350,C83="Fel. + Pel. + Cal.",270,C83="Pel. + Spun",250,C83="Espelhamento - L: 1,45m",200,C83="Espelhamento - L: 1,65m",200,C83="Estampagem",100,C83="Fel. + Cal.",270,C83="Dublagem Juta",180,C83="Dublagem Cretone - MO (Juta)",180,C83="Dublagem Tapete",150,C83="Esp. + Pel.",200,C83="Espelhamento 2x",100)</f>
        <v>421</v>
      </c>
      <c r="S83" s="50">
        <f t="shared" si="25"/>
        <v>175.125</v>
      </c>
      <c r="T83" s="18" cm="1">
        <f t="array" ref="T83">_xlfn.IFS(C83="Calandra",0.4,C83="Felpagem",0.3,C83="Dublagem Spun",0.8,C83="Dublagem Cretone",0.8,C83="Dublagem Cretone PES",0.8,C83="Espelhamento",0.8,C83="Peletização",0.5,C83="Dublagem Spun - MO",0.8,C83="Dublagem Cretone - MO",0.8,C83="Dublagem Cretone PES - MO",0.8,C83="Espelhamento - MO",0.8,C83="Emborrachamento",1,C83="Malha",0,C83="Dublagem Barreira",1,C83="Pel. + Cal.",0.4,C83="Fel. + Pel. + Cal.",0.5,C83="Pel. + Spun",0.8,C83="Espelhamento - L: 1,45m",0.8,C83="Espelhamento - L: 1,65m",0.8,C83="Estampagem",1,C83="Fel. + Cal.",0.4,C83="Dublagem Juta",0.8,C83="Dublagem Cretone - MO (Juta)",0.8,C83="Dublagem Tapete",0.8,C83="Esp. + Pel.",0.8,C83="Espelhamento 2x",0.8)</f>
        <v>0.5</v>
      </c>
      <c r="U83" s="18">
        <v>1</v>
      </c>
      <c r="V83" s="18">
        <v>1</v>
      </c>
      <c r="W83" s="18"/>
      <c r="X83" s="18">
        <v>39.67</v>
      </c>
      <c r="Y83" s="18">
        <v>38.51</v>
      </c>
      <c r="Z83" s="18">
        <v>116.78</v>
      </c>
      <c r="AA83" s="18"/>
    </row>
    <row r="84" spans="1:27" ht="14.25" customHeight="1" x14ac:dyDescent="0.35">
      <c r="A84" s="18"/>
      <c r="B84" s="22" t="s">
        <v>293</v>
      </c>
      <c r="C84" s="23" t="s">
        <v>254</v>
      </c>
      <c r="D84" s="23"/>
      <c r="E84" s="24">
        <v>1</v>
      </c>
      <c r="F84" s="25">
        <v>0.6</v>
      </c>
      <c r="G84" s="25">
        <v>0.7</v>
      </c>
      <c r="H84" s="26" t="s">
        <v>243</v>
      </c>
      <c r="I84" s="27">
        <f t="shared" si="21"/>
        <v>0.7</v>
      </c>
      <c r="J84" s="28">
        <v>46036</v>
      </c>
      <c r="K84" s="29"/>
      <c r="L84" s="30">
        <f t="shared" si="22"/>
        <v>0.7</v>
      </c>
      <c r="M84" s="30">
        <f>IF(B84="Texion Textil",0,IF(C84="Malha",'Custos insumos'!$B$24,IF(C84="Dublagem Cretone",'Custos insumos'!$D$7,IF(C84="Dublagem Spun",'Custos insumos'!$D$4,IF(C84="Espelhamento",'Custos insumos'!$B$11,IF(C84="Espelhamento 2x",2*'Custos insumos'!$B$11,IF(C84="Esp. + Pel.",'Custos insumos'!$B$11,IF(C84="Pel. + Spun",'Custos insumos'!$D$4,IF(C84="Dublagem Cretone PES",'Custos insumos'!$D$7,IF(C84="Dublagem Barreira",'Custos insumos'!$D$11,IF(C84="Dublagem - MO + Filme",'Custos insumos'!$D$4,IF(C84="Dublagem Cretone HM50",'Custos insumos'!$D$26,IF(C84="Dublagem Cretone HM70",'Custos insumos'!$F$10,)))))))))))))</f>
        <v>0</v>
      </c>
      <c r="N84" s="30">
        <f>IF(B84="Texion Textil",0,IF(B84="Três Elos",0,IF(C84="Malha",0,IF(C84="Dublagem Cretone",'Custos insumos'!$D$23,IF(C84="Dublagem Spun",'Custos insumos'!$D$16,IF(C84="Espelhamento",0,IF(C84="Espelhamento 2x",0,IF(C84="Esp. + Pel.",0,IF(C84="Pel. + Spun",'Custos insumos'!$D$16,IF(C84="Dublagem Cretone PES",'Custos insumos'!$F$25,IF(C84="Dublagem Barreira",'Custos insumos'!$D$22,)))))))))))</f>
        <v>0</v>
      </c>
      <c r="O84" s="18"/>
      <c r="P84" s="53">
        <f t="shared" si="23"/>
        <v>0.11539153439153438</v>
      </c>
      <c r="Q84" s="50">
        <f t="shared" si="24"/>
        <v>189</v>
      </c>
      <c r="R84" s="50" cm="1">
        <f t="array" ref="R84">_xlfn.IFS(C84="Calandra",(350),C84="Peletização",(421),C84="Dublagem Spun",(250),C84="Dublagem Cretone PES",(180),C84="Felpagem",(270/E84),C84="Emborrachamento",(200),C84="Espelhamento",(250),C84="Malha",(1),C84="Dublagem Cretone",(180),C84="Malha",(1),C84="Dublagem Spun - MO",250,C84="Dublagem Cretone - MO",180,C84="Dublagem Cretone PES - MO",180,C84="Espelhamento - MO",250,C84="Emborrachamento",100,C84="Malha",0,C84="Dublagem Barreira",100,C84="Pel. + Cal.",350,C84="Fel. + Pel. + Cal.",270,C84="Pel. + Spun",250,C84="Espelhamento - L: 1,45m",200,C84="Espelhamento - L: 1,65m",200,C84="Estampagem",100,C84="Fel. + Cal.",270,C84="Dublagem Juta",180,C84="Dublagem Cretone - MO (Juta)",180,C84="Dublagem Tapete",150,C84="Esp. + Pel.",200,C84="Espelhamento 2x",100)</f>
        <v>270</v>
      </c>
      <c r="S84" s="50">
        <f t="shared" si="25"/>
        <v>167.191</v>
      </c>
      <c r="T84" s="18" cm="1">
        <f t="array" ref="T84">_xlfn.IFS(C84="Calandra",0.4,C84="Felpagem",0.3,C84="Dublagem Spun",0.8,C84="Dublagem Cretone",0.8,C84="Dublagem Cretone PES",0.8,C84="Espelhamento",0.8,C84="Peletização",0.5,C84="Dublagem Spun - MO",0.8,C84="Dublagem Cretone - MO",0.8,C84="Dublagem Cretone PES - MO",0.8,C84="Espelhamento - MO",0.8,C84="Emborrachamento",1,C84="Malha",0,C84="Dublagem Barreira",1,C84="Pel. + Cal.",0.4,C84="Fel. + Pel. + Cal.",0.5,C84="Pel. + Spun",0.8,C84="Espelhamento - L: 1,45m",0.8,C84="Espelhamento - L: 1,65m",0.8,C84="Estampagem",1,C84="Fel. + Cal.",0.4,C84="Dublagem Juta",0.8,C84="Dublagem Cretone - MO (Juta)",0.8,C84="Dublagem Tapete",0.8,C84="Esp. + Pel.",0.8,C84="Espelhamento 2x",0.8)</f>
        <v>0.3</v>
      </c>
      <c r="U84" s="18">
        <v>1</v>
      </c>
      <c r="V84" s="18">
        <v>1</v>
      </c>
      <c r="W84" s="18"/>
      <c r="X84" s="18">
        <v>39.67</v>
      </c>
      <c r="Y84" s="18">
        <v>38.51</v>
      </c>
      <c r="Z84" s="18">
        <v>116.78</v>
      </c>
      <c r="AA84" s="18"/>
    </row>
    <row r="85" spans="1:27" ht="14.25" customHeight="1" x14ac:dyDescent="0.35">
      <c r="A85" s="18"/>
      <c r="B85" s="22" t="s">
        <v>294</v>
      </c>
      <c r="C85" s="23" t="s">
        <v>254</v>
      </c>
      <c r="D85" s="23"/>
      <c r="E85" s="24">
        <v>1</v>
      </c>
      <c r="F85" s="25">
        <v>1.1000000000000001</v>
      </c>
      <c r="G85" s="25">
        <v>1.1000000000000001</v>
      </c>
      <c r="H85" s="26" t="s">
        <v>243</v>
      </c>
      <c r="I85" s="27">
        <f t="shared" si="21"/>
        <v>1.1000000000000001</v>
      </c>
      <c r="J85" s="28">
        <v>46036</v>
      </c>
      <c r="K85" s="29"/>
      <c r="L85" s="30">
        <f t="shared" si="22"/>
        <v>1.1000000000000001</v>
      </c>
      <c r="M85" s="30">
        <f>IF(B85="Texion Textil",0,IF(C85="Malha",'Custos insumos'!$B$24,IF(C85="Dublagem Cretone",'Custos insumos'!$D$7,IF(C85="Dublagem Spun",'Custos insumos'!$D$4,IF(C85="Espelhamento",'Custos insumos'!$B$11,IF(C85="Espelhamento 2x",2*'Custos insumos'!$B$11,IF(C85="Esp. + Pel.",'Custos insumos'!$B$11,IF(C85="Pel. + Spun",'Custos insumos'!$D$4,IF(C85="Dublagem Cretone PES",'Custos insumos'!$D$7,IF(C85="Dublagem Barreira",'Custos insumos'!$D$11,IF(C85="Dublagem - MO + Filme",'Custos insumos'!$D$4,IF(C85="Dublagem Cretone HM50",'Custos insumos'!$D$26,IF(C85="Dublagem Cretone HM70",'Custos insumos'!$F$10,)))))))))))))</f>
        <v>0</v>
      </c>
      <c r="N85" s="30">
        <f>IF(B85="Texion Textil",0,IF(B85="Três Elos",0,IF(C85="Malha",0,IF(C85="Dublagem Cretone",'Custos insumos'!$D$23,IF(C85="Dublagem Spun",'Custos insumos'!$D$16,IF(C85="Espelhamento",0,IF(C85="Espelhamento 2x",0,IF(C85="Esp. + Pel.",0,IF(C85="Pel. + Spun",'Custos insumos'!$D$16,IF(C85="Dublagem Cretone PES",'Custos insumos'!$F$25,IF(C85="Dublagem Barreira",'Custos insumos'!$D$22,)))))))))))</f>
        <v>0</v>
      </c>
      <c r="O85" s="18"/>
      <c r="P85" s="53">
        <f t="shared" si="23"/>
        <v>0.43706734006734005</v>
      </c>
      <c r="Q85" s="50">
        <f t="shared" si="24"/>
        <v>297</v>
      </c>
      <c r="R85" s="50" cm="1">
        <f t="array" ref="R85">_xlfn.IFS(C85="Calandra",(350),C85="Peletização",(421),C85="Dublagem Spun",(250),C85="Dublagem Cretone PES",(180),C85="Felpagem",(270/E85),C85="Emborrachamento",(200),C85="Espelhamento",(250),C85="Malha",(1),C85="Dublagem Cretone",(180),C85="Malha",(1),C85="Dublagem Spun - MO",250,C85="Dublagem Cretone - MO",180,C85="Dublagem Cretone PES - MO",180,C85="Espelhamento - MO",250,C85="Emborrachamento",100,C85="Malha",0,C85="Dublagem Barreira",100,C85="Pel. + Cal.",350,C85="Fel. + Pel. + Cal.",270,C85="Pel. + Spun",250,C85="Espelhamento - L: 1,45m",200,C85="Espelhamento - L: 1,65m",200,C85="Estampagem",100,C85="Fel. + Cal.",270,C85="Dublagem Juta",180,C85="Dublagem Cretone - MO (Juta)",180,C85="Dublagem Tapete",150,C85="Esp. + Pel.",200,C85="Espelhamento 2x",100)</f>
        <v>270</v>
      </c>
      <c r="S85" s="50">
        <f t="shared" si="25"/>
        <v>167.191</v>
      </c>
      <c r="T85" s="18" cm="1">
        <f t="array" ref="T85">_xlfn.IFS(C85="Calandra",0.4,C85="Felpagem",0.3,C85="Dublagem Spun",0.8,C85="Dublagem Cretone",0.8,C85="Dublagem Cretone PES",0.8,C85="Espelhamento",0.8,C85="Peletização",0.5,C85="Dublagem Spun - MO",0.8,C85="Dublagem Cretone - MO",0.8,C85="Dublagem Cretone PES - MO",0.8,C85="Espelhamento - MO",0.8,C85="Emborrachamento",1,C85="Malha",0,C85="Dublagem Barreira",1,C85="Pel. + Cal.",0.4,C85="Fel. + Pel. + Cal.",0.5,C85="Pel. + Spun",0.8,C85="Espelhamento - L: 1,45m",0.8,C85="Espelhamento - L: 1,65m",0.8,C85="Estampagem",1,C85="Fel. + Cal.",0.4,C85="Dublagem Juta",0.8,C85="Dublagem Cretone - MO (Juta)",0.8,C85="Dublagem Tapete",0.8,C85="Esp. + Pel.",0.8,C85="Espelhamento 2x",0.8)</f>
        <v>0.3</v>
      </c>
      <c r="U85" s="18">
        <v>1</v>
      </c>
      <c r="V85" s="18">
        <v>1</v>
      </c>
      <c r="W85" s="18"/>
      <c r="X85" s="18">
        <v>39.67</v>
      </c>
      <c r="Y85" s="18">
        <v>38.51</v>
      </c>
      <c r="Z85" s="18">
        <v>116.78</v>
      </c>
      <c r="AA85" s="18"/>
    </row>
    <row r="86" spans="1:27" ht="14.25" customHeight="1" x14ac:dyDescent="0.35">
      <c r="A86" s="18"/>
      <c r="B86" s="22" t="s">
        <v>490</v>
      </c>
      <c r="C86" s="23" t="s">
        <v>106</v>
      </c>
      <c r="D86" s="23" t="s">
        <v>483</v>
      </c>
      <c r="E86" s="24">
        <v>1</v>
      </c>
      <c r="F86" s="25">
        <v>2.35</v>
      </c>
      <c r="G86" s="25">
        <v>2.35</v>
      </c>
      <c r="H86" s="26" t="s">
        <v>243</v>
      </c>
      <c r="I86" s="27">
        <f t="shared" si="21"/>
        <v>2.35</v>
      </c>
      <c r="J86" s="28">
        <v>46036</v>
      </c>
      <c r="K86" s="29" t="s">
        <v>295</v>
      </c>
      <c r="L86" s="30">
        <f t="shared" si="22"/>
        <v>1.2914997101449275</v>
      </c>
      <c r="M86" s="30">
        <f>IF(B86="Texion Textil",0,IF(C86="Malha",'Custos insumos'!$B$24,IF(C86="Dublagem Cretone",'Custos insumos'!$D$7,IF(C86="Dublagem Spun",'Custos insumos'!$D$4,IF(C86="Espelhamento",'Custos insumos'!$B$11,IF(C86="Espelhamento 2x",2*'Custos insumos'!$B$11,IF(C86="Esp. + Pel.",'Custos insumos'!$B$11,IF(C86="Pel. + Spun",'Custos insumos'!$D$4,IF(C86="Dublagem Cretone PES",'Custos insumos'!$D$7,IF(C86="Dublagem Barreira",'Custos insumos'!$D$11,IF(C86="Dublagem - MO + Filme",'Custos insumos'!$D$4,IF(C86="Dublagem Cretone HM50",'Custos insumos'!$D$26,IF(C86="Dublagem Cretone HM70",'Custos insumos'!$F$10,)))))))))))))</f>
        <v>1.0585002898550726</v>
      </c>
      <c r="N86" s="30">
        <f>IF(B86="Texion Textil",0,IF(B86="Três Elos",0,IF(C86="Malha",0,IF(C86="Dublagem Cretone",'Custos insumos'!$D$23,IF(C86="Dublagem Spun",'Custos insumos'!$D$16,IF(C86="Espelhamento",0,IF(C86="Espelhamento 2x",0,IF(C86="Esp. + Pel.",0,IF(C86="Pel. + Spun",'Custos insumos'!$D$16,IF(C86="Dublagem Cretone PES",'Custos insumos'!$F$25,IF(C86="Dublagem Barreira",'Custos insumos'!$D$22,)))))))))))</f>
        <v>0</v>
      </c>
      <c r="O86" s="18"/>
      <c r="P86" s="53">
        <f t="shared" si="23"/>
        <v>0.23123221708294778</v>
      </c>
      <c r="Q86" s="50">
        <f t="shared" si="24"/>
        <v>587.5</v>
      </c>
      <c r="R86" s="50" cm="1">
        <f t="array" ref="R86">_xlfn.IFS(C86="Calandra",(350),C86="Peletização",(421),C86="Dublagem Spun",(250),C86="Dublagem Cretone PES",(180),C86="Felpagem",(270/E86),C86="Emborrachamento",(200),C86="Espelhamento",(250),C86="Malha",(1),C86="Dublagem Cretone",(180),C86="Malha",(1),C86="Dublagem Spun - MO",250,C86="Dublagem Cretone - MO",180,C86="Dublagem Cretone PES - MO",180,C86="Espelhamento - MO",250,C86="Emborrachamento",100,C86="Malha",0,C86="Dublagem Barreira",100,C86="Pel. + Cal.",350,C86="Fel. + Pel. + Cal.",270,C86="Pel. + Spun",250,C86="Espelhamento - L: 1,45m",200,C86="Espelhamento - L: 1,65m",200,C86="Estampagem",100,C86="Fel. + Cal.",270,C86="Dublagem Juta",180,C86="Dublagem Cretone - MO (Juta)",180,C86="Dublagem Tapete",150,C86="Esp. + Pel.",200,C86="Espelhamento 2x",100)</f>
        <v>250</v>
      </c>
      <c r="S86" s="50">
        <f t="shared" si="25"/>
        <v>451.65107246376817</v>
      </c>
      <c r="T86" s="18" cm="1">
        <f t="array" ref="T86">_xlfn.IFS(C86="Calandra",0.4,C86="Felpagem",0.3,C86="Dublagem Spun",0.8,C86="Dublagem Cretone",0.8,C86="Dublagem Cretone PES",0.8,C86="Espelhamento",0.8,C86="Peletização",0.5,C86="Dublagem Spun - MO",0.8,C86="Dublagem Cretone - MO",0.8,C86="Dublagem Cretone PES - MO",0.8,C86="Espelhamento - MO",0.8,C86="Emborrachamento",1,C86="Malha",0,C86="Dublagem Barreira",1,C86="Pel. + Cal.",0.4,C86="Fel. + Pel. + Cal.",0.5,C86="Pel. + Spun",0.8,C86="Espelhamento - L: 1,45m",0.8,C86="Espelhamento - L: 1,65m",0.8,C86="Estampagem",1,C86="Fel. + Cal.",0.4,C86="Dublagem Juta",0.8,C86="Dublagem Cretone - MO (Juta)",0.8,C86="Dublagem Tapete",0.8,C86="Esp. + Pel.",0.8,C86="Espelhamento 2x",0.8)</f>
        <v>0.8</v>
      </c>
      <c r="U86" s="18">
        <v>1</v>
      </c>
      <c r="V86" s="18">
        <v>1</v>
      </c>
      <c r="W86" s="18"/>
      <c r="X86" s="18">
        <v>39.67</v>
      </c>
      <c r="Y86" s="18">
        <v>38.51</v>
      </c>
      <c r="Z86" s="18">
        <v>116.78</v>
      </c>
      <c r="AA86" s="18"/>
    </row>
    <row r="87" spans="1:27" ht="13.75" customHeight="1" x14ac:dyDescent="0.35">
      <c r="A87" s="18"/>
      <c r="B87" s="22" t="s">
        <v>490</v>
      </c>
      <c r="C87" s="23" t="s">
        <v>491</v>
      </c>
      <c r="D87" s="23" t="s">
        <v>492</v>
      </c>
      <c r="E87" s="24">
        <v>1</v>
      </c>
      <c r="F87" s="25">
        <v>5.0999999999999996</v>
      </c>
      <c r="G87" s="25">
        <v>5.0999999999999996</v>
      </c>
      <c r="H87" s="26" t="s">
        <v>243</v>
      </c>
      <c r="I87" s="27">
        <f t="shared" si="21"/>
        <v>5.0999999999999996</v>
      </c>
      <c r="J87" s="28">
        <v>46036</v>
      </c>
      <c r="K87" s="29" t="s">
        <v>296</v>
      </c>
      <c r="L87" s="30">
        <f t="shared" si="22"/>
        <v>2.1599999999999997</v>
      </c>
      <c r="M87" s="30">
        <f>'Custos insumos'!N7</f>
        <v>1.44</v>
      </c>
      <c r="N87" s="30">
        <f>'Custos insumos'!L25</f>
        <v>1.5</v>
      </c>
      <c r="O87" s="18"/>
      <c r="P87" s="53" t="e">
        <f t="shared" si="23"/>
        <v>#N/A</v>
      </c>
      <c r="Q87" s="50" t="e">
        <f t="shared" si="24"/>
        <v>#N/A</v>
      </c>
      <c r="R87" s="50" t="e" cm="1">
        <f t="array" ref="R87">_xlfn.IFS(C87="Calandra",(350),C87="Peletização",(421),C87="Dublagem Spun",(250),C87="Dublagem Cretone PES",(180),C87="Felpagem",(270/E87),C87="Emborrachamento",(200),C87="Espelhamento",(250),C87="Malha",(1),C87="Dublagem Cretone",(180),C87="Malha",(1),C87="Dublagem Spun - MO",250,C87="Dublagem Cretone - MO",180,C87="Dublagem Cretone PES - MO",180,C87="Espelhamento - MO",250,C87="Emborrachamento",100,C87="Malha",0,C87="Dublagem Barreira",100,C87="Pel. + Cal.",350,C87="Fel. + Pel. + Cal.",270,C87="Pel. + Spun",250,C87="Espelhamento - L: 1,45m",200,C87="Espelhamento - L: 1,65m",200,C87="Estampagem",100,C87="Fel. + Cal.",270,C87="Dublagem Juta",180,C87="Dublagem Cretone - MO (Juta)",180,C87="Dublagem Tapete",150,C87="Esp. + Pel.",200,C87="Espelhamento 2x",100)</f>
        <v>#N/A</v>
      </c>
      <c r="S87" s="50" t="e">
        <f>(T87*X87)+(U87*Y87)+(V87*Z87)+((M87+N87)*(R87))</f>
        <v>#N/A</v>
      </c>
      <c r="T87" s="18" t="e" cm="1">
        <f t="array" ref="T87">_xlfn.IFS(C87="Calandra",0.4,C87="Felpagem",0.3,C87="Dublagem Spun",0.8,C87="Dublagem Cretone",0.8,C87="Dublagem Cretone PES",0.8,C87="Espelhamento",0.8,C87="Peletização",0.5,C87="Dublagem Spun - MO",0.8,C87="Dublagem Cretone - MO",0.8,C87="Dublagem Cretone PES - MO",0.8,C87="Espelhamento - MO",0.8,C87="Emborrachamento",1,C87="Malha",0,C87="Dublagem Barreira",1,C87="Pel. + Cal.",0.4,C87="Fel. + Pel. + Cal.",0.5,C87="Pel. + Spun",0.8,C87="Espelhamento - L: 1,45m",0.8,C87="Espelhamento - L: 1,65m",0.8,C87="Estampagem",1,C87="Fel. + Cal.",0.4,C87="Dublagem Juta",0.8,C87="Dublagem Cretone - MO (Juta)",0.8,C87="Dublagem Tapete",0.8,C87="Esp. + Pel.",0.8,C87="Espelhamento 2x",0.8)</f>
        <v>#N/A</v>
      </c>
      <c r="U87" s="18">
        <v>1</v>
      </c>
      <c r="V87" s="18">
        <v>1</v>
      </c>
      <c r="W87" s="18"/>
      <c r="X87" s="18">
        <v>39.67</v>
      </c>
      <c r="Y87" s="18">
        <v>38.51</v>
      </c>
      <c r="Z87" s="18">
        <v>116.78</v>
      </c>
      <c r="AA87" s="18"/>
    </row>
    <row r="88" spans="1:27" ht="14.25" customHeight="1" x14ac:dyDescent="0.35">
      <c r="A88" s="18"/>
      <c r="B88" s="22" t="s">
        <v>490</v>
      </c>
      <c r="C88" s="65" t="s">
        <v>98</v>
      </c>
      <c r="D88" s="65" t="s">
        <v>482</v>
      </c>
      <c r="E88" s="71">
        <v>1</v>
      </c>
      <c r="F88" s="27">
        <v>4.0999999999999996</v>
      </c>
      <c r="G88" s="27">
        <v>4.0999999999999996</v>
      </c>
      <c r="H88" s="72" t="s">
        <v>243</v>
      </c>
      <c r="I88" s="27">
        <f t="shared" si="21"/>
        <v>4.0999999999999996</v>
      </c>
      <c r="J88" s="73">
        <v>46036</v>
      </c>
      <c r="K88" s="74" t="s">
        <v>295</v>
      </c>
      <c r="L88" s="30">
        <f t="shared" si="22"/>
        <v>2.6612</v>
      </c>
      <c r="M88" s="30">
        <f>'Custos insumos'!L3</f>
        <v>0.73080000000000001</v>
      </c>
      <c r="N88" s="30">
        <f>'Custos insumos'!L18</f>
        <v>0.70799999999999996</v>
      </c>
      <c r="O88" s="18"/>
      <c r="P88" s="53" t="e">
        <f t="shared" si="23"/>
        <v>#N/A</v>
      </c>
      <c r="Q88" s="50" t="e">
        <f t="shared" si="24"/>
        <v>#N/A</v>
      </c>
      <c r="R88" s="50" t="e" cm="1">
        <f t="array" ref="R88">_xlfn.IFS(C88="Calandra",(350),C88="Peletização",(421),C88="Dublagem Spun",(250),C88="Dublagem Cretone PES",(180),C88="Felpagem",(270/E88),C88="Emborrachamento",(200),C88="Espelhamento",(250),C88="Malha",(1),C88="Dublagem Cretone",(180),C88="Malha",(1),C88="Dublagem Spun - MO",250,C88="Dublagem Cretone - MO",180,C88="Dublagem Cretone PES - MO",180,C88="Espelhamento - MO",250,C88="Emborrachamento",100,C88="Malha",0,C88="Dublagem Barreira",100,C88="Pel. + Cal.",350,C88="Fel. + Pel. + Cal.",270,C88="Pel. + Spun",250,C88="Espelhamento - L: 1,45m",200,C88="Espelhamento - L: 1,65m",200,C88="Estampagem",100,C88="Fel. + Cal.",270,C88="Dublagem Juta",180,C88="Dublagem Cretone - MO (Juta)",180,C88="Dublagem Tapete",150,C88="Esp. + Pel.",200,C88="Espelhamento 2x",100)</f>
        <v>#N/A</v>
      </c>
      <c r="S88" s="50" t="e">
        <f t="shared" ref="S88:S123" si="31">(T88*X88)+(U88*Y88)+(V88*Z88)+((M88+N88)*(R88))</f>
        <v>#N/A</v>
      </c>
      <c r="T88" s="18" t="e" cm="1">
        <f t="array" ref="T88">_xlfn.IFS(C88="Calandra",0.4,C88="Felpagem",0.3,C88="Dublagem Spun",0.8,C88="Dublagem Cretone",0.8,C88="Dublagem Cretone PES",0.8,C88="Espelhamento",0.8,C88="Peletização",0.5,C88="Dublagem Spun - MO",0.8,C88="Dublagem Cretone - MO",0.8,C88="Dublagem Cretone PES - MO",0.8,C88="Espelhamento - MO",0.8,C88="Emborrachamento",1,C88="Malha",0,C88="Dublagem Barreira",1,C88="Pel. + Cal.",0.4,C88="Fel. + Pel. + Cal.",0.5,C88="Pel. + Spun",0.8,C88="Espelhamento - L: 1,45m",0.8,C88="Espelhamento - L: 1,65m",0.8,C88="Estampagem",1,C88="Fel. + Cal.",0.4,C88="Dublagem Juta",0.8,C88="Dublagem Cretone - MO (Juta)",0.8,C88="Dublagem Tapete",0.8,C88="Esp. + Pel.",0.8,C88="Espelhamento 2x",0.8)</f>
        <v>#N/A</v>
      </c>
      <c r="U88" s="18">
        <v>1</v>
      </c>
      <c r="V88" s="18">
        <v>1</v>
      </c>
      <c r="W88" s="18"/>
      <c r="X88" s="18">
        <v>39.67</v>
      </c>
      <c r="Y88" s="18">
        <v>38.51</v>
      </c>
      <c r="Z88" s="18">
        <v>116.78</v>
      </c>
      <c r="AA88" s="18"/>
    </row>
    <row r="89" spans="1:27" ht="14.25" customHeight="1" x14ac:dyDescent="0.35">
      <c r="A89" s="18"/>
      <c r="B89" s="22" t="s">
        <v>490</v>
      </c>
      <c r="C89" s="23" t="s">
        <v>142</v>
      </c>
      <c r="D89" s="23"/>
      <c r="E89" s="24">
        <v>1</v>
      </c>
      <c r="F89" s="25">
        <v>0.65</v>
      </c>
      <c r="G89" s="25">
        <v>0.7</v>
      </c>
      <c r="H89" s="26" t="s">
        <v>243</v>
      </c>
      <c r="I89" s="27">
        <f t="shared" si="21"/>
        <v>0.7</v>
      </c>
      <c r="J89" s="28">
        <v>46036</v>
      </c>
      <c r="K89" s="29"/>
      <c r="L89" s="30">
        <f t="shared" si="22"/>
        <v>0.7</v>
      </c>
      <c r="M89" s="30">
        <f>IF(B89="Texion Textil",0,IF(C89="Malha",'Custos insumos'!$B$24,IF(C89="Dublagem Cretone",'Custos insumos'!$D$7,IF(C89="Dublagem Spun",'Custos insumos'!$D$4,IF(C89="Espelhamento",'Custos insumos'!$B$11,IF(C89="Espelhamento 2x",2*'Custos insumos'!$B$11,IF(C89="Esp. + Pel.",'Custos insumos'!$B$11,IF(C89="Pel. + Spun",'Custos insumos'!$D$4,IF(C89="Dublagem Cretone PES",'Custos insumos'!$D$7,IF(C89="Dublagem Barreira",'Custos insumos'!$D$11,IF(C89="Dublagem - MO + Filme",'Custos insumos'!$D$4,IF(C89="Dublagem Cretone HM50",'Custos insumos'!$D$26,IF(C89="Dublagem Cretone HM70",'Custos insumos'!$F$10,)))))))))))))</f>
        <v>0</v>
      </c>
      <c r="N89" s="30">
        <f>IF(B89="Texion Textil",0,IF(B89="Três Elos",0,IF(C89="Malha",0,IF(C89="Dublagem Cretone",'Custos insumos'!$D$23,IF(C89="Dublagem Spun",'Custos insumos'!$D$16,IF(C89="Espelhamento",0,IF(C89="Espelhamento 2x",0,IF(C89="Esp. + Pel.",0,IF(C89="Pel. + Spun",'Custos insumos'!$D$16,IF(C89="Dublagem Cretone PES",'Custos insumos'!$F$25,IF(C89="Dublagem Barreira",'Custos insumos'!$D$22,)))))))))))</f>
        <v>0</v>
      </c>
      <c r="O89" s="18"/>
      <c r="P89" s="53">
        <f t="shared" si="23"/>
        <v>0.3013959183673468</v>
      </c>
      <c r="Q89" s="50">
        <f t="shared" si="24"/>
        <v>244.99999999999997</v>
      </c>
      <c r="R89" s="50" cm="1">
        <f t="array" ref="R89">_xlfn.IFS(C89="Calandra",(350),C89="Peletização",(421),C89="Dublagem Spun",(250),C89="Dublagem Cretone PES",(180),C89="Felpagem",(270/E89),C89="Emborrachamento",(200),C89="Espelhamento",(250),C89="Malha",(1),C89="Dublagem Cretone",(180),C89="Malha",(1),C89="Dublagem Spun - MO",250,C89="Dublagem Cretone - MO",180,C89="Dublagem Cretone PES - MO",180,C89="Espelhamento - MO",250,C89="Emborrachamento",100,C89="Malha",0,C89="Dublagem Barreira",100,C89="Pel. + Cal.",350,C89="Fel. + Pel. + Cal.",270,C89="Pel. + Spun",250,C89="Espelhamento - L: 1,45m",200,C89="Espelhamento - L: 1,65m",200,C89="Estampagem",100,C89="Fel. + Cal.",270,C89="Dublagem Juta",180,C89="Dublagem Cretone - MO (Juta)",180,C89="Dublagem Tapete",150,C89="Esp. + Pel.",200,C89="Espelhamento 2x",100)</f>
        <v>350</v>
      </c>
      <c r="S89" s="50">
        <f t="shared" si="31"/>
        <v>171.15800000000002</v>
      </c>
      <c r="T89" s="18" cm="1">
        <f t="array" ref="T89">_xlfn.IFS(C89="Calandra",0.4,C89="Felpagem",0.3,C89="Dublagem Spun",0.8,C89="Dublagem Cretone",0.8,C89="Dublagem Cretone PES",0.8,C89="Espelhamento",0.8,C89="Peletização",0.5,C89="Dublagem Spun - MO",0.8,C89="Dublagem Cretone - MO",0.8,C89="Dublagem Cretone PES - MO",0.8,C89="Espelhamento - MO",0.8,C89="Emborrachamento",1,C89="Malha",0,C89="Dublagem Barreira",1,C89="Pel. + Cal.",0.4,C89="Fel. + Pel. + Cal.",0.5,C89="Pel. + Spun",0.8,C89="Espelhamento - L: 1,45m",0.8,C89="Espelhamento - L: 1,65m",0.8,C89="Estampagem",1,C89="Fel. + Cal.",0.4,C89="Dublagem Juta",0.8,C89="Dublagem Cretone - MO (Juta)",0.8,C89="Dublagem Tapete",0.8,C89="Esp. + Pel.",0.8,C89="Espelhamento 2x",0.8)</f>
        <v>0.4</v>
      </c>
      <c r="U89" s="18">
        <v>1</v>
      </c>
      <c r="V89" s="18">
        <v>1</v>
      </c>
      <c r="W89" s="18"/>
      <c r="X89" s="18">
        <v>39.67</v>
      </c>
      <c r="Y89" s="18">
        <v>38.51</v>
      </c>
      <c r="Z89" s="18">
        <v>116.78</v>
      </c>
      <c r="AA89" s="18"/>
    </row>
    <row r="90" spans="1:27" ht="14.25" customHeight="1" x14ac:dyDescent="0.35">
      <c r="A90" s="18"/>
      <c r="B90" s="75" t="s">
        <v>363</v>
      </c>
      <c r="C90" s="23" t="s">
        <v>142</v>
      </c>
      <c r="D90" s="23"/>
      <c r="E90" s="24">
        <v>1</v>
      </c>
      <c r="F90" s="25">
        <v>0.9</v>
      </c>
      <c r="G90" s="25">
        <v>0.9</v>
      </c>
      <c r="H90" s="26" t="s">
        <v>243</v>
      </c>
      <c r="I90" s="27">
        <v>0.65</v>
      </c>
      <c r="J90" s="28">
        <v>46036</v>
      </c>
      <c r="K90" s="29"/>
      <c r="L90" s="30"/>
      <c r="M90" s="30"/>
      <c r="N90" s="30"/>
      <c r="O90" s="18"/>
      <c r="P90" s="53">
        <f t="shared" si="23"/>
        <v>1</v>
      </c>
      <c r="Q90" s="50">
        <f t="shared" si="24"/>
        <v>315</v>
      </c>
      <c r="R90" s="50" cm="1">
        <f t="array" ref="R90">_xlfn.IFS(C90="Calandra",(350),C90="Peletização",(421),C90="Dublagem Spun",(250),C90="Dublagem Cretone PES",(180),C90="Felpagem",(270/E90),C90="Emborrachamento",(200),C90="Espelhamento",(250),C90="Malha",(1),C90="Dublagem Cretone",(180),C90="Malha",(1),C90="Dublagem Spun - MO",250,C90="Dublagem Cretone - MO",180,C90="Dublagem Cretone PES - MO",180,C90="Espelhamento - MO",250,C90="Emborrachamento",100,C90="Malha",0,C90="Dublagem Barreira",100,C90="Pel. + Cal.",350,C90="Fel. + Pel. + Cal.",270,C90="Pel. + Spun",250,C90="Espelhamento - L: 1,45m",200,C90="Espelhamento - L: 1,65m",200,C90="Estampagem",100,C90="Fel. + Cal.",270,C90="Dublagem Juta",180,C90="Dublagem Cretone - MO (Juta)",180,C90="Dublagem Tapete",150,C90="Esp. + Pel.",200,C90="Espelhamento 2x",100)</f>
        <v>350</v>
      </c>
      <c r="S90" s="50">
        <f t="shared" si="31"/>
        <v>0</v>
      </c>
      <c r="T90" s="18" cm="1">
        <f t="array" ref="T90">_xlfn.IFS(C90="Calandra",0.4,C90="Felpagem",0.3,C90="Dublagem Spun",0.8,C90="Dublagem Cretone",0.8,C90="Dublagem Cretone PES",0.8,C90="Espelhamento",0.8,C90="Peletização",0.5,C90="Dublagem Spun - MO",0.8,C90="Dublagem Cretone - MO",0.8,C90="Dublagem Cretone PES - MO",0.8,C90="Espelhamento - MO",0.8,C90="Emborrachamento",1,C90="Malha",0,C90="Dublagem Barreira",1,C90="Pel. + Cal.",0.4,C90="Fel. + Pel. + Cal.",0.5,C90="Pel. + Spun",0.8,C90="Espelhamento - L: 1,45m",0.8,C90="Espelhamento - L: 1,65m",0.8,C90="Estampagem",1,C90="Fel. + Cal.",0.4,C90="Dublagem Juta",0.8,C90="Dublagem Cretone - MO (Juta)",0.8,C90="Dublagem Tapete",0.8,C90="Esp. + Pel.",0.8,C90="Espelhamento 2x",0.8)</f>
        <v>0.4</v>
      </c>
      <c r="U90" s="18"/>
      <c r="V90" s="18"/>
      <c r="W90" s="18"/>
      <c r="X90" s="18"/>
      <c r="Y90" s="18"/>
      <c r="Z90" s="18"/>
      <c r="AA90" s="18"/>
    </row>
    <row r="91" spans="1:27" ht="14.25" customHeight="1" x14ac:dyDescent="0.35">
      <c r="A91" s="18"/>
      <c r="B91" s="75" t="s">
        <v>363</v>
      </c>
      <c r="C91" s="23" t="s">
        <v>144</v>
      </c>
      <c r="D91" s="23"/>
      <c r="E91" s="24">
        <v>1</v>
      </c>
      <c r="F91" s="25">
        <v>0.65</v>
      </c>
      <c r="G91" s="25">
        <v>0.7</v>
      </c>
      <c r="H91" s="26" t="s">
        <v>243</v>
      </c>
      <c r="I91" s="27">
        <v>0.65</v>
      </c>
      <c r="J91" s="28">
        <v>46036</v>
      </c>
      <c r="K91" s="29"/>
      <c r="L91" s="30"/>
      <c r="M91" s="30"/>
      <c r="N91" s="30"/>
      <c r="O91" s="18"/>
      <c r="P91" s="53">
        <f t="shared" si="23"/>
        <v>1</v>
      </c>
      <c r="Q91" s="50">
        <f t="shared" si="24"/>
        <v>294.7</v>
      </c>
      <c r="R91" s="50" cm="1">
        <f t="array" ref="R91">_xlfn.IFS(C91="Calandra",(350),C91="Peletização",(421),C91="Dublagem Spun",(250),C91="Dublagem Cretone PES",(180),C91="Felpagem",(270/E91),C91="Emborrachamento",(200),C91="Espelhamento",(250),C91="Malha",(1),C91="Dublagem Cretone",(180),C91="Malha",(1),C91="Dublagem Spun - MO",250,C91="Dublagem Cretone - MO",180,C91="Dublagem Cretone PES - MO",180,C91="Espelhamento - MO",250,C91="Emborrachamento",100,C91="Malha",0,C91="Dublagem Barreira",100,C91="Pel. + Cal.",350,C91="Fel. + Pel. + Cal.",270,C91="Pel. + Spun",250,C91="Espelhamento - L: 1,45m",200,C91="Espelhamento - L: 1,65m",200,C91="Estampagem",100,C91="Fel. + Cal.",270,C91="Dublagem Juta",180,C91="Dublagem Cretone - MO (Juta)",180,C91="Dublagem Tapete",150,C91="Esp. + Pel.",200,C91="Espelhamento 2x",100)</f>
        <v>421</v>
      </c>
      <c r="S91" s="50">
        <f t="shared" si="31"/>
        <v>0</v>
      </c>
      <c r="T91" s="18" cm="1">
        <f t="array" ref="T91">_xlfn.IFS(C91="Calandra",0.4,C91="Felpagem",0.3,C91="Dublagem Spun",0.8,C91="Dublagem Cretone",0.8,C91="Dublagem Cretone PES",0.8,C91="Espelhamento",0.8,C91="Peletização",0.5,C91="Dublagem Spun - MO",0.8,C91="Dublagem Cretone - MO",0.8,C91="Dublagem Cretone PES - MO",0.8,C91="Espelhamento - MO",0.8,C91="Emborrachamento",1,C91="Malha",0,C91="Dublagem Barreira",1,C91="Pel. + Cal.",0.4,C91="Fel. + Pel. + Cal.",0.5,C91="Pel. + Spun",0.8,C91="Espelhamento - L: 1,45m",0.8,C91="Espelhamento - L: 1,65m",0.8,C91="Estampagem",1,C91="Fel. + Cal.",0.4,C91="Dublagem Juta",0.8,C91="Dublagem Cretone - MO (Juta)",0.8,C91="Dublagem Tapete",0.8,C91="Esp. + Pel.",0.8,C91="Espelhamento 2x",0.8)</f>
        <v>0.5</v>
      </c>
      <c r="U91" s="18"/>
      <c r="V91" s="18"/>
      <c r="W91" s="18"/>
      <c r="X91" s="18"/>
      <c r="Y91" s="18"/>
      <c r="Z91" s="18"/>
      <c r="AA91" s="18"/>
    </row>
    <row r="92" spans="1:27" ht="14.25" customHeight="1" x14ac:dyDescent="0.35">
      <c r="A92" s="18"/>
      <c r="B92" s="75" t="s">
        <v>154</v>
      </c>
      <c r="C92" s="23" t="s">
        <v>254</v>
      </c>
      <c r="D92" s="23"/>
      <c r="E92" s="24">
        <v>3</v>
      </c>
      <c r="F92" s="25">
        <v>1.1399999999999999</v>
      </c>
      <c r="G92" s="25">
        <v>1.254</v>
      </c>
      <c r="H92" s="26" t="s">
        <v>243</v>
      </c>
      <c r="I92" s="27">
        <f t="shared" ref="I92:I117" si="32">G92/E92</f>
        <v>0.41799999999999998</v>
      </c>
      <c r="J92" s="28">
        <v>46036</v>
      </c>
      <c r="K92" s="29"/>
      <c r="L92" s="30">
        <f t="shared" ref="L92:L105" si="33">G92-M92-N92</f>
        <v>1.254</v>
      </c>
      <c r="M92" s="30">
        <f>IF(B92="Texion Textil",0,IF(C92="Malha",'Custos insumos'!$B$24,IF(C92="Dublagem Cretone",'Custos insumos'!$D$7,IF(C92="Dublagem Spun",'Custos insumos'!$D$4,IF(C92="Espelhamento",'Custos insumos'!$B$11,IF(C92="Espelhamento 2x",2*'Custos insumos'!$B$11,IF(C92="Esp. + Pel.",'Custos insumos'!$B$11,IF(C92="Pel. + Spun",'Custos insumos'!$D$4,IF(C92="Dublagem Cretone PES",'Custos insumos'!$D$7,IF(C92="Dublagem Barreira",'Custos insumos'!$D$11,IF(C92="Dublagem - MO + Filme",'Custos insumos'!$D$4,IF(C92="Dublagem Cretone HM50",'Custos insumos'!$D$26,IF(C92="Dublagem Cretone HM70",'Custos insumos'!$F$10,)))))))))))))</f>
        <v>0</v>
      </c>
      <c r="N92" s="30">
        <f>IF(B92="Texion Textil",0,IF(B92="Três Elos",0,IF(C92="Malha",0,IF(C92="Dublagem Cretone",'Custos insumos'!$D$23,IF(C92="Dublagem Spun",'Custos insumos'!$D$16,IF(C92="Espelhamento",0,IF(C92="Espelhamento 2x",0,IF(C92="Esp. + Pel.",0,IF(C92="Pel. + Spun",'Custos insumos'!$D$16,IF(C92="Dublagem Cretone PES",'Custos insumos'!$F$25,IF(C92="Dublagem Barreira",'Custos insumos'!$D$22,)))))))))))</f>
        <v>0</v>
      </c>
      <c r="O92" s="18"/>
      <c r="P92" s="53">
        <f t="shared" si="23"/>
        <v>-0.48140173666489461</v>
      </c>
      <c r="Q92" s="50">
        <f t="shared" si="24"/>
        <v>112.86</v>
      </c>
      <c r="R92" s="50" cm="1">
        <f t="array" ref="R92">_xlfn.IFS(C92="Calandra",(350),C92="Peletização",(421),C92="Dublagem Spun",(250),C92="Dublagem Cretone PES",(180),C92="Felpagem",(270/E92),C92="Emborrachamento",(200),C92="Espelhamento",(250),C92="Malha",(1),C92="Dublagem Cretone",(180),C92="Malha",(1),C92="Dublagem Spun - MO",250,C92="Dublagem Cretone - MO",180,C92="Dublagem Cretone PES - MO",180,C92="Espelhamento - MO",250,C92="Emborrachamento",100,C92="Malha",0,C92="Dublagem Barreira",100,C92="Pel. + Cal.",350,C92="Fel. + Pel. + Cal.",270,C92="Pel. + Spun",250,C92="Espelhamento - L: 1,45m",200,C92="Espelhamento - L: 1,65m",200,C92="Estampagem",100,C92="Fel. + Cal.",270,C92="Dublagem Juta",180,C92="Dublagem Cretone - MO (Juta)",180,C92="Dublagem Tapete",150,C92="Esp. + Pel.",200,C92="Espelhamento 2x",100)</f>
        <v>90</v>
      </c>
      <c r="S92" s="50">
        <f t="shared" si="31"/>
        <v>167.191</v>
      </c>
      <c r="T92" s="18" cm="1">
        <f t="array" ref="T92">_xlfn.IFS(C92="Calandra",0.4,C92="Felpagem",0.3,C92="Dublagem Spun",0.8,C92="Dublagem Cretone",0.8,C92="Dublagem Cretone PES",0.8,C92="Espelhamento",0.8,C92="Peletização",0.5,C92="Dublagem Spun - MO",0.8,C92="Dublagem Cretone - MO",0.8,C92="Dublagem Cretone PES - MO",0.8,C92="Espelhamento - MO",0.8,C92="Emborrachamento",1,C92="Malha",0,C92="Dublagem Barreira",1,C92="Pel. + Cal.",0.4,C92="Fel. + Pel. + Cal.",0.5,C92="Pel. + Spun",0.8,C92="Espelhamento - L: 1,45m",0.8,C92="Espelhamento - L: 1,65m",0.8,C92="Estampagem",1,C92="Fel. + Cal.",0.4,C92="Dublagem Juta",0.8,C92="Dublagem Cretone - MO (Juta)",0.8,C92="Dublagem Tapete",0.8,C92="Esp. + Pel.",0.8,C92="Espelhamento 2x",0.8)</f>
        <v>0.3</v>
      </c>
      <c r="U92" s="18">
        <v>1</v>
      </c>
      <c r="V92" s="18">
        <v>1</v>
      </c>
      <c r="W92" s="18"/>
      <c r="X92" s="18">
        <v>39.67</v>
      </c>
      <c r="Y92" s="18">
        <v>38.51</v>
      </c>
      <c r="Z92" s="18">
        <v>116.78</v>
      </c>
      <c r="AA92" s="18"/>
    </row>
    <row r="93" spans="1:27" ht="14.25" customHeight="1" x14ac:dyDescent="0.35">
      <c r="A93" s="18"/>
      <c r="B93" s="22" t="s">
        <v>364</v>
      </c>
      <c r="C93" s="23" t="s">
        <v>247</v>
      </c>
      <c r="D93" s="23" t="s">
        <v>492</v>
      </c>
      <c r="E93" s="24">
        <v>1</v>
      </c>
      <c r="F93" s="25">
        <v>5.9</v>
      </c>
      <c r="G93" s="25">
        <v>6.2</v>
      </c>
      <c r="H93" s="26" t="s">
        <v>243</v>
      </c>
      <c r="I93" s="27">
        <f t="shared" si="32"/>
        <v>6.2</v>
      </c>
      <c r="J93" s="28">
        <v>46036</v>
      </c>
      <c r="K93" s="29"/>
      <c r="L93" s="30">
        <f t="shared" si="33"/>
        <v>1.9100000000000006</v>
      </c>
      <c r="M93" s="30">
        <f>IF(B93="Texion Textil",0,IF(C93="Malha",'Custos insumos'!$B$24,IF(C93="Dublagem Cretone",'Custos insumos'!$D$7,IF(C93="Dublagem Spun",'Custos insumos'!$D$4,IF(C93="Espelhamento",'Custos insumos'!$B$11,IF(C93="Espelhamento 2x",2*'Custos insumos'!$B$11,IF(C93="Esp. + Pel.",'Custos insumos'!$B$11,IF(C93="Pel. + Spun",'Custos insumos'!$D$4,IF(C93="Dublagem Cretone PES",'Custos insumos'!$D$7,IF(C93="Dublagem Barreira",'Custos insumos'!$D$11,IF(C93="Dublagem - MO + Filme",'Custos insumos'!$D$4,IF(C93="Dublagem Cretone HM50",'Custos insumos'!$D$26,IF(C93="Dublagem Cretone HM70",'Custos insumos'!$F$10,)))))))))))))</f>
        <v>1.962</v>
      </c>
      <c r="N93" s="30">
        <f>IF(B93="Texion Textil",0,IF(B93="Três Elos",0,IF(C93="Malha",0,IF(C93="Dublagem Cretone",'Custos insumos'!$D$23,IF(C93="Dublagem Spun",'Custos insumos'!$D$16,IF(C93="Espelhamento",0,IF(C93="Espelhamento 2x",0,IF(C93="Esp. + Pel.",0,IF(C93="Pel. + Spun",'Custos insumos'!$D$16,IF(C93="Dublagem Cretone PES",'Custos insumos'!$F$25,IF(C93="Dublagem Barreira",'Custos insumos'!$D$22,)))))))))))</f>
        <v>2.3279999999999998</v>
      </c>
      <c r="O93" s="18"/>
      <c r="P93" s="53">
        <f t="shared" si="23"/>
        <v>0.1404784946236558</v>
      </c>
      <c r="Q93" s="50">
        <f t="shared" si="24"/>
        <v>1116</v>
      </c>
      <c r="R93" s="50" cm="1">
        <f t="array" ref="R93">_xlfn.IFS(C93="Calandra",(350),C93="Peletização",(421),C93="Dublagem Spun",(250),C93="Dublagem Cretone PES",(180),C93="Felpagem",(270/E93),C93="Emborrachamento",(200),C93="Espelhamento",(250),C93="Malha",(1),C93="Dublagem Cretone",(180),C93="Malha",(1),C93="Dublagem Spun - MO",250,C93="Dublagem Cretone - MO",180,C93="Dublagem Cretone PES - MO",180,C93="Espelhamento - MO",250,C93="Emborrachamento",100,C93="Malha",0,C93="Dublagem Barreira",100,C93="Pel. + Cal.",350,C93="Fel. + Pel. + Cal.",270,C93="Pel. + Spun",250,C93="Espelhamento - L: 1,45m",200,C93="Espelhamento - L: 1,65m",200,C93="Estampagem",100,C93="Fel. + Cal.",270,C93="Dublagem Juta",180,C93="Dublagem Cretone - MO (Juta)",180,C93="Dublagem Tapete",150,C93="Esp. + Pel.",200,C93="Espelhamento 2x",100)</f>
        <v>180</v>
      </c>
      <c r="S93" s="50">
        <f t="shared" si="31"/>
        <v>959.22600000000011</v>
      </c>
      <c r="T93" s="18" cm="1">
        <f t="array" ref="T93">_xlfn.IFS(C93="Calandra",0.4,C93="Felpagem",0.3,C93="Dublagem Spun",0.8,C93="Dublagem Cretone",0.8,C93="Dublagem Cretone PES",0.8,C93="Espelhamento",0.8,C93="Peletização",0.5,C93="Dublagem Spun - MO",0.8,C93="Dublagem Cretone - MO",0.8,C93="Dublagem Cretone PES - MO",0.8,C93="Espelhamento - MO",0.8,C93="Emborrachamento",1,C93="Malha",0,C93="Dublagem Barreira",1,C93="Pel. + Cal.",0.4,C93="Fel. + Pel. + Cal.",0.5,C93="Pel. + Spun",0.8,C93="Espelhamento - L: 1,45m",0.8,C93="Espelhamento - L: 1,65m",0.8,C93="Estampagem",1,C93="Fel. + Cal.",0.4,C93="Dublagem Juta",0.8,C93="Dublagem Cretone - MO (Juta)",0.8,C93="Dublagem Tapete",0.8,C93="Esp. + Pel.",0.8,C93="Espelhamento 2x",0.8)</f>
        <v>0.8</v>
      </c>
      <c r="U93" s="18">
        <v>1</v>
      </c>
      <c r="V93" s="18">
        <v>1</v>
      </c>
      <c r="W93" s="18"/>
      <c r="X93" s="18">
        <v>39.67</v>
      </c>
      <c r="Y93" s="18">
        <v>38.51</v>
      </c>
      <c r="Z93" s="18">
        <v>116.78</v>
      </c>
      <c r="AA93" s="18"/>
    </row>
    <row r="94" spans="1:27" ht="14.25" customHeight="1" x14ac:dyDescent="0.35">
      <c r="A94" s="18"/>
      <c r="B94" s="22" t="s">
        <v>297</v>
      </c>
      <c r="C94" s="23" t="s">
        <v>251</v>
      </c>
      <c r="D94" s="23"/>
      <c r="E94" s="24">
        <v>1</v>
      </c>
      <c r="F94" s="25">
        <v>5.45</v>
      </c>
      <c r="G94" s="25">
        <v>5.9</v>
      </c>
      <c r="H94" s="26" t="s">
        <v>243</v>
      </c>
      <c r="I94" s="31">
        <f t="shared" si="32"/>
        <v>5.9</v>
      </c>
      <c r="J94" s="28">
        <v>46036</v>
      </c>
      <c r="K94" s="29"/>
      <c r="L94" s="30">
        <f>G94-M94-N94</f>
        <v>1.6100000000000008</v>
      </c>
      <c r="M94" s="30">
        <f>IF(B94="Texion Textil",0,IF(C94="Malha",'Custos insumos'!$B$24,IF(C94="Dublagem Cretone",'Custos insumos'!$D$7,IF(C94="Dublagem Spun",'Custos insumos'!$D$4,IF(C94="Espelhamento",'Custos insumos'!$B$11,IF(C94="Espelhamento 2x",2*'Custos insumos'!$B$11,IF(C94="Esp. + Pel.",'Custos insumos'!$B$11,IF(C94="Pel. + Spun",'Custos insumos'!$D$4,IF(C94="Dublagem Cretone PES",'Custos insumos'!$D$7,IF(C94="Dublagem Barreira",'Custos insumos'!$D$11,IF(C94="Dublagem - MO + Filme",'Custos insumos'!$D$4,IF(C94="Dublagem Cretone HM50",'Custos insumos'!$D$26,IF(C94="Dublagem Cretone HM70",'Custos insumos'!$F$10,)))))))))))))</f>
        <v>1.962</v>
      </c>
      <c r="N94" s="30">
        <f>IF(B94="Texion Textil",0,IF(B94="Três Elos",0,IF(C94="Malha",0,IF(C94="Dublagem Cretone",'Custos insumos'!$D$23,IF(C94="Dublagem Spun",'Custos insumos'!$D$19,IF(C94="Espelhamento",0,IF(C94="Espelhamento 2x",0,IF(C94="Esp. + Pel.",0,IF(C94="Pel. + Spun",'Custos insumos'!$D$19,IF(C94="Dublagem Cretone PES",'Custos insumos'!$F$25,IF(C94="Dublagem Barreira",'Custos insumos'!$D$22,)))))))))))</f>
        <v>2.3279999999999998</v>
      </c>
      <c r="O94" s="18"/>
      <c r="P94" s="53">
        <f t="shared" si="23"/>
        <v>9.6774011299434928E-2</v>
      </c>
      <c r="Q94" s="50">
        <f t="shared" si="24"/>
        <v>1062</v>
      </c>
      <c r="R94" s="50" cm="1">
        <f t="array" ref="R94">_xlfn.IFS(C94="Calandra",(350),C94="Peletização",(421),C94="Dublagem Spun",(250),C94="Dublagem Cretone PES",(180),C94="Felpagem",(270/E94),C94="Emborrachamento",(200),C94="Espelhamento",(250),C94="Malha",(1),C94="Dublagem Cretone",(180),C94="Malha",(1),C94="Dublagem Spun - MO",250,C94="Dublagem Cretone - MO",180,C94="Dublagem Cretone PES - MO",180,C94="Espelhamento - MO",250,C94="Emborrachamento",100,C94="Malha",0,C94="Dublagem Barreira",100,C94="Pel. + Cal.",350,C94="Fel. + Pel. + Cal.",270,C94="Pel. + Spun",250,C94="Espelhamento - L: 1,45m",200,C94="Espelhamento - L: 1,65m",200,C94="Estampagem",100,C94="Fel. + Cal.",270,C94="Dublagem Juta",180,C94="Dublagem Cretone - MO (Juta)",180,C94="Dublagem Tapete",150,C94="Esp. + Pel.",200,C94="Espelhamento 2x",100)</f>
        <v>180</v>
      </c>
      <c r="S94" s="50">
        <f t="shared" si="31"/>
        <v>959.22600000000011</v>
      </c>
      <c r="T94" s="18" cm="1">
        <f t="array" ref="T94">_xlfn.IFS(C94="Calandra",0.4,C94="Felpagem",0.3,C94="Dublagem Spun",0.8,C94="Dublagem Cretone",0.8,C94="Dublagem Cretone PES",0.8,C94="Espelhamento",0.8,C94="Peletização",0.5,C94="Dublagem Spun - MO",0.8,C94="Dublagem Cretone - MO",0.8,C94="Dublagem Cretone PES - MO",0.8,C94="Espelhamento - MO",0.8,C94="Emborrachamento",1,C94="Malha",0,C94="Dublagem Barreira",1,C94="Pel. + Cal.",0.4,C94="Fel. + Pel. + Cal.",0.5,C94="Pel. + Spun",0.8,C94="Espelhamento - L: 1,45m",0.8,C94="Espelhamento - L: 1,65m",0.8,C94="Estampagem",1,C94="Fel. + Cal.",0.4,C94="Dublagem Juta",0.8,C94="Dublagem Cretone - MO (Juta)",0.8,C94="Dublagem Tapete",0.8,C94="Esp. + Pel.",0.8,C94="Espelhamento 2x",0.8)</f>
        <v>0.8</v>
      </c>
      <c r="U94" s="18">
        <v>1</v>
      </c>
      <c r="V94" s="18">
        <v>1</v>
      </c>
      <c r="W94" s="18"/>
      <c r="X94" s="18">
        <v>39.67</v>
      </c>
      <c r="Y94" s="18">
        <v>38.51</v>
      </c>
      <c r="Z94" s="18">
        <v>116.78</v>
      </c>
      <c r="AA94" s="18"/>
    </row>
    <row r="95" spans="1:27" ht="14.25" customHeight="1" x14ac:dyDescent="0.35">
      <c r="A95" s="18"/>
      <c r="B95" s="22" t="s">
        <v>298</v>
      </c>
      <c r="C95" s="23" t="s">
        <v>254</v>
      </c>
      <c r="D95" s="23"/>
      <c r="E95" s="24">
        <v>1</v>
      </c>
      <c r="F95" s="25">
        <v>0.75</v>
      </c>
      <c r="G95" s="25">
        <v>0.75</v>
      </c>
      <c r="H95" s="26" t="s">
        <v>243</v>
      </c>
      <c r="I95" s="31">
        <f t="shared" si="32"/>
        <v>0.75</v>
      </c>
      <c r="J95" s="28">
        <v>46036</v>
      </c>
      <c r="K95" s="29"/>
      <c r="L95" s="30">
        <f t="shared" si="33"/>
        <v>0.75</v>
      </c>
      <c r="M95" s="30">
        <f>IF(B95="Texion Textil",0,IF(C95="Malha",'Custos insumos'!$B$24,IF(C95="Dublagem Cretone",'Custos insumos'!$D$7,IF(C95="Dublagem Spun",'Custos insumos'!$D$4,IF(C95="Espelhamento",'Custos insumos'!$B$11,IF(C95="Espelhamento 2x",2*'Custos insumos'!$B$11,IF(C95="Esp. + Pel.",'Custos insumos'!$B$11,IF(C95="Pel. + Spun",'Custos insumos'!$D$4,IF(C95="Dublagem Cretone PES",'Custos insumos'!$D$7,IF(C95="Dublagem Barreira",'Custos insumos'!$D$11,IF(C95="Dublagem - MO + Filme",'Custos insumos'!$D$4,IF(C95="Dublagem Cretone HM50",'Custos insumos'!$D$26,IF(C95="Dublagem Cretone HM70",'Custos insumos'!$F$10,)))))))))))))</f>
        <v>0</v>
      </c>
      <c r="N95" s="30">
        <f>IF(B95="Texion Textil",0,IF(B95="Três Elos",0,IF(C95="Malha",0,IF(C95="Dublagem Cretone",'Custos insumos'!$D$23,IF(C95="Dublagem Spun",'Custos insumos'!$D$16,IF(C95="Espelhamento",0,IF(C95="Espelhamento 2x",0,IF(C95="Esp. + Pel.",0,IF(C95="Pel. + Spun",'Custos insumos'!$D$16,IF(C95="Dublagem Cretone PES",'Custos insumos'!$F$25,IF(C95="Dublagem Barreira",'Custos insumos'!$D$22,)))))))))))</f>
        <v>0</v>
      </c>
      <c r="O95" s="18"/>
      <c r="P95" s="53">
        <f t="shared" si="23"/>
        <v>0.17436543209876543</v>
      </c>
      <c r="Q95" s="50">
        <f t="shared" si="24"/>
        <v>202.5</v>
      </c>
      <c r="R95" s="50" cm="1">
        <f t="array" ref="R95">_xlfn.IFS(C95="Calandra",(350),C95="Peletização",(421),C95="Dublagem Spun",(250),C95="Dublagem Cretone PES",(180),C95="Felpagem",(270/E95),C95="Emborrachamento",(200),C95="Espelhamento",(250),C95="Malha",(1),C95="Dublagem Cretone",(180),C95="Malha",(1),C95="Dublagem Spun - MO",250,C95="Dublagem Cretone - MO",180,C95="Dublagem Cretone PES - MO",180,C95="Espelhamento - MO",250,C95="Emborrachamento",100,C95="Malha",0,C95="Dublagem Barreira",100,C95="Pel. + Cal.",350,C95="Fel. + Pel. + Cal.",270,C95="Pel. + Spun",250,C95="Espelhamento - L: 1,45m",200,C95="Espelhamento - L: 1,65m",200,C95="Estampagem",100,C95="Fel. + Cal.",270,C95="Dublagem Juta",180,C95="Dublagem Cretone - MO (Juta)",180,C95="Dublagem Tapete",150,C95="Esp. + Pel.",200,C95="Espelhamento 2x",100)</f>
        <v>270</v>
      </c>
      <c r="S95" s="50">
        <f t="shared" si="31"/>
        <v>167.191</v>
      </c>
      <c r="T95" s="18" cm="1">
        <f t="array" ref="T95">_xlfn.IFS(C95="Calandra",0.4,C95="Felpagem",0.3,C95="Dublagem Spun",0.8,C95="Dublagem Cretone",0.8,C95="Dublagem Cretone PES",0.8,C95="Espelhamento",0.8,C95="Peletização",0.5,C95="Dublagem Spun - MO",0.8,C95="Dublagem Cretone - MO",0.8,C95="Dublagem Cretone PES - MO",0.8,C95="Espelhamento - MO",0.8,C95="Emborrachamento",1,C95="Malha",0,C95="Dublagem Barreira",1,C95="Pel. + Cal.",0.4,C95="Fel. + Pel. + Cal.",0.5,C95="Pel. + Spun",0.8,C95="Espelhamento - L: 1,45m",0.8,C95="Espelhamento - L: 1,65m",0.8,C95="Estampagem",1,C95="Fel. + Cal.",0.4,C95="Dublagem Juta",0.8,C95="Dublagem Cretone - MO (Juta)",0.8,C95="Dublagem Tapete",0.8,C95="Esp. + Pel.",0.8,C95="Espelhamento 2x",0.8)</f>
        <v>0.3</v>
      </c>
      <c r="U95" s="18">
        <v>1</v>
      </c>
      <c r="V95" s="18">
        <v>1</v>
      </c>
      <c r="W95" s="18"/>
      <c r="X95" s="18">
        <v>39.67</v>
      </c>
      <c r="Y95" s="18">
        <v>38.51</v>
      </c>
      <c r="Z95" s="18">
        <v>116.78</v>
      </c>
      <c r="AA95" s="18"/>
    </row>
    <row r="96" spans="1:27" ht="14.25" customHeight="1" x14ac:dyDescent="0.35">
      <c r="A96" s="18"/>
      <c r="B96" s="64" t="s">
        <v>299</v>
      </c>
      <c r="C96" s="65" t="s">
        <v>144</v>
      </c>
      <c r="D96" s="23"/>
      <c r="E96" s="24">
        <v>1</v>
      </c>
      <c r="F96" s="25">
        <v>0.65</v>
      </c>
      <c r="G96" s="25">
        <v>0.7</v>
      </c>
      <c r="H96" s="26" t="s">
        <v>243</v>
      </c>
      <c r="I96" s="27">
        <f t="shared" si="32"/>
        <v>0.7</v>
      </c>
      <c r="J96" s="28">
        <v>46036</v>
      </c>
      <c r="K96" s="29" t="s">
        <v>259</v>
      </c>
      <c r="L96" s="30">
        <f t="shared" si="33"/>
        <v>0.7</v>
      </c>
      <c r="M96" s="30">
        <f>IF(B96="Texion Textil",0,IF(C96="Malha",'Custos insumos'!$B$24,IF(C96="Dublagem Cretone",'Custos insumos'!$D$7,IF(C96="Dublagem Spun",'Custos insumos'!$D$4,IF(C96="Espelhamento",'Custos insumos'!$B$11,IF(C96="Espelhamento 2x",2*'Custos insumos'!$B$11,IF(C96="Esp. + Pel.",'Custos insumos'!$B$11,IF(C96="Pel. + Spun",'Custos insumos'!$D$4,IF(C96="Dublagem Cretone PES",'Custos insumos'!$D$7,IF(C96="Dublagem Barreira",'Custos insumos'!$D$11,IF(C96="Dublagem - MO + Filme",'Custos insumos'!$D$4,IF(C96="Dublagem Cretone HM50",'Custos insumos'!$D$26,IF(C96="Dublagem Cretone HM70",'Custos insumos'!$F$10,)))))))))))))</f>
        <v>0</v>
      </c>
      <c r="N96" s="30">
        <f>IF(B96="Texion Textil",0,IF(B96="Três Elos",0,IF(C96="Malha",0,IF(C96="Dublagem Cretone",'Custos insumos'!$D$23,IF(C96="Dublagem Spun",'Custos insumos'!$D$16,IF(C96="Espelhamento",0,IF(C96="Espelhamento 2x",0,IF(C96="Esp. + Pel.",0,IF(C96="Pel. + Spun",'Custos insumos'!$D$16,IF(C96="Dublagem Cretone PES",'Custos insumos'!$F$25,IF(C96="Dublagem Barreira",'Custos insumos'!$D$22,)))))))))))</f>
        <v>0</v>
      </c>
      <c r="O96" s="18"/>
      <c r="P96" s="53">
        <f t="shared" si="23"/>
        <v>0.40575161180861891</v>
      </c>
      <c r="Q96" s="50">
        <f t="shared" si="24"/>
        <v>294.7</v>
      </c>
      <c r="R96" s="50" cm="1">
        <f t="array" ref="R96">_xlfn.IFS(C96="Calandra",(350),C96="Peletização",(421),C96="Dublagem Spun",(250),C96="Dublagem Cretone PES",(180),C96="Felpagem",(270/E96),C96="Emborrachamento",(200),C96="Espelhamento",(250),C96="Malha",(1),C96="Dublagem Cretone",(180),C96="Malha",(1),C96="Dublagem Spun - MO",250,C96="Dublagem Cretone - MO",180,C96="Dublagem Cretone PES - MO",180,C96="Espelhamento - MO",250,C96="Emborrachamento",100,C96="Malha",0,C96="Dublagem Barreira",100,C96="Pel. + Cal.",350,C96="Fel. + Pel. + Cal.",270,C96="Pel. + Spun",250,C96="Espelhamento - L: 1,45m",200,C96="Espelhamento - L: 1,65m",200,C96="Estampagem",100,C96="Fel. + Cal.",270,C96="Dublagem Juta",180,C96="Dublagem Cretone - MO (Juta)",180,C96="Dublagem Tapete",150,C96="Esp. + Pel.",200,C96="Espelhamento 2x",100)</f>
        <v>421</v>
      </c>
      <c r="S96" s="50">
        <f t="shared" si="31"/>
        <v>175.125</v>
      </c>
      <c r="T96" s="18" cm="1">
        <f t="array" ref="T96">_xlfn.IFS(C96="Calandra",0.4,C96="Felpagem",0.3,C96="Dublagem Spun",0.8,C96="Dublagem Cretone",0.8,C96="Dublagem Cretone PES",0.8,C96="Espelhamento",0.8,C96="Peletização",0.5,C96="Dublagem Spun - MO",0.8,C96="Dublagem Cretone - MO",0.8,C96="Dublagem Cretone PES - MO",0.8,C96="Espelhamento - MO",0.8,C96="Emborrachamento",1,C96="Malha",0,C96="Dublagem Barreira",1,C96="Pel. + Cal.",0.4,C96="Fel. + Pel. + Cal.",0.5,C96="Pel. + Spun",0.8,C96="Espelhamento - L: 1,45m",0.8,C96="Espelhamento - L: 1,65m",0.8,C96="Estampagem",1,C96="Fel. + Cal.",0.4,C96="Dublagem Juta",0.8,C96="Dublagem Cretone - MO (Juta)",0.8,C96="Dublagem Tapete",0.8,C96="Esp. + Pel.",0.8,C96="Espelhamento 2x",0.8)</f>
        <v>0.5</v>
      </c>
      <c r="U96" s="18">
        <v>1</v>
      </c>
      <c r="V96" s="18">
        <v>1</v>
      </c>
      <c r="W96" s="18"/>
      <c r="X96" s="18">
        <v>39.67</v>
      </c>
      <c r="Y96" s="18">
        <v>38.51</v>
      </c>
      <c r="Z96" s="18">
        <v>116.78</v>
      </c>
      <c r="AA96" s="18"/>
    </row>
    <row r="97" spans="1:27" ht="14.25" customHeight="1" x14ac:dyDescent="0.35">
      <c r="A97" s="18"/>
      <c r="B97" s="75" t="s">
        <v>157</v>
      </c>
      <c r="C97" s="23" t="s">
        <v>106</v>
      </c>
      <c r="D97" s="23" t="s">
        <v>483</v>
      </c>
      <c r="E97" s="24">
        <v>1</v>
      </c>
      <c r="F97" s="25">
        <v>2.35</v>
      </c>
      <c r="G97" s="25">
        <v>2.35</v>
      </c>
      <c r="H97" s="26" t="s">
        <v>243</v>
      </c>
      <c r="I97" s="27">
        <f t="shared" si="32"/>
        <v>2.35</v>
      </c>
      <c r="J97" s="28">
        <v>46036</v>
      </c>
      <c r="K97" s="29" t="s">
        <v>259</v>
      </c>
      <c r="L97" s="30">
        <f t="shared" si="33"/>
        <v>1.2914997101449275</v>
      </c>
      <c r="M97" s="30">
        <f>IF(B97="Texion Textil",0,IF(C97="Malha",'Custos insumos'!$B$24,IF(C97="Dublagem Cretone",'Custos insumos'!$D$7,IF(C97="Dublagem Spun",'Custos insumos'!$D$4,IF(C97="Espelhamento",'Custos insumos'!$B$11,IF(C97="Espelhamento 2x",2*'Custos insumos'!$B$11,IF(C97="Esp. + Pel.",'Custos insumos'!$B$11,IF(C97="Pel. + Spun",'Custos insumos'!$D$4,IF(C97="Dublagem Cretone PES",'Custos insumos'!$D$7,IF(C97="Dublagem Barreira",'Custos insumos'!$D$11,IF(C97="Dublagem - MO + Filme",'Custos insumos'!$D$4,IF(C97="Dublagem Cretone HM50",'Custos insumos'!$D$26,IF(C97="Dublagem Cretone HM70",'Custos insumos'!$F$10,)))))))))))))</f>
        <v>1.0585002898550726</v>
      </c>
      <c r="N97" s="30">
        <f>IF(B97="Texion Textil",0,IF(B97="Três Elos",0,IF(C97="Malha",0,IF(C97="Dublagem Cretone",'Custos insumos'!$D$23,IF(C97="Dublagem Spun",'Custos insumos'!$D$16,IF(C97="Espelhamento",0,IF(C97="Espelhamento 2x",0,IF(C97="Esp. + Pel.",0,IF(C97="Pel. + Spun",'Custos insumos'!$D$16,IF(C97="Dublagem Cretone PES",'Custos insumos'!$F$25,IF(C97="Dublagem Barreira",'Custos insumos'!$D$22,)))))))))))</f>
        <v>0</v>
      </c>
      <c r="O97" s="18"/>
      <c r="P97" s="53">
        <f t="shared" si="23"/>
        <v>0.23123221708294778</v>
      </c>
      <c r="Q97" s="50">
        <f t="shared" si="24"/>
        <v>587.5</v>
      </c>
      <c r="R97" s="50" cm="1">
        <f t="array" ref="R97">_xlfn.IFS(C97="Calandra",(350),C97="Peletização",(421),C97="Dublagem Spun",(250),C97="Dublagem Cretone PES",(180),C97="Felpagem",(270/E97),C97="Emborrachamento",(200),C97="Espelhamento",(250),C97="Malha",(1),C97="Dublagem Cretone",(180),C97="Malha",(1),C97="Dublagem Spun - MO",250,C97="Dublagem Cretone - MO",180,C97="Dublagem Cretone PES - MO",180,C97="Espelhamento - MO",250,C97="Emborrachamento",100,C97="Malha",0,C97="Dublagem Barreira",100,C97="Pel. + Cal.",350,C97="Fel. + Pel. + Cal.",270,C97="Pel. + Spun",250,C97="Espelhamento - L: 1,45m",200,C97="Espelhamento - L: 1,65m",200,C97="Estampagem",100,C97="Fel. + Cal.",270,C97="Dublagem Juta",180,C97="Dublagem Cretone - MO (Juta)",180,C97="Dublagem Tapete",150,C97="Esp. + Pel.",200,C97="Espelhamento 2x",100)</f>
        <v>250</v>
      </c>
      <c r="S97" s="50">
        <f t="shared" si="31"/>
        <v>451.65107246376817</v>
      </c>
      <c r="T97" s="18" cm="1">
        <f t="array" ref="T97">_xlfn.IFS(C97="Calandra",0.4,C97="Felpagem",0.3,C97="Dublagem Spun",0.8,C97="Dublagem Cretone",0.8,C97="Dublagem Cretone PES",0.8,C97="Espelhamento",0.8,C97="Peletização",0.5,C97="Dublagem Spun - MO",0.8,C97="Dublagem Cretone - MO",0.8,C97="Dublagem Cretone PES - MO",0.8,C97="Espelhamento - MO",0.8,C97="Emborrachamento",1,C97="Malha",0,C97="Dublagem Barreira",1,C97="Pel. + Cal.",0.4,C97="Fel. + Pel. + Cal.",0.5,C97="Pel. + Spun",0.8,C97="Espelhamento - L: 1,45m",0.8,C97="Espelhamento - L: 1,65m",0.8,C97="Estampagem",1,C97="Fel. + Cal.",0.4,C97="Dublagem Juta",0.8,C97="Dublagem Cretone - MO (Juta)",0.8,C97="Dublagem Tapete",0.8,C97="Esp. + Pel.",0.8,C97="Espelhamento 2x",0.8)</f>
        <v>0.8</v>
      </c>
      <c r="U97" s="18">
        <v>1</v>
      </c>
      <c r="V97" s="18">
        <v>1</v>
      </c>
      <c r="W97" s="18"/>
      <c r="X97" s="18">
        <v>39.67</v>
      </c>
      <c r="Y97" s="18">
        <v>38.51</v>
      </c>
      <c r="Z97" s="18">
        <v>116.78</v>
      </c>
      <c r="AA97" s="18"/>
    </row>
    <row r="98" spans="1:27" ht="14.25" customHeight="1" x14ac:dyDescent="0.35">
      <c r="A98" s="18"/>
      <c r="B98" s="76" t="s">
        <v>157</v>
      </c>
      <c r="C98" s="23" t="s">
        <v>244</v>
      </c>
      <c r="D98" s="23" t="s">
        <v>498</v>
      </c>
      <c r="E98" s="24">
        <v>1</v>
      </c>
      <c r="F98" s="25">
        <v>4.0999999999999996</v>
      </c>
      <c r="G98" s="25">
        <v>4.83</v>
      </c>
      <c r="H98" s="26" t="s">
        <v>243</v>
      </c>
      <c r="I98" s="27">
        <f t="shared" si="32"/>
        <v>4.83</v>
      </c>
      <c r="J98" s="28">
        <v>46036</v>
      </c>
      <c r="K98" s="29" t="s">
        <v>259</v>
      </c>
      <c r="L98" s="30">
        <f t="shared" si="33"/>
        <v>1.6104200000000004</v>
      </c>
      <c r="M98" s="30">
        <f>'Custos insumos'!J32</f>
        <v>3.2195799999999997</v>
      </c>
      <c r="N98" s="30">
        <v>0</v>
      </c>
      <c r="O98" s="18"/>
      <c r="P98" s="53">
        <f t="shared" si="23"/>
        <v>0.13159834368530024</v>
      </c>
      <c r="Q98" s="50">
        <f t="shared" si="24"/>
        <v>966</v>
      </c>
      <c r="R98" s="50" cm="1">
        <f t="array" ref="R98">_xlfn.IFS(C98="Calandra",(350),C98="Peletização",(421),C98="Dublagem Spun",(250),C98="Dublagem Cretone PES",(180),C98="Felpagem",(270/E98),C98="Emborrachamento",(200),C98="Espelhamento",(250),C98="Malha",(1),C98="Dublagem Cretone",(180),C98="Malha",(1),C98="Dublagem Spun - MO",250,C98="Dublagem Cretone - MO",180,C98="Dublagem Cretone PES - MO",180,C98="Espelhamento - MO",250,C98="Emborrachamento",100,C98="Malha",0,C98="Dublagem Barreira",100,C98="Pel. + Cal.",350,C98="Fel. + Pel. + Cal.",270,C98="Pel. + Spun",250,C98="Espelhamento - L: 1,45m",200,C98="Espelhamento - L: 1,65m",200,C98="Estampagem",100,C98="Fel. + Cal.",270,C98="Dublagem Juta",180,C98="Dublagem Cretone - MO (Juta)",180,C98="Dublagem Tapete",150,C98="Esp. + Pel.",200,C98="Espelhamento 2x",100)</f>
        <v>200</v>
      </c>
      <c r="S98" s="50">
        <f t="shared" si="31"/>
        <v>838.87599999999998</v>
      </c>
      <c r="T98" s="18" cm="1">
        <f t="array" ref="T98">_xlfn.IFS(C98="Calandra",0.4,C98="Felpagem",0.3,C98="Dublagem Spun",0.8,C98="Dublagem Cretone",0.8,C98="Dublagem Cretone PES",0.8,C98="Espelhamento",0.8,C98="Peletização",0.5,C98="Dublagem Spun - MO",0.8,C98="Dublagem Cretone - MO",0.8,C98="Dublagem Cretone PES - MO",0.8,C98="Espelhamento - MO",0.8,C98="Emborrachamento",1,C98="Malha",0,C98="Dublagem Barreira",1,C98="Pel. + Cal.",0.4,C98="Fel. + Pel. + Cal.",0.5,C98="Pel. + Spun",0.8,C98="Espelhamento - L: 1,45m",0.8,C98="Espelhamento - L: 1,65m",0.8,C98="Estampagem",1,C98="Fel. + Cal.",0.4,C98="Dublagem Juta",0.8,C98="Dublagem Cretone - MO (Juta)",0.8,C98="Dublagem Tapete",0.8,C98="Esp. + Pel.",0.8,C98="Espelhamento 2x",0.8)</f>
        <v>1</v>
      </c>
      <c r="U98" s="18">
        <v>1</v>
      </c>
      <c r="V98" s="18">
        <v>1</v>
      </c>
      <c r="W98" s="18"/>
      <c r="X98" s="18">
        <v>39.67</v>
      </c>
      <c r="Y98" s="18">
        <v>38.51</v>
      </c>
      <c r="Z98" s="18">
        <v>116.78</v>
      </c>
      <c r="AA98" s="18"/>
    </row>
    <row r="99" spans="1:27" ht="14.25" customHeight="1" x14ac:dyDescent="0.35">
      <c r="A99" s="18"/>
      <c r="B99" s="76" t="s">
        <v>157</v>
      </c>
      <c r="C99" s="23" t="s">
        <v>244</v>
      </c>
      <c r="D99" s="23" t="s">
        <v>514</v>
      </c>
      <c r="E99" s="24">
        <v>1</v>
      </c>
      <c r="F99" s="25">
        <v>4.0999999999999996</v>
      </c>
      <c r="G99" s="25">
        <v>4.9400000000000004</v>
      </c>
      <c r="H99" s="26" t="s">
        <v>243</v>
      </c>
      <c r="I99" s="27">
        <f t="shared" ref="I99:I102" si="34">G99/E99</f>
        <v>4.9400000000000004</v>
      </c>
      <c r="J99" s="28">
        <v>46036</v>
      </c>
      <c r="K99" s="29" t="s">
        <v>259</v>
      </c>
      <c r="L99" s="30">
        <f t="shared" ref="L99:L102" si="35">G99-M99-N99</f>
        <v>1.6094000000000004</v>
      </c>
      <c r="M99" s="30">
        <f>'Custos insumos'!J33</f>
        <v>3.3306</v>
      </c>
      <c r="N99" s="30">
        <v>0</v>
      </c>
      <c r="O99" s="18"/>
      <c r="P99" s="53">
        <f t="shared" ref="P99:P102" si="36">(Q99-S99)/Q99</f>
        <v>0.12846153846153852</v>
      </c>
      <c r="Q99" s="50">
        <f t="shared" ref="Q99:Q102" si="37">G99*R99</f>
        <v>988.00000000000011</v>
      </c>
      <c r="R99" s="50" cm="1">
        <f t="array" ref="R99">_xlfn.IFS(C99="Calandra",(350),C99="Peletização",(421),C99="Dublagem Spun",(250),C99="Dublagem Cretone PES",(180),C99="Felpagem",(270/E99),C99="Emborrachamento",(200),C99="Espelhamento",(250),C99="Malha",(1),C99="Dublagem Cretone",(180),C99="Malha",(1),C99="Dublagem Spun - MO",250,C99="Dublagem Cretone - MO",180,C99="Dublagem Cretone PES - MO",180,C99="Espelhamento - MO",250,C99="Emborrachamento",100,C99="Malha",0,C99="Dublagem Barreira",100,C99="Pel. + Cal.",350,C99="Fel. + Pel. + Cal.",270,C99="Pel. + Spun",250,C99="Espelhamento - L: 1,45m",200,C99="Espelhamento - L: 1,65m",200,C99="Estampagem",100,C99="Fel. + Cal.",270,C99="Dublagem Juta",180,C99="Dublagem Cretone - MO (Juta)",180,C99="Dublagem Tapete",150,C99="Esp. + Pel.",200,C99="Espelhamento 2x",100)</f>
        <v>200</v>
      </c>
      <c r="S99" s="50">
        <f t="shared" ref="S99:S102" si="38">(T99*X99)+(U99*Y99)+(V99*Z99)+((M99+N99)*(R99))</f>
        <v>861.08</v>
      </c>
      <c r="T99" s="18" cm="1">
        <f t="array" ref="T99">_xlfn.IFS(C99="Calandra",0.4,C99="Felpagem",0.3,C99="Dublagem Spun",0.8,C99="Dublagem Cretone",0.8,C99="Dublagem Cretone PES",0.8,C99="Espelhamento",0.8,C99="Peletização",0.5,C99="Dublagem Spun - MO",0.8,C99="Dublagem Cretone - MO",0.8,C99="Dublagem Cretone PES - MO",0.8,C99="Espelhamento - MO",0.8,C99="Emborrachamento",1,C99="Malha",0,C99="Dublagem Barreira",1,C99="Pel. + Cal.",0.4,C99="Fel. + Pel. + Cal.",0.5,C99="Pel. + Spun",0.8,C99="Espelhamento - L: 1,45m",0.8,C99="Espelhamento - L: 1,65m",0.8,C99="Estampagem",1,C99="Fel. + Cal.",0.4,C99="Dublagem Juta",0.8,C99="Dublagem Cretone - MO (Juta)",0.8,C99="Dublagem Tapete",0.8,C99="Esp. + Pel.",0.8,C99="Espelhamento 2x",0.8)</f>
        <v>1</v>
      </c>
      <c r="U99" s="18">
        <v>1</v>
      </c>
      <c r="V99" s="18">
        <v>1</v>
      </c>
      <c r="W99" s="18"/>
      <c r="X99" s="18">
        <v>39.67</v>
      </c>
      <c r="Y99" s="18">
        <v>38.51</v>
      </c>
      <c r="Z99" s="18">
        <v>116.78</v>
      </c>
      <c r="AA99" s="18"/>
    </row>
    <row r="100" spans="1:27" ht="14.25" customHeight="1" x14ac:dyDescent="0.35">
      <c r="A100" s="18"/>
      <c r="B100" s="76" t="s">
        <v>157</v>
      </c>
      <c r="C100" s="23" t="s">
        <v>98</v>
      </c>
      <c r="D100" s="23" t="s">
        <v>482</v>
      </c>
      <c r="E100" s="24">
        <v>1</v>
      </c>
      <c r="F100" s="25">
        <v>4.0999999999999996</v>
      </c>
      <c r="G100" s="25">
        <v>4.0999999999999996</v>
      </c>
      <c r="H100" s="26" t="s">
        <v>243</v>
      </c>
      <c r="I100" s="27">
        <f t="shared" si="34"/>
        <v>4.0999999999999996</v>
      </c>
      <c r="J100" s="28">
        <v>46036</v>
      </c>
      <c r="K100" s="29" t="s">
        <v>259</v>
      </c>
      <c r="L100" s="30">
        <f t="shared" si="35"/>
        <v>2.6119999999999992</v>
      </c>
      <c r="M100" s="30">
        <f>'Custos insumos'!L4</f>
        <v>0.75600000000000001</v>
      </c>
      <c r="N100" s="30">
        <f>'Custos insumos'!L19</f>
        <v>0.73199999999999998</v>
      </c>
      <c r="O100" s="18"/>
      <c r="P100" s="53" t="e">
        <f t="shared" si="36"/>
        <v>#N/A</v>
      </c>
      <c r="Q100" s="50" t="e">
        <f t="shared" si="37"/>
        <v>#N/A</v>
      </c>
      <c r="R100" s="50" t="e" cm="1">
        <f t="array" ref="R100">_xlfn.IFS(C100="Calandra",(350),C100="Peletização",(421),C100="Dublagem Spun",(250),C100="Dublagem Cretone PES",(180),C100="Felpagem",(270/E100),C100="Emborrachamento",(200),C100="Espelhamento",(250),C100="Malha",(1),C100="Dublagem Cretone",(180),C100="Malha",(1),C100="Dublagem Spun - MO",250,C100="Dublagem Cretone - MO",180,C100="Dublagem Cretone PES - MO",180,C100="Espelhamento - MO",250,C100="Emborrachamento",100,C100="Malha",0,C100="Dublagem Barreira",100,C100="Pel. + Cal.",350,C100="Fel. + Pel. + Cal.",270,C100="Pel. + Spun",250,C100="Espelhamento - L: 1,45m",200,C100="Espelhamento - L: 1,65m",200,C100="Estampagem",100,C100="Fel. + Cal.",270,C100="Dublagem Juta",180,C100="Dublagem Cretone - MO (Juta)",180,C100="Dublagem Tapete",150,C100="Esp. + Pel.",200,C100="Espelhamento 2x",100)</f>
        <v>#N/A</v>
      </c>
      <c r="S100" s="50" t="e">
        <f t="shared" si="38"/>
        <v>#N/A</v>
      </c>
      <c r="T100" s="18" t="e" cm="1">
        <f t="array" ref="T100">_xlfn.IFS(C100="Calandra",0.4,C100="Felpagem",0.3,C100="Dublagem Spun",0.8,C100="Dublagem Cretone",0.8,C100="Dublagem Cretone PES",0.8,C100="Espelhamento",0.8,C100="Peletização",0.5,C100="Dublagem Spun - MO",0.8,C100="Dublagem Cretone - MO",0.8,C100="Dublagem Cretone PES - MO",0.8,C100="Espelhamento - MO",0.8,C100="Emborrachamento",1,C100="Malha",0,C100="Dublagem Barreira",1,C100="Pel. + Cal.",0.4,C100="Fel. + Pel. + Cal.",0.5,C100="Pel. + Spun",0.8,C100="Espelhamento - L: 1,45m",0.8,C100="Espelhamento - L: 1,65m",0.8,C100="Estampagem",1,C100="Fel. + Cal.",0.4,C100="Dublagem Juta",0.8,C100="Dublagem Cretone - MO (Juta)",0.8,C100="Dublagem Tapete",0.8,C100="Esp. + Pel.",0.8,C100="Espelhamento 2x",0.8)</f>
        <v>#N/A</v>
      </c>
      <c r="U100" s="18">
        <v>1</v>
      </c>
      <c r="V100" s="18">
        <v>1</v>
      </c>
      <c r="W100" s="18"/>
      <c r="X100" s="18">
        <v>39.67</v>
      </c>
      <c r="Y100" s="18">
        <v>38.51</v>
      </c>
      <c r="Z100" s="18">
        <v>116.78</v>
      </c>
      <c r="AA100" s="18"/>
    </row>
    <row r="101" spans="1:27" ht="14.25" customHeight="1" x14ac:dyDescent="0.35">
      <c r="A101" s="18"/>
      <c r="B101" s="76" t="s">
        <v>157</v>
      </c>
      <c r="C101" s="23" t="s">
        <v>98</v>
      </c>
      <c r="D101" s="23" t="s">
        <v>515</v>
      </c>
      <c r="E101" s="24">
        <v>1</v>
      </c>
      <c r="F101" s="25">
        <v>4.0999999999999996</v>
      </c>
      <c r="G101" s="25">
        <v>4.78</v>
      </c>
      <c r="H101" s="26" t="s">
        <v>243</v>
      </c>
      <c r="I101" s="27">
        <f t="shared" si="34"/>
        <v>4.78</v>
      </c>
      <c r="J101" s="28">
        <v>46036</v>
      </c>
      <c r="K101" s="29" t="s">
        <v>259</v>
      </c>
      <c r="L101" s="30">
        <f t="shared" si="35"/>
        <v>3.3171999999999997</v>
      </c>
      <c r="M101" s="30">
        <f>'Custos insumos'!L3</f>
        <v>0.73080000000000001</v>
      </c>
      <c r="N101" s="30">
        <f>'Custos insumos'!L19</f>
        <v>0.73199999999999998</v>
      </c>
      <c r="O101" s="18"/>
      <c r="P101" s="53" t="e">
        <f t="shared" si="36"/>
        <v>#N/A</v>
      </c>
      <c r="Q101" s="50" t="e">
        <f t="shared" si="37"/>
        <v>#N/A</v>
      </c>
      <c r="R101" s="50" t="e" cm="1">
        <f t="array" ref="R101">_xlfn.IFS(C101="Calandra",(350),C101="Peletização",(421),C101="Dublagem Spun",(250),C101="Dublagem Cretone PES",(180),C101="Felpagem",(270/E101),C101="Emborrachamento",(200),C101="Espelhamento",(250),C101="Malha",(1),C101="Dublagem Cretone",(180),C101="Malha",(1),C101="Dublagem Spun - MO",250,C101="Dublagem Cretone - MO",180,C101="Dublagem Cretone PES - MO",180,C101="Espelhamento - MO",250,C101="Emborrachamento",100,C101="Malha",0,C101="Dublagem Barreira",100,C101="Pel. + Cal.",350,C101="Fel. + Pel. + Cal.",270,C101="Pel. + Spun",250,C101="Espelhamento - L: 1,45m",200,C101="Espelhamento - L: 1,65m",200,C101="Estampagem",100,C101="Fel. + Cal.",270,C101="Dublagem Juta",180,C101="Dublagem Cretone - MO (Juta)",180,C101="Dublagem Tapete",150,C101="Esp. + Pel.",200,C101="Espelhamento 2x",100)</f>
        <v>#N/A</v>
      </c>
      <c r="S101" s="50" t="e">
        <f t="shared" si="38"/>
        <v>#N/A</v>
      </c>
      <c r="T101" s="18" t="e" cm="1">
        <f t="array" ref="T101">_xlfn.IFS(C101="Calandra",0.4,C101="Felpagem",0.3,C101="Dublagem Spun",0.8,C101="Dublagem Cretone",0.8,C101="Dublagem Cretone PES",0.8,C101="Espelhamento",0.8,C101="Peletização",0.5,C101="Dublagem Spun - MO",0.8,C101="Dublagem Cretone - MO",0.8,C101="Dublagem Cretone PES - MO",0.8,C101="Espelhamento - MO",0.8,C101="Emborrachamento",1,C101="Malha",0,C101="Dublagem Barreira",1,C101="Pel. + Cal.",0.4,C101="Fel. + Pel. + Cal.",0.5,C101="Pel. + Spun",0.8,C101="Espelhamento - L: 1,45m",0.8,C101="Espelhamento - L: 1,65m",0.8,C101="Estampagem",1,C101="Fel. + Cal.",0.4,C101="Dublagem Juta",0.8,C101="Dublagem Cretone - MO (Juta)",0.8,C101="Dublagem Tapete",0.8,C101="Esp. + Pel.",0.8,C101="Espelhamento 2x",0.8)</f>
        <v>#N/A</v>
      </c>
      <c r="U101" s="18">
        <v>1</v>
      </c>
      <c r="V101" s="18">
        <v>1</v>
      </c>
      <c r="W101" s="18"/>
      <c r="X101" s="18">
        <v>39.67</v>
      </c>
      <c r="Y101" s="18">
        <v>38.51</v>
      </c>
      <c r="Z101" s="18">
        <v>116.78</v>
      </c>
      <c r="AA101" s="18"/>
    </row>
    <row r="102" spans="1:27" ht="14.25" customHeight="1" x14ac:dyDescent="0.35">
      <c r="A102" s="18"/>
      <c r="B102" s="76" t="s">
        <v>157</v>
      </c>
      <c r="C102" s="23" t="s">
        <v>518</v>
      </c>
      <c r="D102" s="23" t="s">
        <v>520</v>
      </c>
      <c r="E102" s="24">
        <v>1</v>
      </c>
      <c r="F102" s="25">
        <v>4.0999999999999996</v>
      </c>
      <c r="G102" s="25">
        <v>8.15</v>
      </c>
      <c r="H102" s="26" t="s">
        <v>243</v>
      </c>
      <c r="I102" s="27">
        <f t="shared" si="34"/>
        <v>8.15</v>
      </c>
      <c r="J102" s="28">
        <v>46036</v>
      </c>
      <c r="K102" s="29" t="s">
        <v>259</v>
      </c>
      <c r="L102" s="30">
        <f t="shared" si="35"/>
        <v>2.8532200000000008</v>
      </c>
      <c r="M102" s="30">
        <f>'Custos insumos'!J32+'Custos insumos'!N3</f>
        <v>3.8807799999999997</v>
      </c>
      <c r="N102" s="30">
        <f>'Custos insumos'!L20</f>
        <v>1.4159999999999999</v>
      </c>
      <c r="O102" s="18"/>
      <c r="P102" s="53" t="e">
        <f t="shared" si="36"/>
        <v>#N/A</v>
      </c>
      <c r="Q102" s="50" t="e">
        <f t="shared" si="37"/>
        <v>#N/A</v>
      </c>
      <c r="R102" s="50" t="e" cm="1">
        <f t="array" ref="R102">_xlfn.IFS(C102="Calandra",(350),C102="Peletização",(421),C102="Dublagem Spun",(250),C102="Dublagem Cretone PES",(180),C102="Felpagem",(270/E102),C102="Emborrachamento",(200),C102="Espelhamento",(250),C102="Malha",(1),C102="Dublagem Cretone",(180),C102="Malha",(1),C102="Dublagem Spun - MO",250,C102="Dublagem Cretone - MO",180,C102="Dublagem Cretone PES - MO",180,C102="Espelhamento - MO",250,C102="Emborrachamento",100,C102="Malha",0,C102="Dublagem Barreira",100,C102="Pel. + Cal.",350,C102="Fel. + Pel. + Cal.",270,C102="Pel. + Spun",250,C102="Espelhamento - L: 1,45m",200,C102="Espelhamento - L: 1,65m",200,C102="Estampagem",100,C102="Fel. + Cal.",270,C102="Dublagem Juta",180,C102="Dublagem Cretone - MO (Juta)",180,C102="Dublagem Tapete",150,C102="Esp. + Pel.",200,C102="Espelhamento 2x",100)</f>
        <v>#N/A</v>
      </c>
      <c r="S102" s="50" t="e">
        <f t="shared" si="38"/>
        <v>#N/A</v>
      </c>
      <c r="T102" s="18" t="e" cm="1">
        <f t="array" ref="T102">_xlfn.IFS(C102="Calandra",0.4,C102="Felpagem",0.3,C102="Dublagem Spun",0.8,C102="Dublagem Cretone",0.8,C102="Dublagem Cretone PES",0.8,C102="Espelhamento",0.8,C102="Peletização",0.5,C102="Dublagem Spun - MO",0.8,C102="Dublagem Cretone - MO",0.8,C102="Dublagem Cretone PES - MO",0.8,C102="Espelhamento - MO",0.8,C102="Emborrachamento",1,C102="Malha",0,C102="Dublagem Barreira",1,C102="Pel. + Cal.",0.4,C102="Fel. + Pel. + Cal.",0.5,C102="Pel. + Spun",0.8,C102="Espelhamento - L: 1,45m",0.8,C102="Espelhamento - L: 1,65m",0.8,C102="Estampagem",1,C102="Fel. + Cal.",0.4,C102="Dublagem Juta",0.8,C102="Dublagem Cretone - MO (Juta)",0.8,C102="Dublagem Tapete",0.8,C102="Esp. + Pel.",0.8,C102="Espelhamento 2x",0.8)</f>
        <v>#N/A</v>
      </c>
      <c r="U102" s="18">
        <v>1</v>
      </c>
      <c r="V102" s="18">
        <v>1</v>
      </c>
      <c r="W102" s="18"/>
      <c r="X102" s="18">
        <v>39.67</v>
      </c>
      <c r="Y102" s="18">
        <v>38.51</v>
      </c>
      <c r="Z102" s="18">
        <v>116.78</v>
      </c>
      <c r="AA102" s="18"/>
    </row>
    <row r="103" spans="1:27" ht="14.25" customHeight="1" x14ac:dyDescent="0.35">
      <c r="A103" s="18"/>
      <c r="B103" s="76" t="s">
        <v>157</v>
      </c>
      <c r="C103" s="23" t="s">
        <v>518</v>
      </c>
      <c r="D103" s="23" t="s">
        <v>519</v>
      </c>
      <c r="E103" s="24">
        <v>1</v>
      </c>
      <c r="F103" s="25">
        <v>4.0999999999999996</v>
      </c>
      <c r="G103" s="25">
        <f>G102+0.17</f>
        <v>8.32</v>
      </c>
      <c r="H103" s="26" t="s">
        <v>243</v>
      </c>
      <c r="I103" s="27">
        <f t="shared" si="32"/>
        <v>8.32</v>
      </c>
      <c r="J103" s="28">
        <v>46036</v>
      </c>
      <c r="K103" s="29" t="s">
        <v>259</v>
      </c>
      <c r="L103" s="30">
        <f t="shared" si="33"/>
        <v>2.8405724137931041</v>
      </c>
      <c r="M103" s="30">
        <f>'Custos insumos'!J33+'Custos insumos'!N4</f>
        <v>4.0145999999999997</v>
      </c>
      <c r="N103" s="30">
        <f>'Custos insumos'!L20/1.45*1.5</f>
        <v>1.4648275862068965</v>
      </c>
      <c r="O103" s="18"/>
      <c r="P103" s="53" t="e">
        <f t="shared" si="23"/>
        <v>#N/A</v>
      </c>
      <c r="Q103" s="50" t="e">
        <f t="shared" si="24"/>
        <v>#N/A</v>
      </c>
      <c r="R103" s="50" t="e" cm="1">
        <f t="array" ref="R103">_xlfn.IFS(C103="Calandra",(350),C103="Peletização",(421),C103="Dublagem Spun",(250),C103="Dublagem Cretone PES",(180),C103="Felpagem",(270/E103),C103="Emborrachamento",(200),C103="Espelhamento",(250),C103="Malha",(1),C103="Dublagem Cretone",(180),C103="Malha",(1),C103="Dublagem Spun - MO",250,C103="Dublagem Cretone - MO",180,C103="Dublagem Cretone PES - MO",180,C103="Espelhamento - MO",250,C103="Emborrachamento",100,C103="Malha",0,C103="Dublagem Barreira",100,C103="Pel. + Cal.",350,C103="Fel. + Pel. + Cal.",270,C103="Pel. + Spun",250,C103="Espelhamento - L: 1,45m",200,C103="Espelhamento - L: 1,65m",200,C103="Estampagem",100,C103="Fel. + Cal.",270,C103="Dublagem Juta",180,C103="Dublagem Cretone - MO (Juta)",180,C103="Dublagem Tapete",150,C103="Esp. + Pel.",200,C103="Espelhamento 2x",100)</f>
        <v>#N/A</v>
      </c>
      <c r="S103" s="50" t="e">
        <f t="shared" si="31"/>
        <v>#N/A</v>
      </c>
      <c r="T103" s="18" t="e" cm="1">
        <f t="array" ref="T103">_xlfn.IFS(C103="Calandra",0.4,C103="Felpagem",0.3,C103="Dublagem Spun",0.8,C103="Dublagem Cretone",0.8,C103="Dublagem Cretone PES",0.8,C103="Espelhamento",0.8,C103="Peletização",0.5,C103="Dublagem Spun - MO",0.8,C103="Dublagem Cretone - MO",0.8,C103="Dublagem Cretone PES - MO",0.8,C103="Espelhamento - MO",0.8,C103="Emborrachamento",1,C103="Malha",0,C103="Dublagem Barreira",1,C103="Pel. + Cal.",0.4,C103="Fel. + Pel. + Cal.",0.5,C103="Pel. + Spun",0.8,C103="Espelhamento - L: 1,45m",0.8,C103="Espelhamento - L: 1,65m",0.8,C103="Estampagem",1,C103="Fel. + Cal.",0.4,C103="Dublagem Juta",0.8,C103="Dublagem Cretone - MO (Juta)",0.8,C103="Dublagem Tapete",0.8,C103="Esp. + Pel.",0.8,C103="Espelhamento 2x",0.8)</f>
        <v>#N/A</v>
      </c>
      <c r="U103" s="18">
        <v>1</v>
      </c>
      <c r="V103" s="18">
        <v>1</v>
      </c>
      <c r="W103" s="18"/>
      <c r="X103" s="18">
        <v>39.67</v>
      </c>
      <c r="Y103" s="18">
        <v>38.51</v>
      </c>
      <c r="Z103" s="18">
        <v>116.78</v>
      </c>
      <c r="AA103" s="18"/>
    </row>
    <row r="104" spans="1:27" ht="14.25" customHeight="1" x14ac:dyDescent="0.35">
      <c r="A104" s="18"/>
      <c r="B104" s="22" t="s">
        <v>162</v>
      </c>
      <c r="C104" s="23" t="s">
        <v>144</v>
      </c>
      <c r="D104" s="23"/>
      <c r="E104" s="24">
        <v>1</v>
      </c>
      <c r="F104" s="25">
        <v>0.65</v>
      </c>
      <c r="G104" s="25">
        <v>0.7</v>
      </c>
      <c r="H104" s="26" t="s">
        <v>243</v>
      </c>
      <c r="I104" s="27">
        <f t="shared" si="32"/>
        <v>0.7</v>
      </c>
      <c r="J104" s="28">
        <v>46036</v>
      </c>
      <c r="K104" s="29"/>
      <c r="L104" s="30">
        <f t="shared" si="33"/>
        <v>0.7</v>
      </c>
      <c r="M104" s="30">
        <f>IF(B104="Texion Textil",0,IF(C104="Malha",'Custos insumos'!$B$24,IF(C104="Dublagem Cretone",'Custos insumos'!$D$7,IF(C104="Dublagem Spun",'Custos insumos'!$D$4,IF(C104="Espelhamento",'Custos insumos'!$B$11,IF(C104="Espelhamento 2x",2*'Custos insumos'!$B$11,IF(C104="Esp. + Pel.",'Custos insumos'!$B$11,IF(C104="Pel. + Spun",'Custos insumos'!$D$4,IF(C104="Dublagem Cretone PES",'Custos insumos'!$D$7,IF(C104="Dublagem Barreira",'Custos insumos'!$D$11,IF(C104="Dublagem - MO + Filme",'Custos insumos'!$D$4,IF(C104="Dublagem Cretone HM50",'Custos insumos'!$D$26,IF(C104="Dublagem Cretone HM70",'Custos insumos'!$F$10,)))))))))))))</f>
        <v>0</v>
      </c>
      <c r="N104" s="30">
        <f>IF(B104="Texion Textil",0,IF(B104="Três Elos",0,IF(C104="Malha",0,IF(C104="Dublagem Cretone",'Custos insumos'!$D$23,IF(C104="Dublagem Spun",'Custos insumos'!$D$16,IF(C104="Espelhamento",0,IF(C104="Espelhamento 2x",0,IF(C104="Esp. + Pel.",0,IF(C104="Pel. + Spun",'Custos insumos'!$D$16,IF(C104="Dublagem Cretone PES",'Custos insumos'!$F$25,IF(C104="Dublagem Barreira",'Custos insumos'!$D$22,)))))))))))</f>
        <v>0</v>
      </c>
      <c r="O104" s="18"/>
      <c r="P104" s="53">
        <f t="shared" si="23"/>
        <v>0.40575161180861891</v>
      </c>
      <c r="Q104" s="50">
        <f t="shared" si="24"/>
        <v>294.7</v>
      </c>
      <c r="R104" s="50" cm="1">
        <f t="array" ref="R104">_xlfn.IFS(C104="Calandra",(350),C104="Peletização",(421),C104="Dublagem Spun",(250),C104="Dublagem Cretone PES",(180),C104="Felpagem",(270/E104),C104="Emborrachamento",(200),C104="Espelhamento",(250),C104="Malha",(1),C104="Dublagem Cretone",(180),C104="Malha",(1),C104="Dublagem Spun - MO",250,C104="Dublagem Cretone - MO",180,C104="Dublagem Cretone PES - MO",180,C104="Espelhamento - MO",250,C104="Emborrachamento",100,C104="Malha",0,C104="Dublagem Barreira",100,C104="Pel. + Cal.",350,C104="Fel. + Pel. + Cal.",270,C104="Pel. + Spun",250,C104="Espelhamento - L: 1,45m",200,C104="Espelhamento - L: 1,65m",200,C104="Estampagem",100,C104="Fel. + Cal.",270,C104="Dublagem Juta",180,C104="Dublagem Cretone - MO (Juta)",180,C104="Dublagem Tapete",150,C104="Esp. + Pel.",200,C104="Espelhamento 2x",100)</f>
        <v>421</v>
      </c>
      <c r="S104" s="50">
        <f t="shared" si="31"/>
        <v>175.125</v>
      </c>
      <c r="T104" s="18" cm="1">
        <f t="array" ref="T104">_xlfn.IFS(C104="Calandra",0.4,C104="Felpagem",0.3,C104="Dublagem Spun",0.8,C104="Dublagem Cretone",0.8,C104="Dublagem Cretone PES",0.8,C104="Espelhamento",0.8,C104="Peletização",0.5,C104="Dublagem Spun - MO",0.8,C104="Dublagem Cretone - MO",0.8,C104="Dublagem Cretone PES - MO",0.8,C104="Espelhamento - MO",0.8,C104="Emborrachamento",1,C104="Malha",0,C104="Dublagem Barreira",1,C104="Pel. + Cal.",0.4,C104="Fel. + Pel. + Cal.",0.5,C104="Pel. + Spun",0.8,C104="Espelhamento - L: 1,45m",0.8,C104="Espelhamento - L: 1,65m",0.8,C104="Estampagem",1,C104="Fel. + Cal.",0.4,C104="Dublagem Juta",0.8,C104="Dublagem Cretone - MO (Juta)",0.8,C104="Dublagem Tapete",0.8,C104="Esp. + Pel.",0.8,C104="Espelhamento 2x",0.8)</f>
        <v>0.5</v>
      </c>
      <c r="U104" s="18">
        <v>1</v>
      </c>
      <c r="V104" s="18">
        <v>1</v>
      </c>
      <c r="W104" s="18"/>
      <c r="X104" s="18">
        <v>39.67</v>
      </c>
      <c r="Y104" s="18">
        <v>38.51</v>
      </c>
      <c r="Z104" s="18">
        <v>116.78</v>
      </c>
      <c r="AA104" s="18"/>
    </row>
    <row r="105" spans="1:27" ht="14.25" customHeight="1" x14ac:dyDescent="0.35">
      <c r="A105" s="18"/>
      <c r="B105" s="22" t="s">
        <v>162</v>
      </c>
      <c r="C105" s="23" t="s">
        <v>251</v>
      </c>
      <c r="D105" s="23"/>
      <c r="E105" s="24">
        <v>1</v>
      </c>
      <c r="F105" s="25">
        <v>5.9</v>
      </c>
      <c r="G105" s="25">
        <v>5.9</v>
      </c>
      <c r="H105" s="26" t="s">
        <v>243</v>
      </c>
      <c r="I105" s="27">
        <f t="shared" si="32"/>
        <v>5.9</v>
      </c>
      <c r="J105" s="28">
        <v>46036</v>
      </c>
      <c r="K105" s="29"/>
      <c r="L105" s="30">
        <f t="shared" si="33"/>
        <v>1.6080000000000005</v>
      </c>
      <c r="M105" s="30">
        <f>IF(B105="Texion Textil",0,IF(C105="Malha",'Custos insumos'!$B$24,IF(C105="Dublagem Cretone",'Custos insumos'!$D$7,IF(C105="Dublagem Spun",'Custos insumos'!$D$4,IF(C105="Espelhamento",'Custos insumos'!$B$11,IF(C105="Espelhamento 2x",2*'Custos insumos'!$B$11,IF(C105="Esp. + Pel.",'Custos insumos'!$B$11,IF(C105="Pel. + Spun",'Custos insumos'!$D$4,IF(C105="Dublagem Cretone PES",'Custos insumos'!$D$7,IF(C105="Dublagem Barreira",'Custos insumos'!$D$11,IF(C105="Dublagem - MO + Filme",'Custos insumos'!$D$4,IF(C105="Dublagem Cretone HM50",'Custos insumos'!$D$26,IF(C105="Dublagem Cretone HM70",'Custos insumos'!$F$10,)))))))))))))</f>
        <v>1.962</v>
      </c>
      <c r="N105" s="30">
        <v>2.33</v>
      </c>
      <c r="O105" s="18"/>
      <c r="P105" s="53">
        <f t="shared" si="23"/>
        <v>9.6435028248587559E-2</v>
      </c>
      <c r="Q105" s="50">
        <f t="shared" si="24"/>
        <v>1062</v>
      </c>
      <c r="R105" s="50" cm="1">
        <f t="array" ref="R105">_xlfn.IFS(C105="Calandra",(350),C105="Peletização",(421),C105="Dublagem Spun",(250),C105="Dublagem Cretone PES",(180),C105="Felpagem",(270/E105),C105="Emborrachamento",(200),C105="Espelhamento",(250),C105="Malha",(1),C105="Dublagem Cretone",(180),C105="Malha",(1),C105="Dublagem Spun - MO",250,C105="Dublagem Cretone - MO",180,C105="Dublagem Cretone PES - MO",180,C105="Espelhamento - MO",250,C105="Emborrachamento",100,C105="Malha",0,C105="Dublagem Barreira",100,C105="Pel. + Cal.",350,C105="Fel. + Pel. + Cal.",270,C105="Pel. + Spun",250,C105="Espelhamento - L: 1,45m",200,C105="Espelhamento - L: 1,65m",200,C105="Estampagem",100,C105="Fel. + Cal.",270,C105="Dublagem Juta",180,C105="Dublagem Cretone - MO (Juta)",180,C105="Dublagem Tapete",150,C105="Esp. + Pel.",200,C105="Espelhamento 2x",100)</f>
        <v>180</v>
      </c>
      <c r="S105" s="50">
        <f t="shared" si="31"/>
        <v>959.58600000000001</v>
      </c>
      <c r="T105" s="18" cm="1">
        <f t="array" ref="T105">_xlfn.IFS(C105="Calandra",0.4,C105="Felpagem",0.3,C105="Dublagem Spun",0.8,C105="Dublagem Cretone",0.8,C105="Dublagem Cretone PES",0.8,C105="Espelhamento",0.8,C105="Peletização",0.5,C105="Dublagem Spun - MO",0.8,C105="Dublagem Cretone - MO",0.8,C105="Dublagem Cretone PES - MO",0.8,C105="Espelhamento - MO",0.8,C105="Emborrachamento",1,C105="Malha",0,C105="Dublagem Barreira",1,C105="Pel. + Cal.",0.4,C105="Fel. + Pel. + Cal.",0.5,C105="Pel. + Spun",0.8,C105="Espelhamento - L: 1,45m",0.8,C105="Espelhamento - L: 1,65m",0.8,C105="Estampagem",1,C105="Fel. + Cal.",0.4,C105="Dublagem Juta",0.8,C105="Dublagem Cretone - MO (Juta)",0.8,C105="Dublagem Tapete",0.8,C105="Esp. + Pel.",0.8,C105="Espelhamento 2x",0.8)</f>
        <v>0.8</v>
      </c>
      <c r="U105" s="18">
        <v>1</v>
      </c>
      <c r="V105" s="18">
        <v>1</v>
      </c>
      <c r="W105" s="18"/>
      <c r="X105" s="18">
        <v>39.67</v>
      </c>
      <c r="Y105" s="18">
        <v>38.51</v>
      </c>
      <c r="Z105" s="18">
        <v>116.78</v>
      </c>
      <c r="AA105" s="18"/>
    </row>
    <row r="106" spans="1:27" ht="14.25" customHeight="1" x14ac:dyDescent="0.35">
      <c r="A106" s="18"/>
      <c r="B106" s="22" t="s">
        <v>300</v>
      </c>
      <c r="C106" s="23" t="s">
        <v>251</v>
      </c>
      <c r="D106" s="23" t="s">
        <v>239</v>
      </c>
      <c r="E106" s="24">
        <v>1</v>
      </c>
      <c r="F106" s="25">
        <v>1.05</v>
      </c>
      <c r="G106" s="25">
        <v>1.05</v>
      </c>
      <c r="H106" s="26" t="s">
        <v>243</v>
      </c>
      <c r="I106" s="27">
        <f t="shared" si="32"/>
        <v>1.05</v>
      </c>
      <c r="J106" s="28">
        <v>46036</v>
      </c>
      <c r="K106" s="29" t="s">
        <v>239</v>
      </c>
      <c r="L106" s="30">
        <f t="shared" ref="L106:L117" si="39">G106-M106-N106</f>
        <v>1.05</v>
      </c>
      <c r="M106" s="30">
        <v>0</v>
      </c>
      <c r="N106" s="30">
        <v>0</v>
      </c>
      <c r="O106" s="18"/>
      <c r="P106" s="53">
        <f t="shared" si="23"/>
        <v>1.044444444444439E-2</v>
      </c>
      <c r="Q106" s="50">
        <f t="shared" si="24"/>
        <v>189</v>
      </c>
      <c r="R106" s="50" cm="1">
        <f t="array" ref="R106">_xlfn.IFS(C106="Calandra",(350),C106="Peletização",(421),C106="Dublagem Spun",(250),C106="Dublagem Cretone PES",(180),C106="Felpagem",(270/E106),C106="Emborrachamento",(200),C106="Espelhamento",(250),C106="Malha",(1),C106="Dublagem Cretone",(180),C106="Malha",(1),C106="Dublagem Spun - MO",250,C106="Dublagem Cretone - MO",180,C106="Dublagem Cretone PES - MO",180,C106="Espelhamento - MO",250,C106="Emborrachamento",100,C106="Malha",0,C106="Dublagem Barreira",100,C106="Pel. + Cal.",350,C106="Fel. + Pel. + Cal.",270,C106="Pel. + Spun",250,C106="Espelhamento - L: 1,45m",200,C106="Espelhamento - L: 1,65m",200,C106="Estampagem",100,C106="Fel. + Cal.",270,C106="Dublagem Juta",180,C106="Dublagem Cretone - MO (Juta)",180,C106="Dublagem Tapete",150,C106="Esp. + Pel.",200,C106="Espelhamento 2x",100)</f>
        <v>180</v>
      </c>
      <c r="S106" s="50">
        <f t="shared" si="31"/>
        <v>187.02600000000001</v>
      </c>
      <c r="T106" s="18" cm="1">
        <f t="array" ref="T106">_xlfn.IFS(C106="Calandra",0.4,C106="Felpagem",0.3,C106="Dublagem Spun",0.8,C106="Dublagem Cretone",0.8,C106="Dublagem Cretone PES",0.8,C106="Espelhamento",0.8,C106="Peletização",0.5,C106="Dublagem Spun - MO",0.8,C106="Dublagem Cretone - MO",0.8,C106="Dublagem Cretone PES - MO",0.8,C106="Espelhamento - MO",0.8,C106="Emborrachamento",1,C106="Malha",0,C106="Dublagem Barreira",1,C106="Pel. + Cal.",0.4,C106="Fel. + Pel. + Cal.",0.5,C106="Pel. + Spun",0.8,C106="Espelhamento - L: 1,45m",0.8,C106="Espelhamento - L: 1,65m",0.8,C106="Estampagem",1,C106="Fel. + Cal.",0.4,C106="Dublagem Juta",0.8,C106="Dublagem Cretone - MO (Juta)",0.8,C106="Dublagem Tapete",0.8,C106="Esp. + Pel.",0.8,C106="Espelhamento 2x",0.8)</f>
        <v>0.8</v>
      </c>
      <c r="U106" s="18">
        <v>1</v>
      </c>
      <c r="V106" s="18">
        <v>1</v>
      </c>
      <c r="W106" s="18"/>
      <c r="X106" s="18">
        <v>39.67</v>
      </c>
      <c r="Y106" s="18">
        <v>38.51</v>
      </c>
      <c r="Z106" s="18">
        <v>116.78</v>
      </c>
      <c r="AA106" s="18"/>
    </row>
    <row r="107" spans="1:27" ht="14.25" customHeight="1" x14ac:dyDescent="0.35">
      <c r="A107" s="18"/>
      <c r="B107" s="22" t="s">
        <v>300</v>
      </c>
      <c r="C107" s="23" t="s">
        <v>365</v>
      </c>
      <c r="D107" s="23" t="s">
        <v>239</v>
      </c>
      <c r="E107" s="24">
        <v>1</v>
      </c>
      <c r="F107" s="25">
        <v>1.6</v>
      </c>
      <c r="G107" s="25">
        <v>1.6</v>
      </c>
      <c r="H107" s="26" t="s">
        <v>243</v>
      </c>
      <c r="I107" s="27">
        <f t="shared" ref="I107:I108" si="40">G107/E107</f>
        <v>1.6</v>
      </c>
      <c r="J107" s="28">
        <v>46036</v>
      </c>
      <c r="K107" s="29" t="s">
        <v>239</v>
      </c>
      <c r="L107" s="30">
        <f t="shared" ref="L107:L108" si="41">G107-M107-N107</f>
        <v>1.6</v>
      </c>
      <c r="M107" s="30">
        <f>IF(B107="Texion Textil",0,IF(C107="Malha",'Custos insumos'!$B$24,IF(C107="Dublagem Cretone",'Custos insumos'!$D$7,IF(C107="Dublagem Spun",'Custos insumos'!$D$4,IF(C107="Espelhamento",'Custos insumos'!$B$11,IF(C107="Espelhamento 2x",2*'Custos insumos'!$B$11,IF(C107="Esp. + Pel.",'Custos insumos'!$B$11,IF(C107="Pel. + Spun",'Custos insumos'!$D$4,IF(C107="Dublagem Cretone PES",'Custos insumos'!$D$7,IF(C107="Dublagem Barreira",'Custos insumos'!$D$11,IF(C107="Dublagem - MO + Filme",'Custos insumos'!$D$4,IF(C107="Dublagem Cretone HM50",'Custos insumos'!$D$26,IF(C107="Dublagem Cretone HM70",'Custos insumos'!$F$10,)))))))))))))</f>
        <v>0</v>
      </c>
      <c r="N107" s="30">
        <f>IF(B107="Texion Textil",0,IF(B107="Três Elos",0,IF(C107="Malha",0,IF(C107="Dublagem Cretone",'Custos insumos'!$D$23,IF(C107="Dublagem Spun",'Custos insumos'!$D$16,IF(C107="Espelhamento",0,IF(C107="Espelhamento 2x",0,IF(C107="Esp. + Pel.",0,IF(C107="Pel. + Spun",'Custos insumos'!$D$16,IF(C107="Dublagem Cretone PES",'Custos insumos'!$F$25,IF(C107="Dublagem Barreira",'Custos insumos'!$D$22,)))))))))))</f>
        <v>0</v>
      </c>
      <c r="O107" s="18"/>
      <c r="P107" s="53" t="e">
        <f t="shared" ref="P107:P108" si="42">(Q107-S107)/Q107</f>
        <v>#N/A</v>
      </c>
      <c r="Q107" s="50" t="e">
        <f t="shared" ref="Q107:Q108" si="43">G107*R107</f>
        <v>#N/A</v>
      </c>
      <c r="R107" s="50" t="e" cm="1">
        <f t="array" ref="R107">_xlfn.IFS(C107="Calandra",(350),C107="Peletização",(421),C107="Dublagem Spun",(250),C107="Dublagem Cretone PES",(180),C107="Felpagem",(270/E107),C107="Emborrachamento",(200),C107="Espelhamento",(250),C107="Malha",(1),C107="Dublagem Cretone",(180),C107="Malha",(1),C107="Dublagem Spun - MO",250,C107="Dublagem Cretone - MO",180,C107="Dublagem Cretone PES - MO",180,C107="Espelhamento - MO",250,C107="Emborrachamento",100,C107="Malha",0,C107="Dublagem Barreira",100,C107="Pel. + Cal.",350,C107="Fel. + Pel. + Cal.",270,C107="Pel. + Spun",250,C107="Espelhamento - L: 1,45m",200,C107="Espelhamento - L: 1,65m",200,C107="Estampagem",100,C107="Fel. + Cal.",270,C107="Dublagem Juta",180,C107="Dublagem Cretone - MO (Juta)",180,C107="Dublagem Tapete",150,C107="Esp. + Pel.",200,C107="Espelhamento 2x",100)</f>
        <v>#N/A</v>
      </c>
      <c r="S107" s="50" t="e">
        <f t="shared" ref="S107:S108" si="44">(T107*X107)+(U107*Y107)+(V107*Z107)+((M107+N107)*(R107))</f>
        <v>#N/A</v>
      </c>
      <c r="T107" s="18" t="e" cm="1">
        <f t="array" ref="T107">_xlfn.IFS(C107="Calandra",0.4,C107="Felpagem",0.3,C107="Dublagem Spun",0.8,C107="Dublagem Cretone",0.8,C107="Dublagem Cretone PES",0.8,C107="Espelhamento",0.8,C107="Peletização",0.5,C107="Dublagem Spun - MO",0.8,C107="Dublagem Cretone - MO",0.8,C107="Dublagem Cretone PES - MO",0.8,C107="Espelhamento - MO",0.8,C107="Emborrachamento",1,C107="Malha",0,C107="Dublagem Barreira",1,C107="Pel. + Cal.",0.4,C107="Fel. + Pel. + Cal.",0.5,C107="Pel. + Spun",0.8,C107="Espelhamento - L: 1,45m",0.8,C107="Espelhamento - L: 1,65m",0.8,C107="Estampagem",1,C107="Fel. + Cal.",0.4,C107="Dublagem Juta",0.8,C107="Dublagem Cretone - MO (Juta)",0.8,C107="Dublagem Tapete",0.8,C107="Esp. + Pel.",0.8,C107="Espelhamento 2x",0.8)</f>
        <v>#N/A</v>
      </c>
      <c r="U107" s="18">
        <v>1</v>
      </c>
      <c r="V107" s="18">
        <v>1</v>
      </c>
      <c r="W107" s="18"/>
      <c r="X107" s="18">
        <v>39.67</v>
      </c>
      <c r="Y107" s="18">
        <v>38.51</v>
      </c>
      <c r="Z107" s="18">
        <v>116.78</v>
      </c>
      <c r="AA107" s="18"/>
    </row>
    <row r="108" spans="1:27" ht="14.25" customHeight="1" x14ac:dyDescent="0.35">
      <c r="A108" s="18"/>
      <c r="B108" s="22" t="s">
        <v>300</v>
      </c>
      <c r="C108" s="23" t="s">
        <v>144</v>
      </c>
      <c r="D108" s="23"/>
      <c r="E108" s="24">
        <v>1</v>
      </c>
      <c r="F108" s="25"/>
      <c r="G108" s="25">
        <v>0.7</v>
      </c>
      <c r="H108" s="26" t="s">
        <v>243</v>
      </c>
      <c r="I108" s="27">
        <f t="shared" si="40"/>
        <v>0.7</v>
      </c>
      <c r="J108" s="28">
        <v>46036</v>
      </c>
      <c r="K108" s="29" t="s">
        <v>239</v>
      </c>
      <c r="L108" s="30">
        <f t="shared" si="41"/>
        <v>0.7</v>
      </c>
      <c r="M108" s="30">
        <f>IF(B108="Texion Textil",0,IF(C108="Malha",'Custos insumos'!$B$24,IF(C108="Dublagem Cretone",'Custos insumos'!$D$7,IF(C108="Dublagem Spun",'Custos insumos'!$D$4,IF(C108="Espelhamento",'Custos insumos'!$B$11,IF(C108="Espelhamento 2x",2*'Custos insumos'!$B$11,IF(C108="Esp. + Pel.",'Custos insumos'!$B$11,IF(C108="Pel. + Spun",'Custos insumos'!$D$4,IF(C108="Dublagem Cretone PES",'Custos insumos'!$D$7,IF(C108="Dublagem Barreira",'Custos insumos'!$D$11,IF(C108="Dublagem - MO + Filme",'Custos insumos'!$D$4,IF(C108="Dublagem Cretone HM50",'Custos insumos'!$D$26,IF(C108="Dublagem Cretone HM70",'Custos insumos'!$F$10,)))))))))))))</f>
        <v>0</v>
      </c>
      <c r="N108" s="30">
        <f>IF(B108="Texion Textil",0,IF(B108="Três Elos",0,IF(C108="Malha",0,IF(C108="Dublagem Cretone",'Custos insumos'!$D$23,IF(C108="Dublagem Spun",'Custos insumos'!$D$16,IF(C108="Espelhamento",0,IF(C108="Espelhamento 2x",0,IF(C108="Esp. + Pel.",0,IF(C108="Pel. + Spun",'Custos insumos'!$D$16,IF(C108="Dublagem Cretone PES",'Custos insumos'!$F$25,IF(C108="Dublagem Barreira",'Custos insumos'!$D$22,)))))))))))</f>
        <v>0</v>
      </c>
      <c r="O108" s="18"/>
      <c r="P108" s="53">
        <f t="shared" si="42"/>
        <v>0.40575161180861891</v>
      </c>
      <c r="Q108" s="50">
        <f t="shared" si="43"/>
        <v>294.7</v>
      </c>
      <c r="R108" s="50" cm="1">
        <f t="array" ref="R108">_xlfn.IFS(C108="Calandra",(350),C108="Peletização",(421),C108="Dublagem Spun",(250),C108="Dublagem Cretone PES",(180),C108="Felpagem",(270/E108),C108="Emborrachamento",(200),C108="Espelhamento",(250),C108="Malha",(1),C108="Dublagem Cretone",(180),C108="Malha",(1),C108="Dublagem Spun - MO",250,C108="Dublagem Cretone - MO",180,C108="Dublagem Cretone PES - MO",180,C108="Espelhamento - MO",250,C108="Emborrachamento",100,C108="Malha",0,C108="Dublagem Barreira",100,C108="Pel. + Cal.",350,C108="Fel. + Pel. + Cal.",270,C108="Pel. + Spun",250,C108="Espelhamento - L: 1,45m",200,C108="Espelhamento - L: 1,65m",200,C108="Estampagem",100,C108="Fel. + Cal.",270,C108="Dublagem Juta",180,C108="Dublagem Cretone - MO (Juta)",180,C108="Dublagem Tapete",150,C108="Esp. + Pel.",200,C108="Espelhamento 2x",100)</f>
        <v>421</v>
      </c>
      <c r="S108" s="50">
        <f t="shared" si="44"/>
        <v>175.125</v>
      </c>
      <c r="T108" s="18" cm="1">
        <f t="array" ref="T108">_xlfn.IFS(C108="Calandra",0.4,C108="Felpagem",0.3,C108="Dublagem Spun",0.8,C108="Dublagem Cretone",0.8,C108="Dublagem Cretone PES",0.8,C108="Espelhamento",0.8,C108="Peletização",0.5,C108="Dublagem Spun - MO",0.8,C108="Dublagem Cretone - MO",0.8,C108="Dublagem Cretone PES - MO",0.8,C108="Espelhamento - MO",0.8,C108="Emborrachamento",1,C108="Malha",0,C108="Dublagem Barreira",1,C108="Pel. + Cal.",0.4,C108="Fel. + Pel. + Cal.",0.5,C108="Pel. + Spun",0.8,C108="Espelhamento - L: 1,45m",0.8,C108="Espelhamento - L: 1,65m",0.8,C108="Estampagem",1,C108="Fel. + Cal.",0.4,C108="Dublagem Juta",0.8,C108="Dublagem Cretone - MO (Juta)",0.8,C108="Dublagem Tapete",0.8,C108="Esp. + Pel.",0.8,C108="Espelhamento 2x",0.8)</f>
        <v>0.5</v>
      </c>
      <c r="U108" s="18">
        <v>1</v>
      </c>
      <c r="V108" s="18">
        <v>1</v>
      </c>
      <c r="W108" s="18"/>
      <c r="X108" s="18">
        <v>39.67</v>
      </c>
      <c r="Y108" s="18">
        <v>38.51</v>
      </c>
      <c r="Z108" s="18">
        <v>116.78</v>
      </c>
      <c r="AA108" s="18"/>
    </row>
    <row r="109" spans="1:27" ht="14.25" customHeight="1" x14ac:dyDescent="0.35">
      <c r="A109" s="18"/>
      <c r="B109" s="22" t="s">
        <v>300</v>
      </c>
      <c r="C109" s="23" t="s">
        <v>254</v>
      </c>
      <c r="D109" s="23"/>
      <c r="E109" s="24">
        <v>1</v>
      </c>
      <c r="F109" s="25"/>
      <c r="G109" s="25">
        <v>0.7</v>
      </c>
      <c r="H109" s="26" t="s">
        <v>243</v>
      </c>
      <c r="I109" s="27">
        <f t="shared" si="32"/>
        <v>0.7</v>
      </c>
      <c r="J109" s="28">
        <v>46036</v>
      </c>
      <c r="K109" s="29" t="s">
        <v>239</v>
      </c>
      <c r="L109" s="30">
        <f t="shared" si="39"/>
        <v>0.7</v>
      </c>
      <c r="M109" s="30">
        <f>IF(B109="Texion Textil",0,IF(C109="Malha",'Custos insumos'!$B$24,IF(C109="Dublagem Cretone",'Custos insumos'!$D$7,IF(C109="Dublagem Spun",'Custos insumos'!$D$4,IF(C109="Espelhamento",'Custos insumos'!$B$11,IF(C109="Espelhamento 2x",2*'Custos insumos'!$B$11,IF(C109="Esp. + Pel.",'Custos insumos'!$B$11,IF(C109="Pel. + Spun",'Custos insumos'!$D$4,IF(C109="Dublagem Cretone PES",'Custos insumos'!$D$7,IF(C109="Dublagem Barreira",'Custos insumos'!$D$11,IF(C109="Dublagem - MO + Filme",'Custos insumos'!$D$4,IF(C109="Dublagem Cretone HM50",'Custos insumos'!$D$26,IF(C109="Dublagem Cretone HM70",'Custos insumos'!$F$10,)))))))))))))</f>
        <v>0</v>
      </c>
      <c r="N109" s="30">
        <f>IF(B109="Texion Textil",0,IF(B109="Três Elos",0,IF(C109="Malha",0,IF(C109="Dublagem Cretone",'Custos insumos'!$D$23,IF(C109="Dublagem Spun",'Custos insumos'!$D$16,IF(C109="Espelhamento",0,IF(C109="Espelhamento 2x",0,IF(C109="Esp. + Pel.",0,IF(C109="Pel. + Spun",'Custos insumos'!$D$16,IF(C109="Dublagem Cretone PES",'Custos insumos'!$F$25,IF(C109="Dublagem Barreira",'Custos insumos'!$D$22,)))))))))))</f>
        <v>0</v>
      </c>
      <c r="O109" s="18"/>
      <c r="P109" s="53">
        <f t="shared" si="23"/>
        <v>0.11539153439153438</v>
      </c>
      <c r="Q109" s="50">
        <f t="shared" si="24"/>
        <v>189</v>
      </c>
      <c r="R109" s="50" cm="1">
        <f t="array" ref="R109">_xlfn.IFS(C109="Calandra",(350),C109="Peletização",(421),C109="Dublagem Spun",(250),C109="Dublagem Cretone PES",(180),C109="Felpagem",(270/E109),C109="Emborrachamento",(200),C109="Espelhamento",(250),C109="Malha",(1),C109="Dublagem Cretone",(180),C109="Malha",(1),C109="Dublagem Spun - MO",250,C109="Dublagem Cretone - MO",180,C109="Dublagem Cretone PES - MO",180,C109="Espelhamento - MO",250,C109="Emborrachamento",100,C109="Malha",0,C109="Dublagem Barreira",100,C109="Pel. + Cal.",350,C109="Fel. + Pel. + Cal.",270,C109="Pel. + Spun",250,C109="Espelhamento - L: 1,45m",200,C109="Espelhamento - L: 1,65m",200,C109="Estampagem",100,C109="Fel. + Cal.",270,C109="Dublagem Juta",180,C109="Dublagem Cretone - MO (Juta)",180,C109="Dublagem Tapete",150,C109="Esp. + Pel.",200,C109="Espelhamento 2x",100)</f>
        <v>270</v>
      </c>
      <c r="S109" s="50">
        <f t="shared" si="31"/>
        <v>167.191</v>
      </c>
      <c r="T109" s="18" cm="1">
        <f t="array" ref="T109">_xlfn.IFS(C109="Calandra",0.4,C109="Felpagem",0.3,C109="Dublagem Spun",0.8,C109="Dublagem Cretone",0.8,C109="Dublagem Cretone PES",0.8,C109="Espelhamento",0.8,C109="Peletização",0.5,C109="Dublagem Spun - MO",0.8,C109="Dublagem Cretone - MO",0.8,C109="Dublagem Cretone PES - MO",0.8,C109="Espelhamento - MO",0.8,C109="Emborrachamento",1,C109="Malha",0,C109="Dublagem Barreira",1,C109="Pel. + Cal.",0.4,C109="Fel. + Pel. + Cal.",0.5,C109="Pel. + Spun",0.8,C109="Espelhamento - L: 1,45m",0.8,C109="Espelhamento - L: 1,65m",0.8,C109="Estampagem",1,C109="Fel. + Cal.",0.4,C109="Dublagem Juta",0.8,C109="Dublagem Cretone - MO (Juta)",0.8,C109="Dublagem Tapete",0.8,C109="Esp. + Pel.",0.8,C109="Espelhamento 2x",0.8)</f>
        <v>0.3</v>
      </c>
      <c r="U109" s="18">
        <v>1</v>
      </c>
      <c r="V109" s="18">
        <v>1</v>
      </c>
      <c r="W109" s="18"/>
      <c r="X109" s="18">
        <v>39.67</v>
      </c>
      <c r="Y109" s="18">
        <v>38.51</v>
      </c>
      <c r="Z109" s="18">
        <v>116.78</v>
      </c>
      <c r="AA109" s="18"/>
    </row>
    <row r="110" spans="1:27" ht="14.25" customHeight="1" x14ac:dyDescent="0.35">
      <c r="A110" s="18"/>
      <c r="B110" s="22" t="s">
        <v>163</v>
      </c>
      <c r="C110" s="23" t="s">
        <v>254</v>
      </c>
      <c r="D110" s="23"/>
      <c r="E110" s="24">
        <v>1</v>
      </c>
      <c r="F110" s="25">
        <v>0.6</v>
      </c>
      <c r="G110" s="25">
        <v>0.7</v>
      </c>
      <c r="H110" s="26" t="s">
        <v>243</v>
      </c>
      <c r="I110" s="27">
        <f t="shared" si="32"/>
        <v>0.7</v>
      </c>
      <c r="J110" s="28">
        <v>46036</v>
      </c>
      <c r="K110" s="29"/>
      <c r="L110" s="30">
        <f t="shared" si="39"/>
        <v>0.7</v>
      </c>
      <c r="M110" s="30">
        <f>IF(B110="Texion Textil",0,IF(C110="Malha",'Custos insumos'!$B$24,IF(C110="Dublagem Cretone",'Custos insumos'!$D$7,IF(C110="Dublagem Spun",'Custos insumos'!$D$4,IF(C110="Espelhamento",'Custos insumos'!$B$11,IF(C110="Espelhamento 2x",2*'Custos insumos'!$B$11,IF(C110="Esp. + Pel.",'Custos insumos'!$B$11,IF(C110="Pel. + Spun",'Custos insumos'!$D$4,IF(C110="Dublagem Cretone PES",'Custos insumos'!$D$7,IF(C110="Dublagem Barreira",'Custos insumos'!$D$11,IF(C110="Dublagem - MO + Filme",'Custos insumos'!$D$4,IF(C110="Dublagem Cretone HM50",'Custos insumos'!$D$26,IF(C110="Dublagem Cretone HM70",'Custos insumos'!$F$10,)))))))))))))</f>
        <v>0</v>
      </c>
      <c r="N110" s="30">
        <f>IF(B110="Texion Textil",0,IF(B110="Três Elos",0,IF(C110="Malha",0,IF(C110="Dublagem Cretone",'Custos insumos'!$D$23,IF(C110="Dublagem Spun",'Custos insumos'!$D$16,IF(C110="Espelhamento",0,IF(C110="Espelhamento 2x",0,IF(C110="Esp. + Pel.",0,IF(C110="Pel. + Spun",'Custos insumos'!$D$16,IF(C110="Dublagem Cretone PES",'Custos insumos'!$F$25,IF(C110="Dublagem Barreira",'Custos insumos'!$D$22,)))))))))))</f>
        <v>0</v>
      </c>
      <c r="O110" s="18"/>
      <c r="P110" s="53">
        <f t="shared" si="23"/>
        <v>0.11539153439153438</v>
      </c>
      <c r="Q110" s="50">
        <f t="shared" si="24"/>
        <v>189</v>
      </c>
      <c r="R110" s="50" cm="1">
        <f t="array" ref="R110">_xlfn.IFS(C110="Calandra",(350),C110="Peletização",(421),C110="Dublagem Spun",(250),C110="Dublagem Cretone PES",(180),C110="Felpagem",(270/E110),C110="Emborrachamento",(200),C110="Espelhamento",(250),C110="Malha",(1),C110="Dublagem Cretone",(180),C110="Malha",(1),C110="Dublagem Spun - MO",250,C110="Dublagem Cretone - MO",180,C110="Dublagem Cretone PES - MO",180,C110="Espelhamento - MO",250,C110="Emborrachamento",100,C110="Malha",0,C110="Dublagem Barreira",100,C110="Pel. + Cal.",350,C110="Fel. + Pel. + Cal.",270,C110="Pel. + Spun",250,C110="Espelhamento - L: 1,45m",200,C110="Espelhamento - L: 1,65m",200,C110="Estampagem",100,C110="Fel. + Cal.",270,C110="Dublagem Juta",180,C110="Dublagem Cretone - MO (Juta)",180,C110="Dublagem Tapete",150,C110="Esp. + Pel.",200,C110="Espelhamento 2x",100)</f>
        <v>270</v>
      </c>
      <c r="S110" s="50">
        <f t="shared" si="31"/>
        <v>167.191</v>
      </c>
      <c r="T110" s="18" cm="1">
        <f t="array" ref="T110">_xlfn.IFS(C110="Calandra",0.4,C110="Felpagem",0.3,C110="Dublagem Spun",0.8,C110="Dublagem Cretone",0.8,C110="Dublagem Cretone PES",0.8,C110="Espelhamento",0.8,C110="Peletização",0.5,C110="Dublagem Spun - MO",0.8,C110="Dublagem Cretone - MO",0.8,C110="Dublagem Cretone PES - MO",0.8,C110="Espelhamento - MO",0.8,C110="Emborrachamento",1,C110="Malha",0,C110="Dublagem Barreira",1,C110="Pel. + Cal.",0.4,C110="Fel. + Pel. + Cal.",0.5,C110="Pel. + Spun",0.8,C110="Espelhamento - L: 1,45m",0.8,C110="Espelhamento - L: 1,65m",0.8,C110="Estampagem",1,C110="Fel. + Cal.",0.4,C110="Dublagem Juta",0.8,C110="Dublagem Cretone - MO (Juta)",0.8,C110="Dublagem Tapete",0.8,C110="Esp. + Pel.",0.8,C110="Espelhamento 2x",0.8)</f>
        <v>0.3</v>
      </c>
      <c r="U110" s="18">
        <v>1</v>
      </c>
      <c r="V110" s="18">
        <v>1</v>
      </c>
      <c r="W110" s="18"/>
      <c r="X110" s="18">
        <v>39.67</v>
      </c>
      <c r="Y110" s="18">
        <v>38.51</v>
      </c>
      <c r="Z110" s="18">
        <v>116.78</v>
      </c>
      <c r="AA110" s="18"/>
    </row>
    <row r="111" spans="1:27" ht="14.25" customHeight="1" x14ac:dyDescent="0.35">
      <c r="A111" s="18"/>
      <c r="B111" s="22" t="s">
        <v>163</v>
      </c>
      <c r="C111" s="23" t="s">
        <v>282</v>
      </c>
      <c r="D111" s="23"/>
      <c r="E111" s="24">
        <v>1</v>
      </c>
      <c r="F111" s="25">
        <v>1.8</v>
      </c>
      <c r="G111" s="25">
        <v>1.8</v>
      </c>
      <c r="H111" s="26" t="s">
        <v>243</v>
      </c>
      <c r="I111" s="27">
        <f t="shared" si="32"/>
        <v>1.8</v>
      </c>
      <c r="J111" s="28">
        <v>46036</v>
      </c>
      <c r="K111" s="29"/>
      <c r="L111" s="30">
        <f t="shared" si="39"/>
        <v>1.8</v>
      </c>
      <c r="M111" s="30">
        <f>IF(B111="Texion Textil",0,IF(C111="Malha",'Custos insumos'!$B$24,IF(C111="Dublagem Cretone",'Custos insumos'!$D$7,IF(C111="Dublagem Spun",'Custos insumos'!$D$4,IF(C111="Espelhamento",'Custos insumos'!$B$11,IF(C111="Espelhamento 2x",2*'Custos insumos'!$B$11,IF(C111="Esp. + Pel.",'Custos insumos'!$B$11,IF(C111="Pel. + Spun",'Custos insumos'!$D$4,IF(C111="Dublagem Cretone PES",'Custos insumos'!$D$7,IF(C111="Dublagem Barreira",'Custos insumos'!$D$11,IF(C111="Dublagem - MO + Filme",'Custos insumos'!$D$4,IF(C111="Dublagem Cretone HM50",'Custos insumos'!$D$26,IF(C111="Dublagem Cretone HM70",'Custos insumos'!$F$10,)))))))))))))</f>
        <v>0</v>
      </c>
      <c r="N111" s="30">
        <f>IF(B111="Texion Textil",0,IF(B111="Três Elos",0,IF(C111="Malha",0,IF(C111="Dublagem Cretone",'Custos insumos'!$D$23,IF(C111="Dublagem Spun",'Custos insumos'!$D$16,IF(C111="Espelhamento",0,IF(C111="Espelhamento 2x",0,IF(C111="Esp. + Pel.",0,IF(C111="Pel. + Spun",'Custos insumos'!$D$16,IF(C111="Dublagem Cretone PES",'Custos insumos'!$F$25,IF(C111="Dublagem Barreira",'Custos insumos'!$D$22,)))))))))))</f>
        <v>0</v>
      </c>
      <c r="O111" s="18"/>
      <c r="P111" s="53" t="e">
        <f t="shared" si="23"/>
        <v>#N/A</v>
      </c>
      <c r="Q111" s="50" t="e">
        <f t="shared" si="24"/>
        <v>#N/A</v>
      </c>
      <c r="R111" s="50" t="e" cm="1">
        <f t="array" ref="R111">_xlfn.IFS(C111="Calandra",(350),C111="Peletização",(421),C111="Dublagem Spun",(250),C111="Dublagem Cretone PES",(180),C111="Felpagem",(270/E111),C111="Emborrachamento",(200),C111="Espelhamento",(250),C111="Malha",(1),C111="Dublagem Cretone",(180),C111="Malha",(1),C111="Dublagem Spun - MO",250,C111="Dublagem Cretone - MO",180,C111="Dublagem Cretone PES - MO",180,C111="Espelhamento - MO",250,C111="Emborrachamento",100,C111="Malha",0,C111="Dublagem Barreira",100,C111="Pel. + Cal.",350,C111="Fel. + Pel. + Cal.",270,C111="Pel. + Spun",250,C111="Espelhamento - L: 1,45m",200,C111="Espelhamento - L: 1,65m",200,C111="Estampagem",100,C111="Fel. + Cal.",270,C111="Dublagem Juta",180,C111="Dublagem Cretone - MO (Juta)",180,C111="Dublagem Tapete",150,C111="Esp. + Pel.",200,C111="Espelhamento 2x",100)</f>
        <v>#N/A</v>
      </c>
      <c r="S111" s="50" t="e">
        <f t="shared" si="31"/>
        <v>#N/A</v>
      </c>
      <c r="T111" s="18" t="e" cm="1">
        <f t="array" ref="T111">_xlfn.IFS(C111="Calandra",0.4,C111="Felpagem",0.3,C111="Dublagem Spun",0.8,C111="Dublagem Cretone",0.8,C111="Dublagem Cretone PES",0.8,C111="Espelhamento",0.8,C111="Peletização",0.5,C111="Dublagem Spun - MO",0.8,C111="Dublagem Cretone - MO",0.8,C111="Dublagem Cretone PES - MO",0.8,C111="Espelhamento - MO",0.8,C111="Emborrachamento",1,C111="Malha",0,C111="Dublagem Barreira",1,C111="Pel. + Cal.",0.4,C111="Fel. + Pel. + Cal.",0.5,C111="Pel. + Spun",0.8,C111="Espelhamento - L: 1,45m",0.8,C111="Espelhamento - L: 1,65m",0.8,C111="Estampagem",1,C111="Fel. + Cal.",0.4,C111="Dublagem Juta",0.8,C111="Dublagem Cretone - MO (Juta)",0.8,C111="Dublagem Tapete",0.8,C111="Esp. + Pel.",0.8,C111="Espelhamento 2x",0.8)</f>
        <v>#N/A</v>
      </c>
      <c r="U111" s="18">
        <v>1</v>
      </c>
      <c r="V111" s="18">
        <v>1</v>
      </c>
      <c r="W111" s="18"/>
      <c r="X111" s="18">
        <v>39.67</v>
      </c>
      <c r="Y111" s="18">
        <v>38.51</v>
      </c>
      <c r="Z111" s="18">
        <v>116.78</v>
      </c>
      <c r="AA111" s="18"/>
    </row>
    <row r="112" spans="1:27" ht="14.25" customHeight="1" x14ac:dyDescent="0.35">
      <c r="A112" s="18"/>
      <c r="B112" s="22" t="s">
        <v>301</v>
      </c>
      <c r="C112" s="23" t="s">
        <v>106</v>
      </c>
      <c r="D112" s="23" t="s">
        <v>483</v>
      </c>
      <c r="E112" s="24">
        <v>1</v>
      </c>
      <c r="F112" s="25">
        <v>2.4500000000000002</v>
      </c>
      <c r="G112" s="25">
        <v>2.6950000000000003</v>
      </c>
      <c r="H112" s="26" t="s">
        <v>243</v>
      </c>
      <c r="I112" s="27">
        <f t="shared" si="32"/>
        <v>2.6950000000000003</v>
      </c>
      <c r="J112" s="28">
        <v>46036</v>
      </c>
      <c r="K112" s="29" t="s">
        <v>167</v>
      </c>
      <c r="L112" s="30">
        <f t="shared" si="39"/>
        <v>1.6364997101449277</v>
      </c>
      <c r="M112" s="30">
        <f>IF(B112="Texion Textil",0,IF(C112="Malha",'Custos insumos'!$B$24,IF(C112="Dublagem Cretone",'Custos insumos'!$D$7,IF(C112="Dublagem Spun",'Custos insumos'!$D$4,IF(C112="Espelhamento",'Custos insumos'!$B$11,IF(C112="Espelhamento 2x",2*'Custos insumos'!$B$11,IF(C112="Esp. + Pel.",'Custos insumos'!$B$11,IF(C112="Pel. + Spun",'Custos insumos'!$D$4,IF(C112="Dublagem Cretone PES",'Custos insumos'!$D$7,IF(C112="Dublagem Barreira",'Custos insumos'!$D$11,IF(C112="Dublagem - MO + Filme",'Custos insumos'!$D$4,IF(C112="Dublagem Cretone HM50",'Custos insumos'!$D$26,IF(C112="Dublagem Cretone HM70",'Custos insumos'!$F$10,)))))))))))))</f>
        <v>1.0585002898550726</v>
      </c>
      <c r="N112" s="30">
        <f>IF(B112="Texion Textil",0,IF(B112="Três Elos",0,IF(C112="Malha",0,IF(C112="Dublagem Cretone",'Custos insumos'!$D$23,IF(C112="Dublagem Spun",'Custos insumos'!$D$16,IF(C112="Espelhamento",0,IF(C112="Espelhamento 2x",0,IF(C112="Esp. + Pel.",0,IF(C112="Pel. + Spun",'Custos insumos'!$D$16,IF(C112="Dublagem Cretone PES",'Custos insumos'!$F$25,IF(C112="Dublagem Barreira",'Custos insumos'!$D$22,)))))))))))</f>
        <v>0</v>
      </c>
      <c r="O112" s="18"/>
      <c r="P112" s="53">
        <f t="shared" si="23"/>
        <v>0.32964590357882284</v>
      </c>
      <c r="Q112" s="50">
        <f t="shared" si="24"/>
        <v>673.75000000000011</v>
      </c>
      <c r="R112" s="50" cm="1">
        <f t="array" ref="R112">_xlfn.IFS(C112="Calandra",(350),C112="Peletização",(421),C112="Dublagem Spun",(250),C112="Dublagem Cretone PES",(180),C112="Felpagem",(270/E112),C112="Emborrachamento",(200),C112="Espelhamento",(250),C112="Malha",(1),C112="Dublagem Cretone",(180),C112="Malha",(1),C112="Dublagem Spun - MO",250,C112="Dublagem Cretone - MO",180,C112="Dublagem Cretone PES - MO",180,C112="Espelhamento - MO",250,C112="Emborrachamento",100,C112="Malha",0,C112="Dublagem Barreira",100,C112="Pel. + Cal.",350,C112="Fel. + Pel. + Cal.",270,C112="Pel. + Spun",250,C112="Espelhamento - L: 1,45m",200,C112="Espelhamento - L: 1,65m",200,C112="Estampagem",100,C112="Fel. + Cal.",270,C112="Dublagem Juta",180,C112="Dublagem Cretone - MO (Juta)",180,C112="Dublagem Tapete",150,C112="Esp. + Pel.",200,C112="Espelhamento 2x",100)</f>
        <v>250</v>
      </c>
      <c r="S112" s="50">
        <f t="shared" si="31"/>
        <v>451.65107246376817</v>
      </c>
      <c r="T112" s="18" cm="1">
        <f t="array" ref="T112">_xlfn.IFS(C112="Calandra",0.4,C112="Felpagem",0.3,C112="Dublagem Spun",0.8,C112="Dublagem Cretone",0.8,C112="Dublagem Cretone PES",0.8,C112="Espelhamento",0.8,C112="Peletização",0.5,C112="Dublagem Spun - MO",0.8,C112="Dublagem Cretone - MO",0.8,C112="Dublagem Cretone PES - MO",0.8,C112="Espelhamento - MO",0.8,C112="Emborrachamento",1,C112="Malha",0,C112="Dublagem Barreira",1,C112="Pel. + Cal.",0.4,C112="Fel. + Pel. + Cal.",0.5,C112="Pel. + Spun",0.8,C112="Espelhamento - L: 1,45m",0.8,C112="Espelhamento - L: 1,65m",0.8,C112="Estampagem",1,C112="Fel. + Cal.",0.4,C112="Dublagem Juta",0.8,C112="Dublagem Cretone - MO (Juta)",0.8,C112="Dublagem Tapete",0.8,C112="Esp. + Pel.",0.8,C112="Espelhamento 2x",0.8)</f>
        <v>0.8</v>
      </c>
      <c r="U112" s="18">
        <v>1</v>
      </c>
      <c r="V112" s="18">
        <v>1</v>
      </c>
      <c r="W112" s="18"/>
      <c r="X112" s="18">
        <v>39.67</v>
      </c>
      <c r="Y112" s="18">
        <v>38.51</v>
      </c>
      <c r="Z112" s="18">
        <v>116.78</v>
      </c>
      <c r="AA112" s="18"/>
    </row>
    <row r="113" spans="1:27" ht="14.25" customHeight="1" x14ac:dyDescent="0.35">
      <c r="A113" s="18"/>
      <c r="B113" s="22" t="s">
        <v>301</v>
      </c>
      <c r="C113" s="23" t="s">
        <v>244</v>
      </c>
      <c r="D113" s="23" t="s">
        <v>493</v>
      </c>
      <c r="E113" s="24">
        <v>1</v>
      </c>
      <c r="F113" s="25">
        <v>4.8</v>
      </c>
      <c r="G113" s="25">
        <v>5.28</v>
      </c>
      <c r="H113" s="26" t="s">
        <v>243</v>
      </c>
      <c r="I113" s="27">
        <f t="shared" si="32"/>
        <v>5.28</v>
      </c>
      <c r="J113" s="28">
        <v>46036</v>
      </c>
      <c r="K113" s="29" t="s">
        <v>169</v>
      </c>
      <c r="L113" s="30">
        <f t="shared" si="39"/>
        <v>1.7340000000000004</v>
      </c>
      <c r="M113" s="30">
        <f>'Custos insumos'!J28</f>
        <v>3.5459999999999998</v>
      </c>
      <c r="N113" s="30">
        <f>IF(B113="Texion Textil",0,IF(B113="Três Elos",0,IF(C113="Malha",0,IF(C113="Dublagem Cretone",'Custos insumos'!$D$23,IF(C113="Dublagem Spun",'Custos insumos'!$D$16,IF(C113="Espelhamento",0,IF(C113="Espelhamento 2x",0,IF(C113="Esp. + Pel.",0,IF(C113="Pel. + Spun",'Custos insumos'!$D$16,IF(C113="Dublagem Cretone PES",'Custos insumos'!$F$25,IF(C113="Dublagem Barreira",'Custos insumos'!$D$22,)))))))))))</f>
        <v>0</v>
      </c>
      <c r="O113" s="18"/>
      <c r="P113" s="53">
        <f t="shared" si="23"/>
        <v>0.14378787878787883</v>
      </c>
      <c r="Q113" s="50">
        <f t="shared" si="24"/>
        <v>1056</v>
      </c>
      <c r="R113" s="50" cm="1">
        <f t="array" ref="R113">_xlfn.IFS(C113="Calandra",(350),C113="Peletização",(421),C113="Dublagem Spun",(250),C113="Dublagem Cretone PES",(180),C113="Felpagem",(270/E113),C113="Emborrachamento",(200),C113="Espelhamento",(250),C113="Malha",(1),C113="Dublagem Cretone",(180),C113="Malha",(1),C113="Dublagem Spun - MO",250,C113="Dublagem Cretone - MO",180,C113="Dublagem Cretone PES - MO",180,C113="Espelhamento - MO",250,C113="Emborrachamento",100,C113="Malha",0,C113="Dublagem Barreira",100,C113="Pel. + Cal.",350,C113="Fel. + Pel. + Cal.",270,C113="Pel. + Spun",250,C113="Espelhamento - L: 1,45m",200,C113="Espelhamento - L: 1,65m",200,C113="Estampagem",100,C113="Fel. + Cal.",270,C113="Dublagem Juta",180,C113="Dublagem Cretone - MO (Juta)",180,C113="Dublagem Tapete",150,C113="Esp. + Pel.",200,C113="Espelhamento 2x",100)</f>
        <v>200</v>
      </c>
      <c r="S113" s="50">
        <f t="shared" si="31"/>
        <v>904.16</v>
      </c>
      <c r="T113" s="18" cm="1">
        <f t="array" ref="T113">_xlfn.IFS(C113="Calandra",0.4,C113="Felpagem",0.3,C113="Dublagem Spun",0.8,C113="Dublagem Cretone",0.8,C113="Dublagem Cretone PES",0.8,C113="Espelhamento",0.8,C113="Peletização",0.5,C113="Dublagem Spun - MO",0.8,C113="Dublagem Cretone - MO",0.8,C113="Dublagem Cretone PES - MO",0.8,C113="Espelhamento - MO",0.8,C113="Emborrachamento",1,C113="Malha",0,C113="Dublagem Barreira",1,C113="Pel. + Cal.",0.4,C113="Fel. + Pel. + Cal.",0.5,C113="Pel. + Spun",0.8,C113="Espelhamento - L: 1,45m",0.8,C113="Espelhamento - L: 1,65m",0.8,C113="Estampagem",1,C113="Fel. + Cal.",0.4,C113="Dublagem Juta",0.8,C113="Dublagem Cretone - MO (Juta)",0.8,C113="Dublagem Tapete",0.8,C113="Esp. + Pel.",0.8,C113="Espelhamento 2x",0.8)</f>
        <v>1</v>
      </c>
      <c r="U113" s="18">
        <v>1</v>
      </c>
      <c r="V113" s="18">
        <v>1</v>
      </c>
      <c r="W113" s="18"/>
      <c r="X113" s="18">
        <v>39.67</v>
      </c>
      <c r="Y113" s="18">
        <v>38.51</v>
      </c>
      <c r="Z113" s="18">
        <v>116.78</v>
      </c>
      <c r="AA113" s="18"/>
    </row>
    <row r="114" spans="1:27" ht="14.25" customHeight="1" x14ac:dyDescent="0.35">
      <c r="A114" s="18"/>
      <c r="B114" s="22" t="s">
        <v>301</v>
      </c>
      <c r="C114" s="23" t="s">
        <v>83</v>
      </c>
      <c r="D114" s="23" t="s">
        <v>477</v>
      </c>
      <c r="E114" s="24">
        <v>1</v>
      </c>
      <c r="F114" s="25">
        <v>3.05</v>
      </c>
      <c r="G114" s="25">
        <v>3.355</v>
      </c>
      <c r="H114" s="26" t="s">
        <v>243</v>
      </c>
      <c r="I114" s="27">
        <f t="shared" si="32"/>
        <v>3.355</v>
      </c>
      <c r="J114" s="28">
        <v>46036</v>
      </c>
      <c r="K114" s="29" t="s">
        <v>172</v>
      </c>
      <c r="L114" s="30">
        <f t="shared" si="39"/>
        <v>1.915</v>
      </c>
      <c r="M114" s="30">
        <f>'Custos insumos'!N7</f>
        <v>1.44</v>
      </c>
      <c r="N114" s="30">
        <f>IF(B114="Texion Textil",0,IF(B114="Três Elos",0,IF(C114="Malha",0,IF(C114="Dublagem Cretone",'Custos insumos'!$D$23,IF(C114="Dublagem Spun",'Custos insumos'!$D$16,IF(C114="Espelhamento",0,IF(C114="Espelhamento 2x",0,IF(C114="Esp. + Pel.",0,IF(C114="Pel. + Spun",'Custos insumos'!$D$16,IF(C114="Dublagem Cretone PES",'Custos insumos'!$F$25,IF(C114="Dublagem Barreira",'Custos insumos'!$D$22,)))))))))))</f>
        <v>0</v>
      </c>
      <c r="O114" s="18"/>
      <c r="P114" s="53" t="e">
        <f t="shared" si="23"/>
        <v>#N/A</v>
      </c>
      <c r="Q114" s="50" t="e">
        <f t="shared" si="24"/>
        <v>#N/A</v>
      </c>
      <c r="R114" s="50" t="e" cm="1">
        <f t="array" ref="R114">_xlfn.IFS(C114="Calandra",(350),C114="Peletização",(421),C114="Dublagem Spun",(250),C114="Dublagem Cretone PES",(180),C114="Felpagem",(270/E114),C114="Emborrachamento",(200),C114="Espelhamento",(250),C114="Malha",(1),C114="Dublagem Cretone",(180),C114="Malha",(1),C114="Dublagem Spun - MO",250,C114="Dublagem Cretone - MO",180,C114="Dublagem Cretone PES - MO",180,C114="Espelhamento - MO",250,C114="Emborrachamento",100,C114="Malha",0,C114="Dublagem Barreira",100,C114="Pel. + Cal.",350,C114="Fel. + Pel. + Cal.",270,C114="Pel. + Spun",250,C114="Espelhamento - L: 1,45m",200,C114="Espelhamento - L: 1,65m",200,C114="Estampagem",100,C114="Fel. + Cal.",270,C114="Dublagem Juta",180,C114="Dublagem Cretone - MO (Juta)",180,C114="Dublagem Tapete",150,C114="Esp. + Pel.",200,C114="Espelhamento 2x",100)</f>
        <v>#N/A</v>
      </c>
      <c r="S114" s="50" t="e">
        <f t="shared" si="31"/>
        <v>#N/A</v>
      </c>
      <c r="T114" s="18" t="e" cm="1">
        <f t="array" ref="T114">_xlfn.IFS(C114="Calandra",0.4,C114="Felpagem",0.3,C114="Dublagem Spun",0.8,C114="Dublagem Cretone",0.8,C114="Dublagem Cretone PES",0.8,C114="Espelhamento",0.8,C114="Peletização",0.5,C114="Dublagem Spun - MO",0.8,C114="Dublagem Cretone - MO",0.8,C114="Dublagem Cretone PES - MO",0.8,C114="Espelhamento - MO",0.8,C114="Emborrachamento",1,C114="Malha",0,C114="Dublagem Barreira",1,C114="Pel. + Cal.",0.4,C114="Fel. + Pel. + Cal.",0.5,C114="Pel. + Spun",0.8,C114="Espelhamento - L: 1,45m",0.8,C114="Espelhamento - L: 1,65m",0.8,C114="Estampagem",1,C114="Fel. + Cal.",0.4,C114="Dublagem Juta",0.8,C114="Dublagem Cretone - MO (Juta)",0.8,C114="Dublagem Tapete",0.8,C114="Esp. + Pel.",0.8,C114="Espelhamento 2x",0.8)</f>
        <v>#N/A</v>
      </c>
      <c r="U114" s="18">
        <v>1</v>
      </c>
      <c r="V114" s="18">
        <v>1</v>
      </c>
      <c r="W114" s="18"/>
      <c r="X114" s="18">
        <v>39.67</v>
      </c>
      <c r="Y114" s="18">
        <v>38.51</v>
      </c>
      <c r="Z114" s="18">
        <v>116.78</v>
      </c>
      <c r="AA114" s="18"/>
    </row>
    <row r="115" spans="1:27" ht="14.25" customHeight="1" x14ac:dyDescent="0.35">
      <c r="A115" s="18"/>
      <c r="B115" s="22" t="s">
        <v>301</v>
      </c>
      <c r="C115" s="23" t="s">
        <v>83</v>
      </c>
      <c r="D115" s="23" t="s">
        <v>484</v>
      </c>
      <c r="E115" s="24">
        <v>1</v>
      </c>
      <c r="F115" s="25">
        <v>2.5499999999999998</v>
      </c>
      <c r="G115" s="25">
        <v>2.8050000000000002</v>
      </c>
      <c r="H115" s="26" t="s">
        <v>243</v>
      </c>
      <c r="I115" s="27">
        <f t="shared" si="32"/>
        <v>2.8050000000000002</v>
      </c>
      <c r="J115" s="28">
        <v>46036</v>
      </c>
      <c r="K115" s="29" t="s">
        <v>172</v>
      </c>
      <c r="L115" s="30">
        <f t="shared" si="39"/>
        <v>2.1210000000000004</v>
      </c>
      <c r="M115" s="30">
        <f>'Custos insumos'!N4</f>
        <v>0.68399999999999994</v>
      </c>
      <c r="N115" s="30">
        <f>IF(B115="Texion Textil",0,IF(B115="Três Elos",0,IF(C115="Malha",0,IF(C115="Dublagem Cretone",'Custos insumos'!$D$23,IF(C115="Dublagem Spun",'Custos insumos'!$D$16,IF(C115="Espelhamento",0,IF(C115="Espelhamento 2x",0,IF(C115="Esp. + Pel.",0,IF(C115="Pel. + Spun",'Custos insumos'!$D$16,IF(C115="Dublagem Cretone PES",'Custos insumos'!$F$25,IF(C115="Dublagem Barreira",'Custos insumos'!$D$22,)))))))))))</f>
        <v>0</v>
      </c>
      <c r="O115" s="18"/>
      <c r="P115" s="53" t="e">
        <f t="shared" si="23"/>
        <v>#N/A</v>
      </c>
      <c r="Q115" s="50" t="e">
        <f t="shared" si="24"/>
        <v>#N/A</v>
      </c>
      <c r="R115" s="50" t="e" cm="1">
        <f t="array" ref="R115">_xlfn.IFS(C115="Calandra",(350),C115="Peletização",(421),C115="Dublagem Spun",(250),C115="Dublagem Cretone PES",(180),C115="Felpagem",(270/E115),C115="Emborrachamento",(200),C115="Espelhamento",(250),C115="Malha",(1),C115="Dublagem Cretone",(180),C115="Malha",(1),C115="Dublagem Spun - MO",250,C115="Dublagem Cretone - MO",180,C115="Dublagem Cretone PES - MO",180,C115="Espelhamento - MO",250,C115="Emborrachamento",100,C115="Malha",0,C115="Dublagem Barreira",100,C115="Pel. + Cal.",350,C115="Fel. + Pel. + Cal.",270,C115="Pel. + Spun",250,C115="Espelhamento - L: 1,45m",200,C115="Espelhamento - L: 1,65m",200,C115="Estampagem",100,C115="Fel. + Cal.",270,C115="Dublagem Juta",180,C115="Dublagem Cretone - MO (Juta)",180,C115="Dublagem Tapete",150,C115="Esp. + Pel.",200,C115="Espelhamento 2x",100)</f>
        <v>#N/A</v>
      </c>
      <c r="S115" s="50" t="e">
        <f t="shared" si="31"/>
        <v>#N/A</v>
      </c>
      <c r="T115" s="18" t="e" cm="1">
        <f t="array" ref="T115">_xlfn.IFS(C115="Calandra",0.4,C115="Felpagem",0.3,C115="Dublagem Spun",0.8,C115="Dublagem Cretone",0.8,C115="Dublagem Cretone PES",0.8,C115="Espelhamento",0.8,C115="Peletização",0.5,C115="Dublagem Spun - MO",0.8,C115="Dublagem Cretone - MO",0.8,C115="Dublagem Cretone PES - MO",0.8,C115="Espelhamento - MO",0.8,C115="Emborrachamento",1,C115="Malha",0,C115="Dublagem Barreira",1,C115="Pel. + Cal.",0.4,C115="Fel. + Pel. + Cal.",0.5,C115="Pel. + Spun",0.8,C115="Espelhamento - L: 1,45m",0.8,C115="Espelhamento - L: 1,65m",0.8,C115="Estampagem",1,C115="Fel. + Cal.",0.4,C115="Dublagem Juta",0.8,C115="Dublagem Cretone - MO (Juta)",0.8,C115="Dublagem Tapete",0.8,C115="Esp. + Pel.",0.8,C115="Espelhamento 2x",0.8)</f>
        <v>#N/A</v>
      </c>
      <c r="U115" s="18">
        <v>1</v>
      </c>
      <c r="V115" s="18">
        <v>1</v>
      </c>
      <c r="W115" s="18"/>
      <c r="X115" s="18">
        <v>39.67</v>
      </c>
      <c r="Y115" s="18">
        <v>38.51</v>
      </c>
      <c r="Z115" s="18">
        <v>116.78</v>
      </c>
      <c r="AA115" s="18"/>
    </row>
    <row r="116" spans="1:27" ht="14.25" customHeight="1" x14ac:dyDescent="0.35">
      <c r="A116" s="18"/>
      <c r="B116" s="22" t="s">
        <v>301</v>
      </c>
      <c r="C116" s="23" t="s">
        <v>473</v>
      </c>
      <c r="D116" s="23" t="s">
        <v>482</v>
      </c>
      <c r="E116" s="24">
        <v>1</v>
      </c>
      <c r="F116" s="25">
        <v>4.0999999999999996</v>
      </c>
      <c r="G116" s="25">
        <v>4.51</v>
      </c>
      <c r="H116" s="26" t="s">
        <v>243</v>
      </c>
      <c r="I116" s="27">
        <f t="shared" si="32"/>
        <v>4.51</v>
      </c>
      <c r="J116" s="28">
        <v>46036</v>
      </c>
      <c r="K116" s="29" t="s">
        <v>172</v>
      </c>
      <c r="L116" s="30">
        <f t="shared" si="39"/>
        <v>3.0939999999999994</v>
      </c>
      <c r="M116" s="30">
        <f>'Custos insumos'!N4</f>
        <v>0.68399999999999994</v>
      </c>
      <c r="N116" s="30">
        <f>'Custos insumos'!L19</f>
        <v>0.73199999999999998</v>
      </c>
      <c r="O116" s="18"/>
      <c r="P116" s="53" t="e">
        <f t="shared" si="23"/>
        <v>#N/A</v>
      </c>
      <c r="Q116" s="50" t="e">
        <f t="shared" si="24"/>
        <v>#N/A</v>
      </c>
      <c r="R116" s="50" t="e" cm="1">
        <f t="array" ref="R116">_xlfn.IFS(C116="Calandra",(350),C116="Peletização",(421),C116="Dublagem Spun",(250),C116="Dublagem Cretone PES",(180),C116="Felpagem",(270/E116),C116="Emborrachamento",(200),C116="Espelhamento",(250),C116="Malha",(1),C116="Dublagem Cretone",(180),C116="Malha",(1),C116="Dublagem Spun - MO",250,C116="Dublagem Cretone - MO",180,C116="Dublagem Cretone PES - MO",180,C116="Espelhamento - MO",250,C116="Emborrachamento",100,C116="Malha",0,C116="Dublagem Barreira",100,C116="Pel. + Cal.",350,C116="Fel. + Pel. + Cal.",270,C116="Pel. + Spun",250,C116="Espelhamento - L: 1,45m",200,C116="Espelhamento - L: 1,65m",200,C116="Estampagem",100,C116="Fel. + Cal.",270,C116="Dublagem Juta",180,C116="Dublagem Cretone - MO (Juta)",180,C116="Dublagem Tapete",150,C116="Esp. + Pel.",200,C116="Espelhamento 2x",100)</f>
        <v>#N/A</v>
      </c>
      <c r="S116" s="50" t="e">
        <f t="shared" si="31"/>
        <v>#N/A</v>
      </c>
      <c r="T116" s="18" t="e" cm="1">
        <f t="array" ref="T116">_xlfn.IFS(C116="Calandra",0.4,C116="Felpagem",0.3,C116="Dublagem Spun",0.8,C116="Dublagem Cretone",0.8,C116="Dublagem Cretone PES",0.8,C116="Espelhamento",0.8,C116="Peletização",0.5,C116="Dublagem Spun - MO",0.8,C116="Dublagem Cretone - MO",0.8,C116="Dublagem Cretone PES - MO",0.8,C116="Espelhamento - MO",0.8,C116="Emborrachamento",1,C116="Malha",0,C116="Dublagem Barreira",1,C116="Pel. + Cal.",0.4,C116="Fel. + Pel. + Cal.",0.5,C116="Pel. + Spun",0.8,C116="Espelhamento - L: 1,45m",0.8,C116="Espelhamento - L: 1,65m",0.8,C116="Estampagem",1,C116="Fel. + Cal.",0.4,C116="Dublagem Juta",0.8,C116="Dublagem Cretone - MO (Juta)",0.8,C116="Dublagem Tapete",0.8,C116="Esp. + Pel.",0.8,C116="Espelhamento 2x",0.8)</f>
        <v>#N/A</v>
      </c>
      <c r="U116" s="18">
        <v>1</v>
      </c>
      <c r="V116" s="18">
        <v>1</v>
      </c>
      <c r="W116" s="18"/>
      <c r="X116" s="18">
        <v>39.67</v>
      </c>
      <c r="Y116" s="18">
        <v>38.51</v>
      </c>
      <c r="Z116" s="18">
        <v>116.78</v>
      </c>
      <c r="AA116" s="18"/>
    </row>
    <row r="117" spans="1:27" ht="14.25" customHeight="1" x14ac:dyDescent="0.35">
      <c r="A117" s="18"/>
      <c r="B117" s="22" t="s">
        <v>301</v>
      </c>
      <c r="C117" s="23" t="s">
        <v>474</v>
      </c>
      <c r="D117" s="23" t="s">
        <v>494</v>
      </c>
      <c r="E117" s="24">
        <v>1</v>
      </c>
      <c r="F117" s="25">
        <v>2.15</v>
      </c>
      <c r="G117" s="25">
        <v>2.3650000000000002</v>
      </c>
      <c r="H117" s="26" t="s">
        <v>243</v>
      </c>
      <c r="I117" s="27">
        <f t="shared" si="32"/>
        <v>2.3650000000000002</v>
      </c>
      <c r="J117" s="28">
        <v>46036</v>
      </c>
      <c r="K117" s="29" t="s">
        <v>172</v>
      </c>
      <c r="L117" s="30">
        <f t="shared" si="39"/>
        <v>1.3514800000000002</v>
      </c>
      <c r="M117" s="30">
        <f>'Custos insumos'!N3</f>
        <v>0.6611999999999999</v>
      </c>
      <c r="N117" s="30">
        <f>'Custos insumos'!N14</f>
        <v>0.35232000000000002</v>
      </c>
      <c r="O117" s="18"/>
      <c r="P117" s="53" t="e">
        <f t="shared" si="23"/>
        <v>#N/A</v>
      </c>
      <c r="Q117" s="50" t="e">
        <f t="shared" si="24"/>
        <v>#N/A</v>
      </c>
      <c r="R117" s="50" t="e" cm="1">
        <f t="array" ref="R117">_xlfn.IFS(C117="Calandra",(350),C117="Peletização",(421),C117="Dublagem Spun",(250),C117="Dublagem Cretone PES",(180),C117="Felpagem",(270/E117),C117="Emborrachamento",(200),C117="Espelhamento",(250),C117="Malha",(1),C117="Dublagem Cretone",(180),C117="Malha",(1),C117="Dublagem Spun - MO",250,C117="Dublagem Cretone - MO",180,C117="Dublagem Cretone PES - MO",180,C117="Espelhamento - MO",250,C117="Emborrachamento",100,C117="Malha",0,C117="Dublagem Barreira",100,C117="Pel. + Cal.",350,C117="Fel. + Pel. + Cal.",270,C117="Pel. + Spun",250,C117="Espelhamento - L: 1,45m",200,C117="Espelhamento - L: 1,65m",200,C117="Estampagem",100,C117="Fel. + Cal.",270,C117="Dublagem Juta",180,C117="Dublagem Cretone - MO (Juta)",180,C117="Dublagem Tapete",150,C117="Esp. + Pel.",200,C117="Espelhamento 2x",100)</f>
        <v>#N/A</v>
      </c>
      <c r="S117" s="50" t="e">
        <f t="shared" si="31"/>
        <v>#N/A</v>
      </c>
      <c r="T117" s="18" t="e" cm="1">
        <f t="array" ref="T117">_xlfn.IFS(C117="Calandra",0.4,C117="Felpagem",0.3,C117="Dublagem Spun",0.8,C117="Dublagem Cretone",0.8,C117="Dublagem Cretone PES",0.8,C117="Espelhamento",0.8,C117="Peletização",0.5,C117="Dublagem Spun - MO",0.8,C117="Dublagem Cretone - MO",0.8,C117="Dublagem Cretone PES - MO",0.8,C117="Espelhamento - MO",0.8,C117="Emborrachamento",1,C117="Malha",0,C117="Dublagem Barreira",1,C117="Pel. + Cal.",0.4,C117="Fel. + Pel. + Cal.",0.5,C117="Pel. + Spun",0.8,C117="Espelhamento - L: 1,45m",0.8,C117="Espelhamento - L: 1,65m",0.8,C117="Estampagem",1,C117="Fel. + Cal.",0.4,C117="Dublagem Juta",0.8,C117="Dublagem Cretone - MO (Juta)",0.8,C117="Dublagem Tapete",0.8,C117="Esp. + Pel.",0.8,C117="Espelhamento 2x",0.8)</f>
        <v>#N/A</v>
      </c>
      <c r="U117" s="18">
        <v>1</v>
      </c>
      <c r="V117" s="18">
        <v>1</v>
      </c>
      <c r="W117" s="18"/>
      <c r="X117" s="18">
        <v>39.67</v>
      </c>
      <c r="Y117" s="18">
        <v>38.51</v>
      </c>
      <c r="Z117" s="18">
        <v>116.78</v>
      </c>
      <c r="AA117" s="18"/>
    </row>
    <row r="118" spans="1:27" ht="14.25" customHeight="1" x14ac:dyDescent="0.35">
      <c r="A118" s="18"/>
      <c r="B118" s="22" t="s">
        <v>454</v>
      </c>
      <c r="C118" s="23" t="s">
        <v>83</v>
      </c>
      <c r="D118" s="23" t="s">
        <v>495</v>
      </c>
      <c r="E118" s="24">
        <v>1</v>
      </c>
      <c r="F118" s="25">
        <v>3.05</v>
      </c>
      <c r="G118" s="25">
        <v>3.05</v>
      </c>
      <c r="H118" s="26"/>
      <c r="I118" s="27"/>
      <c r="J118" s="28">
        <v>46036</v>
      </c>
      <c r="K118" s="29"/>
      <c r="L118" s="30">
        <f>G118-M118</f>
        <v>1.6579999999999999</v>
      </c>
      <c r="M118" s="30">
        <f>'Custos insumos'!N6</f>
        <v>1.3919999999999999</v>
      </c>
      <c r="N118" s="30">
        <v>0</v>
      </c>
      <c r="O118" s="18"/>
      <c r="P118" s="53" t="e">
        <f t="shared" ref="P118" si="45">(Q118-S118)/Q118</f>
        <v>#N/A</v>
      </c>
      <c r="Q118" s="50" t="e">
        <f t="shared" ref="Q118" si="46">G118*R118</f>
        <v>#N/A</v>
      </c>
      <c r="R118" s="50" t="e" cm="1">
        <f t="array" ref="R118">_xlfn.IFS(C118="Calandra",(350),C118="Peletização",(421),C118="Dublagem Spun",(250),C118="Dublagem Cretone PES",(180),C118="Felpagem",(270/E118),C118="Emborrachamento",(200),C118="Espelhamento",(250),C118="Malha",(1),C118="Dublagem Cretone",(180),C118="Malha",(1),C118="Dublagem Spun - MO",250,C118="Dublagem Cretone - MO",180,C118="Dublagem Cretone PES - MO",180,C118="Espelhamento - MO",250,C118="Emborrachamento",100,C118="Malha",0,C118="Dublagem Barreira",100,C118="Pel. + Cal.",350,C118="Fel. + Pel. + Cal.",270,C118="Pel. + Spun",250,C118="Espelhamento - L: 1,45m",200,C118="Espelhamento - L: 1,65m",200,C118="Estampagem",100,C118="Fel. + Cal.",270,C118="Dublagem Juta",180,C118="Dublagem Cretone - MO (Juta)",180,C118="Dublagem Tapete",150,C118="Esp. + Pel.",200,C118="Espelhamento 2x",100)</f>
        <v>#N/A</v>
      </c>
      <c r="S118" s="50" t="e">
        <f t="shared" ref="S118" si="47">(T118*X118)+(U118*Y118)+(V118*Z118)+((M118+N118)*(R118))</f>
        <v>#N/A</v>
      </c>
      <c r="T118" s="18" t="e" cm="1">
        <f t="array" ref="T118">_xlfn.IFS(C118="Calandra",0.4,C118="Felpagem",0.3,C118="Dublagem Spun",0.8,C118="Dublagem Cretone",0.8,C118="Dublagem Cretone PES",0.8,C118="Espelhamento",0.8,C118="Peletização",0.5,C118="Dublagem Spun - MO",0.8,C118="Dublagem Cretone - MO",0.8,C118="Dublagem Cretone PES - MO",0.8,C118="Espelhamento - MO",0.8,C118="Emborrachamento",1,C118="Malha",0,C118="Dublagem Barreira",1,C118="Pel. + Cal.",0.4,C118="Fel. + Pel. + Cal.",0.5,C118="Pel. + Spun",0.8,C118="Espelhamento - L: 1,45m",0.8,C118="Espelhamento - L: 1,65m",0.8,C118="Estampagem",1,C118="Fel. + Cal.",0.4,C118="Dublagem Juta",0.8,C118="Dublagem Cretone - MO (Juta)",0.8,C118="Dublagem Tapete",0.8,C118="Esp. + Pel.",0.8,C118="Espelhamento 2x",0.8)</f>
        <v>#N/A</v>
      </c>
      <c r="U118" s="18">
        <v>1</v>
      </c>
      <c r="V118" s="18">
        <v>1</v>
      </c>
      <c r="W118" s="18"/>
      <c r="X118" s="18">
        <v>39.67</v>
      </c>
      <c r="Y118" s="18">
        <v>38.51</v>
      </c>
      <c r="Z118" s="18">
        <v>116.78</v>
      </c>
      <c r="AA118" s="18"/>
    </row>
    <row r="119" spans="1:27" ht="14.25" customHeight="1" x14ac:dyDescent="0.35">
      <c r="A119" s="18"/>
      <c r="B119" s="22" t="s">
        <v>454</v>
      </c>
      <c r="C119" s="23" t="s">
        <v>499</v>
      </c>
      <c r="D119" s="23" t="s">
        <v>495</v>
      </c>
      <c r="E119" s="24">
        <v>1</v>
      </c>
      <c r="F119" s="25">
        <v>3.05</v>
      </c>
      <c r="G119" s="25">
        <v>3.05</v>
      </c>
      <c r="H119" s="26"/>
      <c r="I119" s="27"/>
      <c r="J119" s="28">
        <v>46036</v>
      </c>
      <c r="K119" s="29"/>
      <c r="L119" s="30">
        <f>G119-M119</f>
        <v>1.6579999999999999</v>
      </c>
      <c r="M119" s="30">
        <f>'Custos insumos'!N6</f>
        <v>1.3919999999999999</v>
      </c>
      <c r="N119" s="30">
        <v>0</v>
      </c>
      <c r="O119" s="18"/>
      <c r="P119" s="53" t="e">
        <f t="shared" si="23"/>
        <v>#N/A</v>
      </c>
      <c r="Q119" s="50" t="e">
        <f t="shared" si="24"/>
        <v>#N/A</v>
      </c>
      <c r="R119" s="50" t="e" cm="1">
        <f t="array" ref="R119">_xlfn.IFS(C119="Calandra",(350),C119="Peletização",(421),C119="Dublagem Spun",(250),C119="Dublagem Cretone PES",(180),C119="Felpagem",(270/E119),C119="Emborrachamento",(200),C119="Espelhamento",(250),C119="Malha",(1),C119="Dublagem Cretone",(180),C119="Malha",(1),C119="Dublagem Spun - MO",250,C119="Dublagem Cretone - MO",180,C119="Dublagem Cretone PES - MO",180,C119="Espelhamento - MO",250,C119="Emborrachamento",100,C119="Malha",0,C119="Dublagem Barreira",100,C119="Pel. + Cal.",350,C119="Fel. + Pel. + Cal.",270,C119="Pel. + Spun",250,C119="Espelhamento - L: 1,45m",200,C119="Espelhamento - L: 1,65m",200,C119="Estampagem",100,C119="Fel. + Cal.",270,C119="Dublagem Juta",180,C119="Dublagem Cretone - MO (Juta)",180,C119="Dublagem Tapete",150,C119="Esp. + Pel.",200,C119="Espelhamento 2x",100)</f>
        <v>#N/A</v>
      </c>
      <c r="S119" s="50" t="e">
        <f t="shared" si="31"/>
        <v>#N/A</v>
      </c>
      <c r="T119" s="18" t="e" cm="1">
        <f t="array" ref="T119">_xlfn.IFS(C119="Calandra",0.4,C119="Felpagem",0.3,C119="Dublagem Spun",0.8,C119="Dublagem Cretone",0.8,C119="Dublagem Cretone PES",0.8,C119="Espelhamento",0.8,C119="Peletização",0.5,C119="Dublagem Spun - MO",0.8,C119="Dublagem Cretone - MO",0.8,C119="Dublagem Cretone PES - MO",0.8,C119="Espelhamento - MO",0.8,C119="Emborrachamento",1,C119="Malha",0,C119="Dublagem Barreira",1,C119="Pel. + Cal.",0.4,C119="Fel. + Pel. + Cal.",0.5,C119="Pel. + Spun",0.8,C119="Espelhamento - L: 1,45m",0.8,C119="Espelhamento - L: 1,65m",0.8,C119="Estampagem",1,C119="Fel. + Cal.",0.4,C119="Dublagem Juta",0.8,C119="Dublagem Cretone - MO (Juta)",0.8,C119="Dublagem Tapete",0.8,C119="Esp. + Pel.",0.8,C119="Espelhamento 2x",0.8)</f>
        <v>#N/A</v>
      </c>
      <c r="U119" s="18">
        <v>1</v>
      </c>
      <c r="V119" s="18">
        <v>1</v>
      </c>
      <c r="W119" s="18"/>
      <c r="X119" s="18">
        <v>39.67</v>
      </c>
      <c r="Y119" s="18">
        <v>38.51</v>
      </c>
      <c r="Z119" s="18">
        <v>116.78</v>
      </c>
      <c r="AA119" s="18"/>
    </row>
    <row r="120" spans="1:27" ht="14.25" customHeight="1" x14ac:dyDescent="0.35">
      <c r="A120" s="18"/>
      <c r="B120" s="22" t="s">
        <v>454</v>
      </c>
      <c r="C120" s="23" t="s">
        <v>455</v>
      </c>
      <c r="D120" s="23" t="s">
        <v>496</v>
      </c>
      <c r="E120" s="24">
        <v>1</v>
      </c>
      <c r="F120" s="25">
        <v>3.8672</v>
      </c>
      <c r="G120" s="25">
        <v>3.8672</v>
      </c>
      <c r="H120" s="26"/>
      <c r="I120" s="27"/>
      <c r="J120" s="28">
        <v>46036</v>
      </c>
      <c r="K120" s="29"/>
      <c r="L120" s="30">
        <v>1.79</v>
      </c>
      <c r="M120" s="30">
        <f>'Custos insumos'!N3</f>
        <v>0.6611999999999999</v>
      </c>
      <c r="N120" s="30">
        <f>'Custos insumos'!L20</f>
        <v>1.4159999999999999</v>
      </c>
      <c r="O120" s="18"/>
      <c r="P120" s="53" t="e">
        <f t="shared" si="23"/>
        <v>#N/A</v>
      </c>
      <c r="Q120" s="50" t="e">
        <f t="shared" si="24"/>
        <v>#N/A</v>
      </c>
      <c r="R120" s="50" t="e" cm="1">
        <f t="array" ref="R120">_xlfn.IFS(C120="Calandra",(350),C120="Peletização",(421),C120="Dublagem Spun",(250),C120="Dublagem Cretone PES",(180),C120="Felpagem",(270/E120),C120="Emborrachamento",(200),C120="Espelhamento",(250),C120="Malha",(1),C120="Dublagem Cretone",(180),C120="Malha",(1),C120="Dublagem Spun - MO",250,C120="Dublagem Cretone - MO",180,C120="Dublagem Cretone PES - MO",180,C120="Espelhamento - MO",250,C120="Emborrachamento",100,C120="Malha",0,C120="Dublagem Barreira",100,C120="Pel. + Cal.",350,C120="Fel. + Pel. + Cal.",270,C120="Pel. + Spun",250,C120="Espelhamento - L: 1,45m",200,C120="Espelhamento - L: 1,65m",200,C120="Estampagem",100,C120="Fel. + Cal.",270,C120="Dublagem Juta",180,C120="Dublagem Cretone - MO (Juta)",180,C120="Dublagem Tapete",150,C120="Esp. + Pel.",200,C120="Espelhamento 2x",100)</f>
        <v>#N/A</v>
      </c>
      <c r="S120" s="50" t="e">
        <f t="shared" si="31"/>
        <v>#N/A</v>
      </c>
      <c r="T120" s="18" t="e" cm="1">
        <f t="array" ref="T120">_xlfn.IFS(C120="Calandra",0.4,C120="Felpagem",0.3,C120="Dublagem Spun",0.8,C120="Dublagem Cretone",0.8,C120="Dublagem Cretone PES",0.8,C120="Espelhamento",0.8,C120="Peletização",0.5,C120="Dublagem Spun - MO",0.8,C120="Dublagem Cretone - MO",0.8,C120="Dublagem Cretone PES - MO",0.8,C120="Espelhamento - MO",0.8,C120="Emborrachamento",1,C120="Malha",0,C120="Dublagem Barreira",1,C120="Pel. + Cal.",0.4,C120="Fel. + Pel. + Cal.",0.5,C120="Pel. + Spun",0.8,C120="Espelhamento - L: 1,45m",0.8,C120="Espelhamento - L: 1,65m",0.8,C120="Estampagem",1,C120="Fel. + Cal.",0.4,C120="Dublagem Juta",0.8,C120="Dublagem Cretone - MO (Juta)",0.8,C120="Dublagem Tapete",0.8,C120="Esp. + Pel.",0.8,C120="Espelhamento 2x",0.8)</f>
        <v>#N/A</v>
      </c>
      <c r="U120" s="18">
        <v>1</v>
      </c>
      <c r="V120" s="18">
        <v>1</v>
      </c>
      <c r="W120" s="18"/>
      <c r="X120" s="18">
        <v>39.67</v>
      </c>
      <c r="Y120" s="18">
        <v>38.51</v>
      </c>
      <c r="Z120" s="18">
        <v>116.78</v>
      </c>
      <c r="AA120" s="18"/>
    </row>
    <row r="121" spans="1:27" ht="14.25" customHeight="1" x14ac:dyDescent="0.35">
      <c r="A121" s="18"/>
      <c r="B121" s="22" t="s">
        <v>454</v>
      </c>
      <c r="C121" s="23" t="s">
        <v>456</v>
      </c>
      <c r="D121" s="23" t="s">
        <v>497</v>
      </c>
      <c r="E121" s="24">
        <v>1</v>
      </c>
      <c r="F121" s="25">
        <v>4.8151999999999999</v>
      </c>
      <c r="G121" s="25">
        <v>4.8151999999999999</v>
      </c>
      <c r="H121" s="26"/>
      <c r="I121" s="27"/>
      <c r="J121" s="28">
        <v>46036</v>
      </c>
      <c r="K121" s="29"/>
      <c r="L121" s="30">
        <v>1.79</v>
      </c>
      <c r="M121" s="30">
        <f>'Custos insumos'!N3</f>
        <v>0.6611999999999999</v>
      </c>
      <c r="N121" s="30">
        <f>'Custos insumos'!L21</f>
        <v>2.3639999999999999</v>
      </c>
      <c r="O121" s="18"/>
      <c r="P121" s="53" t="e">
        <f t="shared" si="23"/>
        <v>#N/A</v>
      </c>
      <c r="Q121" s="50" t="e">
        <f t="shared" si="24"/>
        <v>#N/A</v>
      </c>
      <c r="R121" s="50" t="e" cm="1">
        <f t="array" ref="R121">_xlfn.IFS(C121="Calandra",(350),C121="Peletização",(421),C121="Dublagem Spun",(250),C121="Dublagem Cretone PES",(180),C121="Felpagem",(270/E121),C121="Emborrachamento",(200),C121="Espelhamento",(250),C121="Malha",(1),C121="Dublagem Cretone",(180),C121="Malha",(1),C121="Dublagem Spun - MO",250,C121="Dublagem Cretone - MO",180,C121="Dublagem Cretone PES - MO",180,C121="Espelhamento - MO",250,C121="Emborrachamento",100,C121="Malha",0,C121="Dublagem Barreira",100,C121="Pel. + Cal.",350,C121="Fel. + Pel. + Cal.",270,C121="Pel. + Spun",250,C121="Espelhamento - L: 1,45m",200,C121="Espelhamento - L: 1,65m",200,C121="Estampagem",100,C121="Fel. + Cal.",270,C121="Dublagem Juta",180,C121="Dublagem Cretone - MO (Juta)",180,C121="Dublagem Tapete",150,C121="Esp. + Pel.",200,C121="Espelhamento 2x",100)</f>
        <v>#N/A</v>
      </c>
      <c r="S121" s="50" t="e">
        <f t="shared" si="31"/>
        <v>#N/A</v>
      </c>
      <c r="T121" s="18" t="e" cm="1">
        <f t="array" ref="T121">_xlfn.IFS(C121="Calandra",0.4,C121="Felpagem",0.3,C121="Dublagem Spun",0.8,C121="Dublagem Cretone",0.8,C121="Dublagem Cretone PES",0.8,C121="Espelhamento",0.8,C121="Peletização",0.5,C121="Dublagem Spun - MO",0.8,C121="Dublagem Cretone - MO",0.8,C121="Dublagem Cretone PES - MO",0.8,C121="Espelhamento - MO",0.8,C121="Emborrachamento",1,C121="Malha",0,C121="Dublagem Barreira",1,C121="Pel. + Cal.",0.4,C121="Fel. + Pel. + Cal.",0.5,C121="Pel. + Spun",0.8,C121="Espelhamento - L: 1,45m",0.8,C121="Espelhamento - L: 1,65m",0.8,C121="Estampagem",1,C121="Fel. + Cal.",0.4,C121="Dublagem Juta",0.8,C121="Dublagem Cretone - MO (Juta)",0.8,C121="Dublagem Tapete",0.8,C121="Esp. + Pel.",0.8,C121="Espelhamento 2x",0.8)</f>
        <v>#N/A</v>
      </c>
      <c r="U121" s="18">
        <v>1</v>
      </c>
      <c r="V121" s="18">
        <v>1</v>
      </c>
      <c r="W121" s="18"/>
      <c r="X121" s="18">
        <v>39.67</v>
      </c>
      <c r="Y121" s="18">
        <v>38.51</v>
      </c>
      <c r="Z121" s="18">
        <v>116.78</v>
      </c>
      <c r="AA121" s="18"/>
    </row>
    <row r="122" spans="1:27" ht="13.5" customHeight="1" x14ac:dyDescent="0.35">
      <c r="A122" s="18"/>
      <c r="B122" s="22" t="s">
        <v>454</v>
      </c>
      <c r="C122" s="23" t="s">
        <v>244</v>
      </c>
      <c r="D122" s="23" t="s">
        <v>498</v>
      </c>
      <c r="E122" s="24">
        <v>1</v>
      </c>
      <c r="F122" s="25">
        <v>4.8306000000000004</v>
      </c>
      <c r="G122" s="25">
        <v>4.8306000000000004</v>
      </c>
      <c r="H122" s="26"/>
      <c r="I122" s="27"/>
      <c r="J122" s="28">
        <v>46036</v>
      </c>
      <c r="K122" s="29"/>
      <c r="L122" s="30">
        <v>1.5</v>
      </c>
      <c r="M122" s="30">
        <f>'Custos insumos'!J33</f>
        <v>3.3306</v>
      </c>
      <c r="N122" s="30"/>
      <c r="O122" s="50"/>
      <c r="P122" s="53">
        <f t="shared" si="23"/>
        <v>0.10872355400985391</v>
      </c>
      <c r="Q122" s="50">
        <f t="shared" si="24"/>
        <v>966.12000000000012</v>
      </c>
      <c r="R122" s="50" cm="1">
        <f t="array" ref="R122">_xlfn.IFS(C122="Calandra",(350),C122="Peletização",(421),C122="Dublagem Spun",(250),C122="Dublagem Cretone PES",(180),C122="Felpagem",(270/E122),C122="Emborrachamento",(200),C122="Espelhamento",(250),C122="Malha",(1),C122="Dublagem Cretone",(180),C122="Malha",(1),C122="Dublagem Spun - MO",250,C122="Dublagem Cretone - MO",180,C122="Dublagem Cretone PES - MO",180,C122="Espelhamento - MO",250,C122="Emborrachamento",100,C122="Malha",0,C122="Dublagem Barreira",100,C122="Pel. + Cal.",350,C122="Fel. + Pel. + Cal.",270,C122="Pel. + Spun",250,C122="Espelhamento - L: 1,45m",200,C122="Espelhamento - L: 1,65m",200,C122="Estampagem",100,C122="Fel. + Cal.",270,C122="Dublagem Juta",180,C122="Dublagem Cretone - MO (Juta)",180,C122="Dublagem Tapete",150,C122="Esp. + Pel.",200,C122="Espelhamento 2x",100)</f>
        <v>200</v>
      </c>
      <c r="S122" s="50">
        <f t="shared" si="31"/>
        <v>861.08</v>
      </c>
      <c r="T122" s="18" cm="1">
        <f t="array" ref="T122">_xlfn.IFS(C122="Calandra",0.4,C122="Felpagem",0.3,C122="Dublagem Spun",0.8,C122="Dublagem Cretone",0.8,C122="Dublagem Cretone PES",0.8,C122="Espelhamento",0.8,C122="Peletização",0.5,C122="Dublagem Spun - MO",0.8,C122="Dublagem Cretone - MO",0.8,C122="Dublagem Cretone PES - MO",0.8,C122="Espelhamento - MO",0.8,C122="Emborrachamento",1,C122="Malha",0,C122="Dublagem Barreira",1,C122="Pel. + Cal.",0.4,C122="Fel. + Pel. + Cal.",0.5,C122="Pel. + Spun",0.8,C122="Espelhamento - L: 1,45m",0.8,C122="Espelhamento - L: 1,65m",0.8,C122="Estampagem",1,C122="Fel. + Cal.",0.4,C122="Dublagem Juta",0.8,C122="Dublagem Cretone - MO (Juta)",0.8,C122="Dublagem Tapete",0.8,C122="Esp. + Pel.",0.8,C122="Espelhamento 2x",0.8)</f>
        <v>1</v>
      </c>
      <c r="U122" s="18">
        <v>1</v>
      </c>
      <c r="V122" s="18">
        <v>1</v>
      </c>
      <c r="W122" s="18"/>
      <c r="X122" s="18">
        <v>39.67</v>
      </c>
      <c r="Y122" s="18">
        <v>38.51</v>
      </c>
      <c r="Z122" s="18">
        <v>116.78</v>
      </c>
      <c r="AA122" s="18"/>
    </row>
    <row r="123" spans="1:27" ht="13.5" customHeight="1" x14ac:dyDescent="0.35">
      <c r="A123" s="18"/>
      <c r="B123" s="75" t="s">
        <v>302</v>
      </c>
      <c r="C123" s="23" t="s">
        <v>254</v>
      </c>
      <c r="D123" s="23"/>
      <c r="E123" s="24">
        <v>3</v>
      </c>
      <c r="F123" s="25">
        <v>0.77</v>
      </c>
      <c r="G123" s="25">
        <v>0.82</v>
      </c>
      <c r="H123" s="26" t="s">
        <v>243</v>
      </c>
      <c r="I123" s="27">
        <f t="shared" ref="I123:I128" si="48">G123/E123</f>
        <v>0.27333333333333332</v>
      </c>
      <c r="J123" s="28">
        <v>46036</v>
      </c>
      <c r="K123" s="29" t="s">
        <v>303</v>
      </c>
      <c r="L123" s="30">
        <f t="shared" ref="L123:L181" si="49">G123-M123-N123</f>
        <v>0.82</v>
      </c>
      <c r="M123" s="30">
        <f>IF(B123="Texion Textil",0,IF(C123="Malha",'Custos insumos'!$B$24,IF(C123="Dublagem Cretone",'Custos insumos'!$D$7,IF(C123="Dublagem Spun",'Custos insumos'!$D$4,IF(C123="Espelhamento",'Custos insumos'!$B$11,IF(C123="Espelhamento 2x",2*'Custos insumos'!$B$11,IF(C123="Esp. + Pel.",'Custos insumos'!$B$11,IF(C123="Pel. + Spun",'Custos insumos'!$D$4,IF(C123="Dublagem Cretone PES",'Custos insumos'!$D$7,IF(C123="Dublagem Barreira",'Custos insumos'!$D$11,IF(C123="Dublagem - MO + Filme",'Custos insumos'!$D$4,IF(C123="Dublagem Cretone HM50",'Custos insumos'!$D$26,IF(C123="Dublagem Cretone HM70",'Custos insumos'!$F$10,)))))))))))))</f>
        <v>0</v>
      </c>
      <c r="N123" s="30">
        <f>IF(B123="Texion Textil",0,IF(B123="Três Elos",0,IF(C123="Malha",0,IF(C123="Dublagem Cretone",'Custos insumos'!$D$23,IF(C123="Dublagem Spun",'Custos insumos'!$D$16,IF(C123="Espelhamento",0,IF(C123="Espelhamento 2x",0,IF(C123="Esp. + Pel.",0,IF(C123="Pel. + Spun",'Custos insumos'!$D$16,IF(C123="Dublagem Cretone PES",'Custos insumos'!$F$25,IF(C123="Dublagem Barreira",'Custos insumos'!$D$22,)))))))))))</f>
        <v>0</v>
      </c>
      <c r="O123" s="18"/>
      <c r="P123" s="53">
        <f t="shared" si="23"/>
        <v>-1.2654607046070463</v>
      </c>
      <c r="Q123" s="50">
        <f t="shared" si="24"/>
        <v>73.8</v>
      </c>
      <c r="R123" s="50" cm="1">
        <f t="array" ref="R123">_xlfn.IFS(C123="Calandra",(350),C123="Peletização",(421),C123="Dublagem Spun",(250),C123="Dublagem Cretone PES",(180),C123="Felpagem",(270/E123),C123="Emborrachamento",(200),C123="Espelhamento",(250),C123="Malha",(1),C123="Dublagem Cretone",(180),C123="Malha",(1),C123="Dublagem Spun - MO",250,C123="Dublagem Cretone - MO",180,C123="Dublagem Cretone PES - MO",180,C123="Espelhamento - MO",250,C123="Emborrachamento",100,C123="Malha",0,C123="Dublagem Barreira",100,C123="Pel. + Cal.",350,C123="Fel. + Pel. + Cal.",270,C123="Pel. + Spun",250,C123="Espelhamento - L: 1,45m",200,C123="Espelhamento - L: 1,65m",200,C123="Estampagem",100,C123="Fel. + Cal.",270,C123="Dublagem Juta",180,C123="Dublagem Cretone - MO (Juta)",180,C123="Dublagem Tapete",150,C123="Esp. + Pel.",200,C123="Espelhamento 2x",100)</f>
        <v>90</v>
      </c>
      <c r="S123" s="50">
        <f t="shared" si="31"/>
        <v>167.191</v>
      </c>
      <c r="T123" s="18" cm="1">
        <f t="array" ref="T123">_xlfn.IFS(C123="Calandra",0.4,C123="Felpagem",0.3,C123="Dublagem Spun",0.8,C123="Dublagem Cretone",0.8,C123="Dublagem Cretone PES",0.8,C123="Espelhamento",0.8,C123="Peletização",0.5,C123="Dublagem Spun - MO",0.8,C123="Dublagem Cretone - MO",0.8,C123="Dublagem Cretone PES - MO",0.8,C123="Espelhamento - MO",0.8,C123="Emborrachamento",1,C123="Malha",0,C123="Dublagem Barreira",1,C123="Pel. + Cal.",0.4,C123="Fel. + Pel. + Cal.",0.5,C123="Pel. + Spun",0.8,C123="Espelhamento - L: 1,45m",0.8,C123="Espelhamento - L: 1,65m",0.8,C123="Estampagem",1,C123="Fel. + Cal.",0.4,C123="Dublagem Juta",0.8,C123="Dublagem Cretone - MO (Juta)",0.8,C123="Dublagem Tapete",0.8,C123="Esp. + Pel.",0.8,C123="Espelhamento 2x",0.8)</f>
        <v>0.3</v>
      </c>
      <c r="U123" s="18">
        <v>1</v>
      </c>
      <c r="V123" s="18">
        <v>1</v>
      </c>
      <c r="W123" s="18"/>
      <c r="X123" s="18">
        <v>39.67</v>
      </c>
      <c r="Y123" s="18">
        <v>38.51</v>
      </c>
      <c r="Z123" s="18">
        <v>116.78</v>
      </c>
      <c r="AA123" s="18"/>
    </row>
    <row r="124" spans="1:27" ht="13.5" customHeight="1" x14ac:dyDescent="0.35">
      <c r="A124" s="18"/>
      <c r="B124" s="22" t="s">
        <v>304</v>
      </c>
      <c r="C124" s="23" t="s">
        <v>144</v>
      </c>
      <c r="D124" s="23"/>
      <c r="E124" s="24">
        <v>1</v>
      </c>
      <c r="F124" s="25">
        <v>0.65</v>
      </c>
      <c r="G124" s="25">
        <v>0.7</v>
      </c>
      <c r="H124" s="26" t="s">
        <v>243</v>
      </c>
      <c r="I124" s="27">
        <f t="shared" si="48"/>
        <v>0.7</v>
      </c>
      <c r="J124" s="28">
        <v>46036</v>
      </c>
      <c r="K124" s="29"/>
      <c r="L124" s="30">
        <f t="shared" si="49"/>
        <v>0.7</v>
      </c>
      <c r="M124" s="30">
        <f>IF(B124="Texion Textil",0,IF(C124="Malha",'Custos insumos'!$B$24,IF(C124="Dublagem Cretone",'Custos insumos'!$D$7,IF(C124="Dublagem Spun",'Custos insumos'!$D$4,IF(C124="Espelhamento",'Custos insumos'!$B$11,IF(C124="Espelhamento 2x",2*'Custos insumos'!$B$11,IF(C124="Esp. + Pel.",'Custos insumos'!$B$11,IF(C124="Pel. + Spun",'Custos insumos'!$D$4,IF(C124="Dublagem Cretone PES",'Custos insumos'!$D$7,IF(C124="Dublagem Barreira",'Custos insumos'!$D$11,IF(C124="Dublagem - MO + Filme",'Custos insumos'!$D$4,IF(C124="Dublagem Cretone HM50",'Custos insumos'!$D$26,IF(C124="Dublagem Cretone HM70",'Custos insumos'!$F$10,)))))))))))))</f>
        <v>0</v>
      </c>
      <c r="N124" s="30">
        <f>IF(B124="Texion Textil",0,IF(B124="Três Elos",0,IF(C124="Malha",0,IF(C124="Dublagem Cretone",'Custos insumos'!$D$23,IF(C124="Dublagem Spun",'Custos insumos'!$D$16,IF(C124="Espelhamento",0,IF(C124="Espelhamento 2x",0,IF(C124="Esp. + Pel.",0,IF(C124="Pel. + Spun",'Custos insumos'!$D$16,IF(C124="Dublagem Cretone PES",'Custos insumos'!$F$25,IF(C124="Dublagem Barreira",'Custos insumos'!$D$22,)))))))))))</f>
        <v>0</v>
      </c>
      <c r="O124" s="18"/>
      <c r="P124" s="53"/>
      <c r="Q124" s="50"/>
      <c r="R124" s="50" cm="1">
        <f t="array" ref="R124">_xlfn.IFS(C124="Calandra",(350),C124="Peletização",(421),C124="Dublagem Spun",(250),C124="Dublagem Cretone PES",(180),C124="Felpagem",(270/E124),C124="Emborrachamento",(200),C124="Espelhamento",(250),C124="Malha",(1),C124="Dublagem Cretone",(180),C124="Malha",(1),C124="Dublagem Spun - MO",250,C124="Dublagem Cretone - MO",180,C124="Dublagem Cretone PES - MO",180,C124="Espelhamento - MO",250,C124="Emborrachamento",100,C124="Malha",0,C124="Dublagem Barreira",100,C124="Pel. + Cal.",350,C124="Fel. + Pel. + Cal.",270,C124="Pel. + Spun",250,C124="Espelhamento - L: 1,45m",200,C124="Espelhamento - L: 1,65m",200,C124="Estampagem",100,C124="Fel. + Cal.",270,C124="Dublagem Juta",180,C124="Dublagem Cretone - MO (Juta)",180,C124="Dublagem Tapete",150,C124="Esp. + Pel.",200,C124="Espelhamento 2x",100)</f>
        <v>421</v>
      </c>
      <c r="S124" s="50"/>
      <c r="T124" s="18" cm="1">
        <f t="array" ref="T124">_xlfn.IFS(C124="Calandra",0.4,C124="Felpagem",0.3,C124="Dublagem Spun",0.8,C124="Dublagem Cretone",0.8,C124="Dublagem Cretone PES",0.8,C124="Espelhamento",0.8,C124="Peletização",0.5,C124="Dublagem Spun - MO",0.8,C124="Dublagem Cretone - MO",0.8,C124="Dublagem Cretone PES - MO",0.8,C124="Espelhamento - MO",0.8,C124="Emborrachamento",1,C124="Malha",0,C124="Dublagem Barreira",1,C124="Pel. + Cal.",0.4,C124="Fel. + Pel. + Cal.",0.5,C124="Pel. + Spun",0.8,C124="Espelhamento - L: 1,45m",0.8,C124="Espelhamento - L: 1,65m",0.8,C124="Estampagem",1,C124="Fel. + Cal.",0.4,C124="Dublagem Juta",0.8,C124="Dublagem Cretone - MO (Juta)",0.8,C124="Dublagem Tapete",0.8,C124="Esp. + Pel.",0.8,C124="Espelhamento 2x",0.8)</f>
        <v>0.5</v>
      </c>
      <c r="U124" s="18"/>
      <c r="V124" s="18"/>
      <c r="W124" s="18"/>
      <c r="X124" s="18"/>
      <c r="Y124" s="18"/>
      <c r="Z124" s="18"/>
      <c r="AA124" s="18"/>
    </row>
    <row r="125" spans="1:27" ht="14.25" customHeight="1" x14ac:dyDescent="0.35">
      <c r="A125" s="18"/>
      <c r="B125" s="22" t="s">
        <v>304</v>
      </c>
      <c r="C125" s="23" t="s">
        <v>98</v>
      </c>
      <c r="D125" s="23"/>
      <c r="E125" s="24">
        <v>1</v>
      </c>
      <c r="F125" s="25">
        <v>4.63</v>
      </c>
      <c r="G125" s="25">
        <v>4.63</v>
      </c>
      <c r="H125" s="26" t="s">
        <v>243</v>
      </c>
      <c r="I125" s="27">
        <f t="shared" si="48"/>
        <v>4.63</v>
      </c>
      <c r="J125" s="28">
        <v>46036</v>
      </c>
      <c r="K125" s="29"/>
      <c r="L125" s="30">
        <f t="shared" si="49"/>
        <v>4.63</v>
      </c>
      <c r="M125" s="30">
        <f>IF(B125="Texion Textil",0,IF(C125="Malha",'Custos insumos'!$B$24,IF(C125="Dublagem Cretone",'Custos insumos'!$D$7,IF(C125="Dublagem Spun",'Custos insumos'!$D$4,IF(C125="Espelhamento",'Custos insumos'!$B$11,IF(C125="Espelhamento 2x",2*'Custos insumos'!$B$11,IF(C125="Esp. + Pel.",'Custos insumos'!$B$11,IF(C125="Pel. + Spun",'Custos insumos'!$D$4,IF(C125="Dublagem Cretone PES",'Custos insumos'!$D$7,IF(C125="Dublagem Barreira",'Custos insumos'!$D$11,IF(C125="Dublagem - MO + Filme",'Custos insumos'!$D$4,IF(C125="Dublagem Cretone HM50",'Custos insumos'!$D$26,IF(C125="Dublagem Cretone HM70",'Custos insumos'!$F$10,)))))))))))))</f>
        <v>0</v>
      </c>
      <c r="N125" s="30">
        <f>IF(B125="Texion Textil",0,IF(B125="Três Elos",0,IF(C125="Malha",0,IF(C125="Dublagem Cretone",'Custos insumos'!$D$23,IF(C125="Dublagem Spun",'Custos insumos'!$D$16,IF(C125="Espelhamento",0,IF(C125="Espelhamento 2x",0,IF(C125="Esp. + Pel.",0,IF(C125="Pel. + Spun",'Custos insumos'!$D$16,IF(C125="Dublagem Cretone PES",'Custos insumos'!$F$25,IF(C125="Dublagem Barreira",'Custos insumos'!$D$22,)))))))))))</f>
        <v>0</v>
      </c>
      <c r="O125" s="18"/>
      <c r="P125" s="53" t="e">
        <f t="shared" ref="P125" si="50">(Q125-S125)/Q125</f>
        <v>#N/A</v>
      </c>
      <c r="Q125" s="50" t="e">
        <f t="shared" ref="Q125" si="51">G125*R125</f>
        <v>#N/A</v>
      </c>
      <c r="R125" s="50" t="e" cm="1">
        <f t="array" ref="R125">_xlfn.IFS(C125="Calandra",(350),C125="Peletização",(421),C125="Dublagem Spun",(250),C125="Dublagem Cretone PES",(180),C125="Felpagem",(270/E125),C125="Emborrachamento",(200),C125="Espelhamento",(250),C125="Malha",(1),C125="Dublagem Cretone",(180),C125="Malha",(1),C125="Dublagem Spun - MO",250,C125="Dublagem Cretone - MO",180,C125="Dublagem Cretone PES - MO",180,C125="Espelhamento - MO",250,C125="Emborrachamento",100,C125="Malha",0,C125="Dublagem Barreira",100,C125="Pel. + Cal.",350,C125="Fel. + Pel. + Cal.",270,C125="Pel. + Spun",250,C125="Espelhamento - L: 1,45m",200,C125="Espelhamento - L: 1,65m",200,C125="Estampagem",100,C125="Fel. + Cal.",270,C125="Dublagem Juta",180,C125="Dublagem Cretone - MO (Juta)",180,C125="Dublagem Tapete",150,C125="Esp. + Pel.",200,C125="Espelhamento 2x",100)</f>
        <v>#N/A</v>
      </c>
      <c r="S125" s="50" t="e">
        <f t="shared" ref="S125" si="52">(T125*X125)+(U125*Y125)+(V125*Z125)+((M125+N125)*(R125))</f>
        <v>#N/A</v>
      </c>
      <c r="T125" s="18" t="e" cm="1">
        <f t="array" ref="T125">_xlfn.IFS(C125="Calandra",0.4,C125="Felpagem",0.3,C125="Dublagem Spun",0.8,C125="Dublagem Cretone",0.8,C125="Dublagem Cretone PES",0.8,C125="Espelhamento",0.8,C125="Peletização",0.5,C125="Dublagem Spun - MO",0.8,C125="Dublagem Cretone - MO",0.8,C125="Dublagem Cretone PES - MO",0.8,C125="Espelhamento - MO",0.8,C125="Emborrachamento",1,C125="Malha",0,C125="Dublagem Barreira",1,C125="Pel. + Cal.",0.4,C125="Fel. + Pel. + Cal.",0.5,C125="Pel. + Spun",0.8,C125="Espelhamento - L: 1,45m",0.8,C125="Espelhamento - L: 1,65m",0.8,C125="Estampagem",1,C125="Fel. + Cal.",0.4,C125="Dublagem Juta",0.8,C125="Dublagem Cretone - MO (Juta)",0.8,C125="Dublagem Tapete",0.8,C125="Esp. + Pel.",0.8,C125="Espelhamento 2x",0.8)</f>
        <v>#N/A</v>
      </c>
      <c r="U125" s="18">
        <v>1</v>
      </c>
      <c r="V125" s="18">
        <v>1</v>
      </c>
      <c r="W125" s="18"/>
      <c r="X125" s="18">
        <v>39.67</v>
      </c>
      <c r="Y125" s="18">
        <v>38.51</v>
      </c>
      <c r="Z125" s="18">
        <v>116.78</v>
      </c>
      <c r="AA125" s="18"/>
    </row>
    <row r="126" spans="1:27" ht="14.25" customHeight="1" x14ac:dyDescent="0.35">
      <c r="A126" s="18"/>
      <c r="B126" s="22" t="s">
        <v>304</v>
      </c>
      <c r="C126" s="23" t="s">
        <v>254</v>
      </c>
      <c r="D126" s="23"/>
      <c r="E126" s="24">
        <v>2</v>
      </c>
      <c r="F126" s="25">
        <v>1.2</v>
      </c>
      <c r="G126" s="25">
        <v>1.4</v>
      </c>
      <c r="H126" s="26" t="s">
        <v>243</v>
      </c>
      <c r="I126" s="27">
        <f t="shared" si="48"/>
        <v>0.7</v>
      </c>
      <c r="J126" s="28">
        <v>46036</v>
      </c>
      <c r="K126" s="29"/>
      <c r="L126" s="30">
        <f t="shared" si="49"/>
        <v>1.4</v>
      </c>
      <c r="M126" s="30">
        <f>IF(B126="Texion Textil",0,IF(C126="Malha",'Custos insumos'!$B$24,IF(C126="Dublagem Cretone",'Custos insumos'!$D$7,IF(C126="Dublagem Spun",'Custos insumos'!$D$4,IF(C126="Espelhamento",'Custos insumos'!$B$11,IF(C126="Espelhamento 2x",2*'Custos insumos'!$B$11,IF(C126="Esp. + Pel.",'Custos insumos'!$B$11,IF(C126="Pel. + Spun",'Custos insumos'!$D$4,IF(C126="Dublagem Cretone PES",'Custos insumos'!$D$7,IF(C126="Dublagem Barreira",'Custos insumos'!$D$11,IF(C126="Dublagem - MO + Filme",'Custos insumos'!$D$4,IF(C126="Dublagem Cretone HM50",'Custos insumos'!$D$26,IF(C126="Dublagem Cretone HM70",'Custos insumos'!$F$10,)))))))))))))</f>
        <v>0</v>
      </c>
      <c r="N126" s="30">
        <f>IF(B126="Texion Textil",0,IF(B126="Três Elos",0,IF(C126="Malha",0,IF(C126="Dublagem Cretone",'Custos insumos'!$D$23,IF(C126="Dublagem Spun",'Custos insumos'!$D$16,IF(C126="Espelhamento",0,IF(C126="Espelhamento 2x",0,IF(C126="Esp. + Pel.",0,IF(C126="Pel. + Spun",'Custos insumos'!$D$16,IF(C126="Dublagem Cretone PES",'Custos insumos'!$F$25,IF(C126="Dublagem Barreira",'Custos insumos'!$D$22,)))))))))))</f>
        <v>0</v>
      </c>
      <c r="O126" s="18"/>
      <c r="P126" s="53"/>
      <c r="Q126" s="50"/>
      <c r="R126" s="50"/>
      <c r="S126" s="50"/>
      <c r="T126" s="18" cm="1">
        <f t="array" ref="T126">_xlfn.IFS(C126="Calandra",0.4,C126="Felpagem",0.3,C126="Dublagem Spun",0.8,C126="Dublagem Cretone",0.8,C126="Dublagem Cretone PES",0.8,C126="Espelhamento",0.8,C126="Peletização",0.5,C126="Dublagem Spun - MO",0.8,C126="Dublagem Cretone - MO",0.8,C126="Dublagem Cretone PES - MO",0.8,C126="Espelhamento - MO",0.8,C126="Emborrachamento",1,C126="Malha",0,C126="Dublagem Barreira",1,C126="Pel. + Cal.",0.4,C126="Fel. + Pel. + Cal.",0.5,C126="Pel. + Spun",0.8,C126="Espelhamento - L: 1,45m",0.8,C126="Espelhamento - L: 1,65m",0.8,C126="Estampagem",1,C126="Fel. + Cal.",0.4,C126="Dublagem Juta",0.8,C126="Dublagem Cretone - MO (Juta)",0.8,C126="Dublagem Tapete",0.8,C126="Esp. + Pel.",0.8,C126="Espelhamento 2x",0.8)</f>
        <v>0.3</v>
      </c>
      <c r="U126" s="18"/>
      <c r="V126" s="18"/>
      <c r="W126" s="18"/>
      <c r="X126" s="18"/>
      <c r="Y126" s="18"/>
      <c r="Z126" s="18"/>
      <c r="AA126" s="18"/>
    </row>
    <row r="127" spans="1:27" ht="14.25" customHeight="1" x14ac:dyDescent="0.35">
      <c r="A127" s="18"/>
      <c r="B127" s="77" t="s">
        <v>175</v>
      </c>
      <c r="C127" s="39" t="s">
        <v>106</v>
      </c>
      <c r="D127" s="23" t="s">
        <v>483</v>
      </c>
      <c r="E127" s="26">
        <v>1</v>
      </c>
      <c r="F127" s="25">
        <v>2.35</v>
      </c>
      <c r="G127" s="25">
        <v>2.35</v>
      </c>
      <c r="H127" s="26" t="s">
        <v>243</v>
      </c>
      <c r="I127" s="27">
        <f t="shared" si="48"/>
        <v>2.35</v>
      </c>
      <c r="J127" s="28">
        <v>46036</v>
      </c>
      <c r="K127" s="29"/>
      <c r="L127" s="30">
        <f t="shared" si="49"/>
        <v>1.0276000000000003</v>
      </c>
      <c r="M127" s="30">
        <f>'Custos insumos'!L11</f>
        <v>1.3223999999999998</v>
      </c>
      <c r="N127" s="30">
        <f>IF(B127="Texion Textil",0,IF(B127="Três Elos",0,IF(C127="Malha",0,IF(C127="Dublagem Cretone",'Custos insumos'!$D$23,IF(C127="Dublagem Spun",'Custos insumos'!$D$16,IF(C127="Espelhamento",0,IF(C127="Espelhamento 2x",0,IF(C127="Esp. + Pel.",0,IF(C127="Pel. + Spun",'Custos insumos'!$D$16,IF(C127="Dublagem Cretone PES",'Custos insumos'!$F$25,IF(C127="Dublagem Barreira",'Custos insumos'!$D$22,)))))))))))</f>
        <v>0</v>
      </c>
      <c r="O127" s="18"/>
      <c r="P127" s="53"/>
      <c r="Q127" s="50"/>
      <c r="R127" s="50"/>
      <c r="S127" s="50"/>
      <c r="T127" s="18"/>
      <c r="U127" s="18"/>
      <c r="V127" s="18"/>
      <c r="W127" s="18"/>
      <c r="X127" s="18"/>
      <c r="Y127" s="18"/>
      <c r="Z127" s="18"/>
      <c r="AA127" s="18"/>
    </row>
    <row r="128" spans="1:27" ht="14.25" customHeight="1" x14ac:dyDescent="0.35">
      <c r="A128" s="18"/>
      <c r="B128" s="77" t="s">
        <v>175</v>
      </c>
      <c r="C128" s="39" t="s">
        <v>142</v>
      </c>
      <c r="D128" s="23"/>
      <c r="E128" s="24">
        <v>1</v>
      </c>
      <c r="F128" s="25">
        <v>0.65</v>
      </c>
      <c r="G128" s="25">
        <v>0.7</v>
      </c>
      <c r="H128" s="26" t="s">
        <v>243</v>
      </c>
      <c r="I128" s="27">
        <f t="shared" si="48"/>
        <v>0.7</v>
      </c>
      <c r="J128" s="28">
        <v>46036</v>
      </c>
      <c r="K128" s="29"/>
      <c r="L128" s="30">
        <f t="shared" si="49"/>
        <v>0.7</v>
      </c>
      <c r="M128" s="30">
        <f>IF(B128="Texion Textil",0,IF(C128="Malha",'Custos insumos'!$B$24,IF(C128="Dublagem Cretone",'Custos insumos'!$D$7,IF(C128="Dublagem Spun",'Custos insumos'!$D$4,IF(C128="Espelhamento",'Custos insumos'!$B$11,IF(C128="Espelhamento 2x",2*'Custos insumos'!$B$11,IF(C128="Esp. + Pel.",'Custos insumos'!$B$11,IF(C128="Pel. + Spun",'Custos insumos'!$D$4,IF(C128="Dublagem Cretone PES",'Custos insumos'!$D$7,IF(C128="Dublagem Barreira",'Custos insumos'!$D$11,IF(C128="Dublagem - MO + Filme",'Custos insumos'!$D$4,IF(C128="Dublagem Cretone HM50",'Custos insumos'!$D$26,IF(C128="Dublagem Cretone HM70",'Custos insumos'!$F$10,)))))))))))))</f>
        <v>0</v>
      </c>
      <c r="N128" s="30">
        <f>IF(B128="Texion Textil",0,IF(B128="Três Elos",0,IF(C128="Malha",0,IF(C128="Dublagem Cretone",'Custos insumos'!$D$23,IF(C128="Dublagem Spun",'Custos insumos'!$D$16,IF(C128="Espelhamento",0,IF(C128="Espelhamento 2x",0,IF(C128="Esp. + Pel.",0,IF(C128="Pel. + Spun",'Custos insumos'!$D$16,IF(C128="Dublagem Cretone PES",'Custos insumos'!$F$25,IF(C128="Dublagem Barreira",'Custos insumos'!$D$22,)))))))))))</f>
        <v>0</v>
      </c>
      <c r="O128" s="18"/>
      <c r="P128" s="53"/>
      <c r="Q128" s="50"/>
      <c r="R128" s="50"/>
      <c r="S128" s="50"/>
      <c r="T128" s="18"/>
      <c r="U128" s="18"/>
      <c r="V128" s="18"/>
      <c r="W128" s="18"/>
      <c r="X128" s="18"/>
      <c r="Y128" s="18"/>
      <c r="Z128" s="18"/>
      <c r="AA128" s="18"/>
    </row>
    <row r="129" spans="1:27" ht="14.25" customHeight="1" x14ac:dyDescent="0.35">
      <c r="A129" s="18"/>
      <c r="B129" s="77" t="s">
        <v>175</v>
      </c>
      <c r="C129" s="39" t="s">
        <v>98</v>
      </c>
      <c r="D129" s="23" t="s">
        <v>500</v>
      </c>
      <c r="E129" s="24">
        <v>1</v>
      </c>
      <c r="F129" s="25">
        <v>2.75</v>
      </c>
      <c r="G129" s="25">
        <v>2.75</v>
      </c>
      <c r="H129" s="26"/>
      <c r="I129" s="27"/>
      <c r="J129" s="28">
        <v>46036</v>
      </c>
      <c r="K129" s="29"/>
      <c r="L129" s="30">
        <f t="shared" si="49"/>
        <v>1.5494000000000001</v>
      </c>
      <c r="M129" s="30">
        <f>'Custos insumos'!$L$3</f>
        <v>0.73080000000000001</v>
      </c>
      <c r="N129" s="30">
        <f>'Custos insumos'!L15</f>
        <v>0.4698</v>
      </c>
      <c r="O129" s="18"/>
      <c r="P129" s="53"/>
      <c r="Q129" s="50"/>
      <c r="R129" s="50"/>
      <c r="S129" s="50"/>
      <c r="T129" s="18"/>
      <c r="U129" s="18"/>
      <c r="V129" s="18"/>
      <c r="W129" s="18"/>
      <c r="X129" s="18"/>
      <c r="Y129" s="18"/>
      <c r="Z129" s="18"/>
      <c r="AA129" s="18"/>
    </row>
    <row r="130" spans="1:27" ht="14.25" customHeight="1" x14ac:dyDescent="0.35">
      <c r="A130" s="18"/>
      <c r="B130" s="64" t="s">
        <v>176</v>
      </c>
      <c r="C130" s="23" t="s">
        <v>98</v>
      </c>
      <c r="D130" s="23" t="s">
        <v>482</v>
      </c>
      <c r="E130" s="24">
        <v>1</v>
      </c>
      <c r="F130" s="25">
        <v>4.0999999999999996</v>
      </c>
      <c r="G130" s="25">
        <v>4.0999999999999996</v>
      </c>
      <c r="H130" s="26" t="s">
        <v>243</v>
      </c>
      <c r="I130" s="27">
        <f t="shared" ref="I130:I141" si="53">G130/E130</f>
        <v>4.0999999999999996</v>
      </c>
      <c r="J130" s="28">
        <v>46036</v>
      </c>
      <c r="K130" s="29" t="s">
        <v>248</v>
      </c>
      <c r="L130" s="30">
        <f t="shared" si="49"/>
        <v>2.6612</v>
      </c>
      <c r="M130" s="30">
        <f>'Custos insumos'!L3</f>
        <v>0.73080000000000001</v>
      </c>
      <c r="N130" s="30">
        <f>'Custos insumos'!L18</f>
        <v>0.70799999999999996</v>
      </c>
      <c r="O130" s="18"/>
      <c r="P130" s="53"/>
      <c r="Q130" s="50"/>
      <c r="R130" s="50"/>
      <c r="S130" s="50"/>
      <c r="T130" s="18"/>
      <c r="U130" s="18"/>
      <c r="V130" s="18"/>
      <c r="W130" s="18"/>
      <c r="X130" s="18"/>
      <c r="Y130" s="18"/>
      <c r="Z130" s="18"/>
      <c r="AA130" s="18"/>
    </row>
    <row r="131" spans="1:27" ht="14.25" customHeight="1" x14ac:dyDescent="0.35">
      <c r="A131" s="18"/>
      <c r="B131" s="22" t="s">
        <v>305</v>
      </c>
      <c r="C131" s="23" t="s">
        <v>142</v>
      </c>
      <c r="D131" s="23"/>
      <c r="E131" s="24">
        <v>1</v>
      </c>
      <c r="F131" s="25">
        <v>0.7</v>
      </c>
      <c r="G131" s="25">
        <v>0.8</v>
      </c>
      <c r="H131" s="26" t="s">
        <v>243</v>
      </c>
      <c r="I131" s="27">
        <f t="shared" si="53"/>
        <v>0.8</v>
      </c>
      <c r="J131" s="28">
        <v>46036</v>
      </c>
      <c r="K131" s="29"/>
      <c r="L131" s="30">
        <f t="shared" si="49"/>
        <v>0.8</v>
      </c>
      <c r="M131" s="30">
        <f>IF(B131="Texion Textil",0,IF(C131="Malha",'Custos insumos'!$B$24,IF(C131="Dublagem Cretone",'Custos insumos'!$D$7,IF(C131="Dublagem Spun",'Custos insumos'!$D$4,IF(C131="Espelhamento",'Custos insumos'!$B$11,IF(C131="Espelhamento 2x",2*'Custos insumos'!$B$11,IF(C131="Esp. + Pel.",'Custos insumos'!$B$11,IF(C131="Pel. + Spun",'Custos insumos'!$D$4,IF(C131="Dublagem Cretone PES",'Custos insumos'!$D$7,IF(C131="Dublagem Barreira",'Custos insumos'!$D$11,IF(C131="Dublagem - MO + Filme",'Custos insumos'!$D$4,IF(C131="Dublagem Cretone HM50",'Custos insumos'!$D$26,IF(C131="Dublagem Cretone HM70",'Custos insumos'!$F$10,)))))))))))))</f>
        <v>0</v>
      </c>
      <c r="N131" s="30">
        <f>IF(B131="Texion Textil",0,IF(B131="Três Elos",0,IF(C131="Malha",0,IF(C131="Dublagem Cretone",'Custos insumos'!$D$23,IF(C131="Dublagem Spun",'Custos insumos'!$D$16,IF(C131="Espelhamento",0,IF(C131="Espelhamento 2x",0,IF(C131="Esp. + Pel.",0,IF(C131="Pel. + Spun",'Custos insumos'!$D$16,IF(C131="Dublagem Cretone PES",'Custos insumos'!$F$25,IF(C131="Dublagem Barreira",'Custos insumos'!$D$22,)))))))))))</f>
        <v>0</v>
      </c>
      <c r="O131" s="18"/>
      <c r="P131" s="53">
        <f t="shared" ref="P131:P155" si="54">(Q131-S131)/Q131</f>
        <v>0.3887214285714285</v>
      </c>
      <c r="Q131" s="50">
        <f t="shared" ref="Q131:Q155" si="55">G131*R131</f>
        <v>280</v>
      </c>
      <c r="R131" s="50" cm="1">
        <f t="array" ref="R131">_xlfn.IFS(C131="Calandra",(350),C131="Peletização",(421),C131="Dublagem Spun",(250),C131="Dublagem Cretone PES",(180),C131="Felpagem",(270/E131),C131="Emborrachamento",(200),C131="Espelhamento",(250),C131="Malha",(1),C131="Dublagem Cretone",(180),C131="Malha",(1),C131="Dublagem Spun - MO",250,C131="Dublagem Cretone - MO",180,C131="Dublagem Cretone PES - MO",180,C131="Espelhamento - MO",250,C131="Emborrachamento",100,C131="Malha",0,C131="Dublagem Barreira",100,C131="Pel. + Cal.",350,C131="Fel. + Pel. + Cal.",270,C131="Pel. + Spun",250,C131="Espelhamento - L: 1,45m",200,C131="Espelhamento - L: 1,65m",200,C131="Estampagem",100,C131="Fel. + Cal.",270,C131="Dublagem Juta",180,C131="Dublagem Cretone - MO (Juta)",180,C131="Dublagem Tapete",150,C131="Esp. + Pel.",200,C131="Espelhamento 2x",100)</f>
        <v>350</v>
      </c>
      <c r="S131" s="50">
        <f t="shared" ref="S131:S155" si="56">(T131*X131)+(U131*Y131)+(V131*Z131)+((M131+N131)*(R131))</f>
        <v>171.15800000000002</v>
      </c>
      <c r="T131" s="18" cm="1">
        <f t="array" ref="T131">_xlfn.IFS(C131="Calandra",0.4,C131="Felpagem",0.3,C131="Dublagem Spun",0.8,C131="Dublagem Cretone",0.8,C131="Dublagem Cretone PES",0.8,C131="Espelhamento",0.8,C131="Peletização",0.5,C131="Dublagem Spun - MO",0.8,C131="Dublagem Cretone - MO",0.8,C131="Dublagem Cretone PES - MO",0.8,C131="Espelhamento - MO",0.8,C131="Emborrachamento",1,C131="Malha",0,C131="Dublagem Barreira",1,C131="Pel. + Cal.",0.4,C131="Fel. + Pel. + Cal.",0.5,C131="Pel. + Spun",0.8,C131="Espelhamento - L: 1,45m",0.8,C131="Espelhamento - L: 1,65m",0.8,C131="Estampagem",1,C131="Fel. + Cal.",0.4,C131="Dublagem Juta",0.8,C131="Dublagem Cretone - MO (Juta)",0.8,C131="Dublagem Tapete",0.8,C131="Esp. + Pel.",0.8,C131="Espelhamento 2x",0.8)</f>
        <v>0.4</v>
      </c>
      <c r="U131" s="18">
        <v>1</v>
      </c>
      <c r="V131" s="18">
        <v>1</v>
      </c>
      <c r="W131" s="18"/>
      <c r="X131" s="18">
        <v>39.67</v>
      </c>
      <c r="Y131" s="18">
        <v>38.51</v>
      </c>
      <c r="Z131" s="18">
        <v>116.78</v>
      </c>
      <c r="AA131" s="18"/>
    </row>
    <row r="132" spans="1:27" ht="14.25" customHeight="1" x14ac:dyDescent="0.35">
      <c r="A132" s="18"/>
      <c r="B132" s="22" t="s">
        <v>305</v>
      </c>
      <c r="C132" s="23" t="s">
        <v>98</v>
      </c>
      <c r="D132" s="23" t="s">
        <v>482</v>
      </c>
      <c r="E132" s="24">
        <v>1</v>
      </c>
      <c r="F132" s="25">
        <v>4.0999999999999996</v>
      </c>
      <c r="G132" s="25">
        <v>4.0999999999999996</v>
      </c>
      <c r="H132" s="26" t="s">
        <v>243</v>
      </c>
      <c r="I132" s="27">
        <f t="shared" si="53"/>
        <v>4.0999999999999996</v>
      </c>
      <c r="J132" s="28">
        <v>46036</v>
      </c>
      <c r="K132" s="29"/>
      <c r="L132" s="30">
        <f t="shared" si="49"/>
        <v>4.0999999999999996</v>
      </c>
      <c r="M132" s="30">
        <f>IF(B132="Texion Textil",0,IF(C132="Malha",'Custos insumos'!$B$24,IF(C132="Dublagem Cretone",'Custos insumos'!$D$7,IF(C132="Dublagem Spun",'Custos insumos'!$D$4,IF(C132="Espelhamento",'Custos insumos'!$B$11,IF(C132="Espelhamento 2x",2*'Custos insumos'!$B$11,IF(C132="Esp. + Pel.",'Custos insumos'!$B$11,IF(C132="Pel. + Spun",'Custos insumos'!$D$4,IF(C132="Dublagem Cretone PES",'Custos insumos'!$D$7,IF(C132="Dublagem Barreira",'Custos insumos'!$D$11,IF(C132="Dublagem - MO + Filme",'Custos insumos'!$D$4,IF(C132="Dublagem Cretone HM50",'Custos insumos'!$D$26,IF(C132="Dublagem Cretone HM70",'Custos insumos'!$F$10,)))))))))))))</f>
        <v>0</v>
      </c>
      <c r="N132" s="30">
        <v>0</v>
      </c>
      <c r="O132" s="18"/>
      <c r="P132" s="53" t="e">
        <f t="shared" si="54"/>
        <v>#N/A</v>
      </c>
      <c r="Q132" s="50" t="e">
        <f t="shared" si="55"/>
        <v>#N/A</v>
      </c>
      <c r="R132" s="50" t="e" cm="1">
        <f t="array" ref="R132">_xlfn.IFS(C132="Calandra",(350),C132="Peletização",(421),C132="Dublagem Spun",(250),C132="Dublagem Cretone PES",(180),C132="Felpagem",(270/E132),C132="Emborrachamento",(200),C132="Espelhamento",(250),C132="Malha",(1),C132="Dublagem Cretone",(180),C132="Malha",(1),C132="Dublagem Spun - MO",250,C132="Dublagem Cretone - MO",180,C132="Dublagem Cretone PES - MO",180,C132="Espelhamento - MO",250,C132="Emborrachamento",100,C132="Malha",0,C132="Dublagem Barreira",100,C132="Pel. + Cal.",350,C132="Fel. + Pel. + Cal.",270,C132="Pel. + Spun",250,C132="Espelhamento - L: 1,45m",200,C132="Espelhamento - L: 1,65m",200,C132="Estampagem",100,C132="Fel. + Cal.",270,C132="Dublagem Juta",180,C132="Dublagem Cretone - MO (Juta)",180,C132="Dublagem Tapete",150,C132="Esp. + Pel.",200,C132="Espelhamento 2x",100)</f>
        <v>#N/A</v>
      </c>
      <c r="S132" s="50" t="e">
        <f t="shared" si="56"/>
        <v>#N/A</v>
      </c>
      <c r="T132" s="18" t="e" cm="1">
        <f t="array" ref="T132">_xlfn.IFS(C132="Calandra",0.4,C132="Felpagem",0.3,C132="Dublagem Spun",0.8,C132="Dublagem Cretone",0.8,C132="Dublagem Cretone PES",0.8,C132="Espelhamento",0.8,C132="Peletização",0.5,C132="Dublagem Spun - MO",0.8,C132="Dublagem Cretone - MO",0.8,C132="Dublagem Cretone PES - MO",0.8,C132="Espelhamento - MO",0.8,C132="Emborrachamento",1,C132="Malha",0,C132="Dublagem Barreira",1,C132="Pel. + Cal.",0.4,C132="Fel. + Pel. + Cal.",0.5,C132="Pel. + Spun",0.8,C132="Espelhamento - L: 1,45m",0.8,C132="Espelhamento - L: 1,65m",0.8,C132="Estampagem",1,C132="Fel. + Cal.",0.4,C132="Dublagem Juta",0.8,C132="Dublagem Cretone - MO (Juta)",0.8,C132="Dublagem Tapete",0.8,C132="Esp. + Pel.",0.8,C132="Espelhamento 2x",0.8)</f>
        <v>#N/A</v>
      </c>
      <c r="U132" s="18">
        <v>1</v>
      </c>
      <c r="V132" s="18">
        <v>1</v>
      </c>
      <c r="W132" s="18"/>
      <c r="X132" s="18">
        <v>39.67</v>
      </c>
      <c r="Y132" s="18">
        <v>38.51</v>
      </c>
      <c r="Z132" s="18">
        <v>116.78</v>
      </c>
      <c r="AA132" s="18"/>
    </row>
    <row r="133" spans="1:27" ht="14.25" customHeight="1" x14ac:dyDescent="0.35">
      <c r="A133" s="18"/>
      <c r="B133" s="22" t="s">
        <v>305</v>
      </c>
      <c r="C133" s="32" t="s">
        <v>106</v>
      </c>
      <c r="D133" s="23" t="s">
        <v>483</v>
      </c>
      <c r="E133" s="24">
        <v>1</v>
      </c>
      <c r="F133" s="25">
        <v>2.4</v>
      </c>
      <c r="G133" s="25">
        <v>2.4</v>
      </c>
      <c r="H133" s="26" t="s">
        <v>243</v>
      </c>
      <c r="I133" s="27">
        <f t="shared" si="53"/>
        <v>2.4</v>
      </c>
      <c r="J133" s="28">
        <v>46036</v>
      </c>
      <c r="K133" s="29"/>
      <c r="L133" s="30">
        <f t="shared" si="49"/>
        <v>1.3414997101449273</v>
      </c>
      <c r="M133" s="30">
        <f>IF(B133="Texion Textil",0,IF(C133="Malha",'Custos insumos'!$B$24,IF(C133="Dublagem Cretone",'Custos insumos'!$D$7,IF(C133="Dublagem Spun",'Custos insumos'!$D$4,IF(C133="Espelhamento",'Custos insumos'!$B$11,IF(C133="Espelhamento 2x",2*'Custos insumos'!$B$11,IF(C133="Esp. + Pel.",'Custos insumos'!$B$11,IF(C133="Pel. + Spun",'Custos insumos'!$D$4,IF(C133="Dublagem Cretone PES",'Custos insumos'!$D$7,IF(C133="Dublagem Barreira",'Custos insumos'!$D$11,IF(C133="Dublagem - MO + Filme",'Custos insumos'!$D$4,IF(C133="Dublagem Cretone HM50",'Custos insumos'!$D$26,IF(C133="Dublagem Cretone HM70",'Custos insumos'!$F$10,)))))))))))))</f>
        <v>1.0585002898550726</v>
      </c>
      <c r="N133" s="30">
        <f>IF(B133="Texion Textil",0,IF(B133="Três Elos",0,IF(C133="Malha",0,IF(C133="Dublagem Cretone",'Custos insumos'!$D$23,IF(C133="Dublagem Spun",'Custos insumos'!$D$16,IF(C133="Espelhamento",0,IF(C133="Espelhamento 2x",0,IF(C133="Esp. + Pel.",0,IF(C133="Pel. + Spun",'Custos insumos'!$D$16,IF(C133="Dublagem Cretone PES",'Custos insumos'!$F$25,IF(C133="Dublagem Barreira",'Custos insumos'!$D$22,)))))))))))</f>
        <v>0</v>
      </c>
      <c r="O133" s="18"/>
      <c r="P133" s="53">
        <f t="shared" si="54"/>
        <v>0.24724821256038637</v>
      </c>
      <c r="Q133" s="50">
        <f t="shared" si="55"/>
        <v>600</v>
      </c>
      <c r="R133" s="50" cm="1">
        <f t="array" ref="R133">_xlfn.IFS(C133="Calandra",(350),C133="Peletização",(421),C133="Dublagem Spun",(250),C133="Dublagem Cretone PES",(180),C133="Felpagem",(270/E133),C133="Emborrachamento",(200),C133="Espelhamento",(250),C133="Malha",(1),C133="Dublagem Cretone",(180),C133="Malha",(1),C133="Dublagem Spun - MO",250,C133="Dublagem Cretone - MO",180,C133="Dublagem Cretone PES - MO",180,C133="Espelhamento - MO",250,C133="Emborrachamento",100,C133="Malha",0,C133="Dublagem Barreira",100,C133="Pel. + Cal.",350,C133="Fel. + Pel. + Cal.",270,C133="Pel. + Spun",250,C133="Espelhamento - L: 1,45m",200,C133="Espelhamento - L: 1,65m",200,C133="Estampagem",100,C133="Fel. + Cal.",270,C133="Dublagem Juta",180,C133="Dublagem Cretone - MO (Juta)",180,C133="Dublagem Tapete",150,C133="Esp. + Pel.",200,C133="Espelhamento 2x",100)</f>
        <v>250</v>
      </c>
      <c r="S133" s="50">
        <f t="shared" si="56"/>
        <v>451.65107246376817</v>
      </c>
      <c r="T133" s="18" cm="1">
        <f t="array" ref="T133">_xlfn.IFS(C133="Calandra",0.4,C133="Felpagem",0.3,C133="Dublagem Spun",0.8,C133="Dublagem Cretone",0.8,C133="Dublagem Cretone PES",0.8,C133="Espelhamento",0.8,C133="Peletização",0.5,C133="Dublagem Spun - MO",0.8,C133="Dublagem Cretone - MO",0.8,C133="Dublagem Cretone PES - MO",0.8,C133="Espelhamento - MO",0.8,C133="Emborrachamento",1,C133="Malha",0,C133="Dublagem Barreira",1,C133="Pel. + Cal.",0.4,C133="Fel. + Pel. + Cal.",0.5,C133="Pel. + Spun",0.8,C133="Espelhamento - L: 1,45m",0.8,C133="Espelhamento - L: 1,65m",0.8,C133="Estampagem",1,C133="Fel. + Cal.",0.4,C133="Dublagem Juta",0.8,C133="Dublagem Cretone - MO (Juta)",0.8,C133="Dublagem Tapete",0.8,C133="Esp. + Pel.",0.8,C133="Espelhamento 2x",0.8)</f>
        <v>0.8</v>
      </c>
      <c r="U133" s="18">
        <v>1</v>
      </c>
      <c r="V133" s="18">
        <v>1</v>
      </c>
      <c r="W133" s="18"/>
      <c r="X133" s="18">
        <v>39.67</v>
      </c>
      <c r="Y133" s="18">
        <v>38.51</v>
      </c>
      <c r="Z133" s="18">
        <v>116.78</v>
      </c>
      <c r="AA133" s="18"/>
    </row>
    <row r="134" spans="1:27" ht="14.25" customHeight="1" x14ac:dyDescent="0.35">
      <c r="A134" s="18"/>
      <c r="B134" s="22" t="s">
        <v>367</v>
      </c>
      <c r="C134" s="23" t="s">
        <v>254</v>
      </c>
      <c r="D134" s="23"/>
      <c r="E134" s="24">
        <v>2</v>
      </c>
      <c r="F134" s="25">
        <v>1.1000000000000001</v>
      </c>
      <c r="G134" s="25">
        <v>1.1000000000000001</v>
      </c>
      <c r="H134" s="26" t="s">
        <v>243</v>
      </c>
      <c r="I134" s="27">
        <f t="shared" si="53"/>
        <v>0.55000000000000004</v>
      </c>
      <c r="J134" s="28">
        <v>46036</v>
      </c>
      <c r="K134" s="29"/>
      <c r="L134" s="30">
        <f t="shared" si="49"/>
        <v>1.1000000000000001</v>
      </c>
      <c r="M134" s="30">
        <f>IF(B134="Texion Textil",0,IF(C134="Malha",'Custos insumos'!$B$24,IF(C134="Dublagem Cretone",'Custos insumos'!$D$7,IF(C134="Dublagem Spun",'Custos insumos'!$D$4,IF(C134="Espelhamento",'Custos insumos'!$B$11,IF(C134="Espelhamento 2x",2*'Custos insumos'!$B$11,IF(C134="Esp. + Pel.",'Custos insumos'!$B$11,IF(C134="Pel. + Spun",'Custos insumos'!$D$4,IF(C134="Dublagem Cretone PES",'Custos insumos'!$D$7,IF(C134="Dublagem Barreira",'Custos insumos'!$D$11,IF(C134="Dublagem - MO + Filme",'Custos insumos'!$D$4,IF(C134="Dublagem Cretone HM50",'Custos insumos'!$D$26,IF(C134="Dublagem Cretone HM70",'Custos insumos'!$F$10,)))))))))))))</f>
        <v>0</v>
      </c>
      <c r="N134" s="30">
        <f>IF(B134="Texion Textil",0,IF(B134="Três Elos",0,IF(C134="Malha",0,IF(C134="Dublagem Cretone",'Custos insumos'!$D$23,IF(C134="Dublagem Spun",'Custos insumos'!$D$19,IF(C134="Espelhamento",0,IF(C134="Espelhamento 2x",0,IF(C134="Esp. + Pel.",0,IF(C134="Pel. + Spun",'Custos insumos'!$D$19,IF(C134="Dublagem Cretone PES",'Custos insumos'!$F$25,IF(C134="Dublagem Barreira",'Custos insumos'!$D$22,)))))))))))</f>
        <v>0</v>
      </c>
      <c r="O134" s="18"/>
      <c r="P134" s="53">
        <f t="shared" si="54"/>
        <v>-0.12586531986531987</v>
      </c>
      <c r="Q134" s="50">
        <f t="shared" si="55"/>
        <v>148.5</v>
      </c>
      <c r="R134" s="50" cm="1">
        <f t="array" ref="R134">_xlfn.IFS(C134="Calandra",(350),C134="Peletização",(421),C134="Dublagem Spun",(250),C134="Dublagem Cretone PES",(180),C134="Felpagem",(270/E134),C134="Emborrachamento",(200),C134="Espelhamento",(250),C134="Malha",(1),C134="Dublagem Cretone",(180),C134="Malha",(1),C134="Dublagem Spun - MO",250,C134="Dublagem Cretone - MO",180,C134="Dublagem Cretone PES - MO",180,C134="Espelhamento - MO",250,C134="Emborrachamento",100,C134="Malha",0,C134="Dublagem Barreira",100,C134="Pel. + Cal.",350,C134="Fel. + Pel. + Cal.",270,C134="Pel. + Spun",250,C134="Espelhamento - L: 1,45m",200,C134="Espelhamento - L: 1,65m",200,C134="Estampagem",100,C134="Fel. + Cal.",270,C134="Dublagem Juta",180,C134="Dublagem Cretone - MO (Juta)",180,C134="Dublagem Tapete",150,C134="Esp. + Pel.",200,C134="Espelhamento 2x",100)</f>
        <v>135</v>
      </c>
      <c r="S134" s="50">
        <f t="shared" si="56"/>
        <v>167.191</v>
      </c>
      <c r="T134" s="18" cm="1">
        <f t="array" ref="T134">_xlfn.IFS(C134="Calandra",0.4,C134="Felpagem",0.3,C134="Dublagem Spun",0.8,C134="Dublagem Cretone",0.8,C134="Dublagem Cretone PES",0.8,C134="Espelhamento",0.8,C134="Peletização",0.5,C134="Dublagem Spun - MO",0.8,C134="Dublagem Cretone - MO",0.8,C134="Dublagem Cretone PES - MO",0.8,C134="Espelhamento - MO",0.8,C134="Emborrachamento",1,C134="Malha",0,C134="Dublagem Barreira",1,C134="Pel. + Cal.",0.4,C134="Fel. + Pel. + Cal.",0.5,C134="Pel. + Spun",0.8,C134="Espelhamento - L: 1,45m",0.8,C134="Espelhamento - L: 1,65m",0.8,C134="Estampagem",1,C134="Fel. + Cal.",0.4,C134="Dublagem Juta",0.8,C134="Dublagem Cretone - MO (Juta)",0.8,C134="Dublagem Tapete",0.8,C134="Esp. + Pel.",0.8,C134="Espelhamento 2x",0.8)</f>
        <v>0.3</v>
      </c>
      <c r="U134" s="18">
        <v>1</v>
      </c>
      <c r="V134" s="18">
        <v>1</v>
      </c>
      <c r="W134" s="18"/>
      <c r="X134" s="18">
        <v>39.67</v>
      </c>
      <c r="Y134" s="18">
        <v>38.51</v>
      </c>
      <c r="Z134" s="18">
        <v>116.78</v>
      </c>
      <c r="AA134" s="18"/>
    </row>
    <row r="135" spans="1:27" ht="14.25" customHeight="1" x14ac:dyDescent="0.35">
      <c r="A135" s="18"/>
      <c r="B135" s="22" t="s">
        <v>367</v>
      </c>
      <c r="C135" s="23" t="s">
        <v>244</v>
      </c>
      <c r="D135" s="23" t="s">
        <v>493</v>
      </c>
      <c r="E135" s="24">
        <v>1</v>
      </c>
      <c r="F135" s="25">
        <v>5.3</v>
      </c>
      <c r="G135" s="25">
        <v>5.3</v>
      </c>
      <c r="H135" s="26" t="s">
        <v>243</v>
      </c>
      <c r="I135" s="27">
        <f t="shared" si="53"/>
        <v>5.3</v>
      </c>
      <c r="J135" s="28">
        <v>46036</v>
      </c>
      <c r="K135" s="29"/>
      <c r="L135" s="30">
        <f t="shared" si="49"/>
        <v>1.7999999999999998</v>
      </c>
      <c r="M135" s="30">
        <v>3.5</v>
      </c>
      <c r="N135" s="30">
        <f>IF(B135="Texion Textil",0,IF(B135="Três Elos",0,IF(C135="Malha",0,IF(C135="Dublagem Cretone",'Custos insumos'!$D$23,IF(C135="Dublagem Spun",'Custos insumos'!$D$19,IF(C135="Espelhamento",0,IF(C135="Espelhamento 2x",0,IF(C135="Esp. + Pel.",0,IF(C135="Pel. + Spun",'Custos insumos'!$D$19,IF(C135="Dublagem Cretone PES",'Custos insumos'!$F$25,IF(C135="Dublagem Barreira",'Custos insumos'!$D$22,)))))))))))</f>
        <v>0</v>
      </c>
      <c r="O135" s="18"/>
      <c r="P135" s="53">
        <f t="shared" si="54"/>
        <v>0.15569811320754715</v>
      </c>
      <c r="Q135" s="50">
        <f t="shared" si="55"/>
        <v>1060</v>
      </c>
      <c r="R135" s="50" cm="1">
        <f t="array" ref="R135">_xlfn.IFS(C135="Calandra",(350),C135="Peletização",(421),C135="Dublagem Spun",(250),C135="Dublagem Cretone PES",(180),C135="Felpagem",(270/E135),C135="Emborrachamento",(200),C135="Espelhamento",(250),C135="Malha",(1),C135="Dublagem Cretone",(180),C135="Malha",(1),C135="Dublagem Spun - MO",250,C135="Dublagem Cretone - MO",180,C135="Dublagem Cretone PES - MO",180,C135="Espelhamento - MO",250,C135="Emborrachamento",100,C135="Malha",0,C135="Dublagem Barreira",100,C135="Pel. + Cal.",350,C135="Fel. + Pel. + Cal.",270,C135="Pel. + Spun",250,C135="Espelhamento - L: 1,45m",200,C135="Espelhamento - L: 1,65m",200,C135="Estampagem",100,C135="Fel. + Cal.",270,C135="Dublagem Juta",180,C135="Dublagem Cretone - MO (Juta)",180,C135="Dublagem Tapete",150,C135="Esp. + Pel.",200,C135="Espelhamento 2x",100)</f>
        <v>200</v>
      </c>
      <c r="S135" s="50">
        <f t="shared" si="56"/>
        <v>894.96</v>
      </c>
      <c r="T135" s="18" cm="1">
        <f t="array" ref="T135">_xlfn.IFS(C135="Calandra",0.4,C135="Felpagem",0.3,C135="Dublagem Spun",0.8,C135="Dublagem Cretone",0.8,C135="Dublagem Cretone PES",0.8,C135="Espelhamento",0.8,C135="Peletização",0.5,C135="Dublagem Spun - MO",0.8,C135="Dublagem Cretone - MO",0.8,C135="Dublagem Cretone PES - MO",0.8,C135="Espelhamento - MO",0.8,C135="Emborrachamento",1,C135="Malha",0,C135="Dublagem Barreira",1,C135="Pel. + Cal.",0.4,C135="Fel. + Pel. + Cal.",0.5,C135="Pel. + Spun",0.8,C135="Espelhamento - L: 1,45m",0.8,C135="Espelhamento - L: 1,65m",0.8,C135="Estampagem",1,C135="Fel. + Cal.",0.4,C135="Dublagem Juta",0.8,C135="Dublagem Cretone - MO (Juta)",0.8,C135="Dublagem Tapete",0.8,C135="Esp. + Pel.",0.8,C135="Espelhamento 2x",0.8)</f>
        <v>1</v>
      </c>
      <c r="U135" s="18">
        <v>1</v>
      </c>
      <c r="V135" s="18">
        <v>1</v>
      </c>
      <c r="W135" s="18"/>
      <c r="X135" s="18">
        <v>39.67</v>
      </c>
      <c r="Y135" s="18">
        <v>38.51</v>
      </c>
      <c r="Z135" s="18">
        <v>116.78</v>
      </c>
      <c r="AA135" s="18"/>
    </row>
    <row r="136" spans="1:27" ht="14.25" customHeight="1" x14ac:dyDescent="0.35">
      <c r="A136" s="18"/>
      <c r="B136" s="75" t="s">
        <v>206</v>
      </c>
      <c r="C136" s="23" t="s">
        <v>247</v>
      </c>
      <c r="D136" s="23" t="s">
        <v>501</v>
      </c>
      <c r="E136" s="24">
        <v>1</v>
      </c>
      <c r="F136" s="25">
        <v>4</v>
      </c>
      <c r="G136" s="25">
        <v>4.0999999999999996</v>
      </c>
      <c r="H136" s="26" t="s">
        <v>243</v>
      </c>
      <c r="I136" s="27">
        <f t="shared" si="53"/>
        <v>4.0999999999999996</v>
      </c>
      <c r="J136" s="28">
        <v>46036</v>
      </c>
      <c r="K136" s="29" t="s">
        <v>296</v>
      </c>
      <c r="L136" s="30">
        <f t="shared" si="49"/>
        <v>1.8691999999999998</v>
      </c>
      <c r="M136" s="30">
        <f>'Custos insumos'!$L$3</f>
        <v>0.73080000000000001</v>
      </c>
      <c r="N136" s="30">
        <f>'Custos insumos'!$L$25</f>
        <v>1.5</v>
      </c>
      <c r="O136" s="18"/>
      <c r="P136" s="53">
        <f t="shared" si="54"/>
        <v>0.20247967479674794</v>
      </c>
      <c r="Q136" s="50">
        <f t="shared" si="55"/>
        <v>737.99999999999989</v>
      </c>
      <c r="R136" s="50" cm="1">
        <f t="array" ref="R136">_xlfn.IFS(C136="Calandra",(350),C136="Peletização",(421),C136="Dublagem Spun",(250),C136="Dublagem Cretone PES",(180),C136="Felpagem",(270/E136),C136="Emborrachamento",(200),C136="Espelhamento",(250),C136="Malha",(1),C136="Dublagem Cretone",(180),C136="Malha",(1),C136="Dublagem Spun - MO",250,C136="Dublagem Cretone - MO",180,C136="Dublagem Cretone PES - MO",180,C136="Espelhamento - MO",250,C136="Emborrachamento",100,C136="Malha",0,C136="Dublagem Barreira",100,C136="Pel. + Cal.",350,C136="Fel. + Pel. + Cal.",270,C136="Pel. + Spun",250,C136="Espelhamento - L: 1,45m",200,C136="Espelhamento - L: 1,65m",200,C136="Estampagem",100,C136="Fel. + Cal.",270,C136="Dublagem Juta",180,C136="Dublagem Cretone - MO (Juta)",180,C136="Dublagem Tapete",150,C136="Esp. + Pel.",200,C136="Espelhamento 2x",100)</f>
        <v>180</v>
      </c>
      <c r="S136" s="50">
        <f t="shared" si="56"/>
        <v>588.56999999999994</v>
      </c>
      <c r="T136" s="18" cm="1">
        <f t="array" ref="T136">_xlfn.IFS(C136="Calandra",0.4,C136="Felpagem",0.3,C136="Dublagem Spun",0.8,C136="Dublagem Cretone",0.8,C136="Dublagem Cretone PES",0.8,C136="Espelhamento",0.8,C136="Peletização",0.5,C136="Dublagem Spun - MO",0.8,C136="Dublagem Cretone - MO",0.8,C136="Dublagem Cretone PES - MO",0.8,C136="Espelhamento - MO",0.8,C136="Emborrachamento",1,C136="Malha",0,C136="Dublagem Barreira",1,C136="Pel. + Cal.",0.4,C136="Fel. + Pel. + Cal.",0.5,C136="Pel. + Spun",0.8,C136="Espelhamento - L: 1,45m",0.8,C136="Espelhamento - L: 1,65m",0.8,C136="Estampagem",1,C136="Fel. + Cal.",0.4,C136="Dublagem Juta",0.8,C136="Dublagem Cretone - MO (Juta)",0.8,C136="Dublagem Tapete",0.8,C136="Esp. + Pel.",0.8,C136="Espelhamento 2x",0.8)</f>
        <v>0.8</v>
      </c>
      <c r="U136" s="18">
        <v>1</v>
      </c>
      <c r="V136" s="18">
        <v>1</v>
      </c>
      <c r="W136" s="18"/>
      <c r="X136" s="18">
        <v>39.67</v>
      </c>
      <c r="Y136" s="18">
        <v>38.51</v>
      </c>
      <c r="Z136" s="18">
        <v>116.78</v>
      </c>
      <c r="AA136" s="18"/>
    </row>
    <row r="137" spans="1:27" ht="14.25" customHeight="1" x14ac:dyDescent="0.35">
      <c r="A137" s="18"/>
      <c r="B137" s="75" t="s">
        <v>206</v>
      </c>
      <c r="C137" s="23" t="s">
        <v>144</v>
      </c>
      <c r="D137" s="23"/>
      <c r="E137" s="24">
        <v>1</v>
      </c>
      <c r="F137" s="25">
        <v>0.6</v>
      </c>
      <c r="G137" s="25">
        <v>0.7</v>
      </c>
      <c r="H137" s="26" t="s">
        <v>243</v>
      </c>
      <c r="I137" s="27">
        <f t="shared" si="53"/>
        <v>0.7</v>
      </c>
      <c r="J137" s="28">
        <v>46036</v>
      </c>
      <c r="K137" s="29" t="s">
        <v>307</v>
      </c>
      <c r="L137" s="30">
        <f t="shared" si="49"/>
        <v>0.7</v>
      </c>
      <c r="M137" s="30">
        <f>IF(B137="Texion Textil",0,IF(C137="Malha",'Custos insumos'!$B$24,IF(C137="Dublagem Cretone",'Custos insumos'!$D$7,IF(C137="Dublagem Spun",'Custos insumos'!$D$4,IF(C137="Espelhamento",'Custos insumos'!$B$11,IF(C137="Espelhamento 2x",2*'Custos insumos'!$B$11,IF(C137="Esp. + Pel.",'Custos insumos'!$B$11,IF(C137="Pel. + Spun",'Custos insumos'!$D$4,IF(C137="Dublagem Cretone PES",'Custos insumos'!$D$7,IF(C137="Dublagem Barreira",'Custos insumos'!$D$11,IF(C137="Dublagem - MO + Filme",'Custos insumos'!$D$4,IF(C137="Dublagem Cretone HM50",'Custos insumos'!$D$26,IF(C137="Dublagem Cretone HM70",'Custos insumos'!$F$10,)))))))))))))</f>
        <v>0</v>
      </c>
      <c r="N137" s="30">
        <f>IF(B137="Texion Textil",0,IF(B137="Três Elos",0,IF(C137="Malha",0,IF(C137="Dublagem Cretone",'Custos insumos'!$D$23,IF(C137="Dublagem Spun",'Custos insumos'!$D$16,IF(C137="Espelhamento",0,IF(C137="Espelhamento 2x",0,IF(C137="Esp. + Pel.",0,IF(C137="Pel. + Spun",'Custos insumos'!$D$16,IF(C137="Dublagem Cretone PES",'Custos insumos'!$F$25,IF(C137="Dublagem Barreira",'Custos insumos'!$D$22,)))))))))))</f>
        <v>0</v>
      </c>
      <c r="O137" s="18"/>
      <c r="P137" s="53">
        <f t="shared" si="54"/>
        <v>0.40575161180861891</v>
      </c>
      <c r="Q137" s="50">
        <f t="shared" si="55"/>
        <v>294.7</v>
      </c>
      <c r="R137" s="50" cm="1">
        <f t="array" ref="R137">_xlfn.IFS(C137="Calandra",(350),C137="Peletização",(421),C137="Dublagem Spun",(250),C137="Dublagem Cretone PES",(180),C137="Felpagem",(270/E137),C137="Emborrachamento",(200),C137="Espelhamento",(250),C137="Malha",(1),C137="Dublagem Cretone",(180),C137="Malha",(1),C137="Dublagem Spun - MO",250,C137="Dublagem Cretone - MO",180,C137="Dublagem Cretone PES - MO",180,C137="Espelhamento - MO",250,C137="Emborrachamento",100,C137="Malha",0,C137="Dublagem Barreira",100,C137="Pel. + Cal.",350,C137="Fel. + Pel. + Cal.",270,C137="Pel. + Spun",250,C137="Espelhamento - L: 1,45m",200,C137="Espelhamento - L: 1,65m",200,C137="Estampagem",100,C137="Fel. + Cal.",270,C137="Dublagem Juta",180,C137="Dublagem Cretone - MO (Juta)",180,C137="Dublagem Tapete",150,C137="Esp. + Pel.",200,C137="Espelhamento 2x",100)</f>
        <v>421</v>
      </c>
      <c r="S137" s="50">
        <f t="shared" si="56"/>
        <v>175.125</v>
      </c>
      <c r="T137" s="18" cm="1">
        <f t="array" ref="T137">_xlfn.IFS(C137="Calandra",0.4,C137="Felpagem",0.3,C137="Dublagem Spun",0.8,C137="Dublagem Cretone",0.8,C137="Dublagem Cretone PES",0.8,C137="Espelhamento",0.8,C137="Peletização",0.5,C137="Dublagem Spun - MO",0.8,C137="Dublagem Cretone - MO",0.8,C137="Dublagem Cretone PES - MO",0.8,C137="Espelhamento - MO",0.8,C137="Emborrachamento",1,C137="Malha",0,C137="Dublagem Barreira",1,C137="Pel. + Cal.",0.4,C137="Fel. + Pel. + Cal.",0.5,C137="Pel. + Spun",0.8,C137="Espelhamento - L: 1,45m",0.8,C137="Espelhamento - L: 1,65m",0.8,C137="Estampagem",1,C137="Fel. + Cal.",0.4,C137="Dublagem Juta",0.8,C137="Dublagem Cretone - MO (Juta)",0.8,C137="Dublagem Tapete",0.8,C137="Esp. + Pel.",0.8,C137="Espelhamento 2x",0.8)</f>
        <v>0.5</v>
      </c>
      <c r="U137" s="18">
        <v>1</v>
      </c>
      <c r="V137" s="18">
        <v>1</v>
      </c>
      <c r="W137" s="18"/>
      <c r="X137" s="18">
        <v>39.67</v>
      </c>
      <c r="Y137" s="18">
        <v>38.51</v>
      </c>
      <c r="Z137" s="18">
        <v>116.78</v>
      </c>
      <c r="AA137" s="18"/>
    </row>
    <row r="138" spans="1:27" ht="14.25" customHeight="1" x14ac:dyDescent="0.35">
      <c r="A138" s="18"/>
      <c r="B138" s="75" t="s">
        <v>206</v>
      </c>
      <c r="C138" s="23" t="s">
        <v>98</v>
      </c>
      <c r="D138" s="23" t="s">
        <v>239</v>
      </c>
      <c r="E138" s="24">
        <v>1</v>
      </c>
      <c r="F138" s="25">
        <v>1.1499999999999999</v>
      </c>
      <c r="G138" s="25">
        <v>1.1499999999999999</v>
      </c>
      <c r="H138" s="26" t="s">
        <v>243</v>
      </c>
      <c r="I138" s="27">
        <f t="shared" si="53"/>
        <v>1.1499999999999999</v>
      </c>
      <c r="J138" s="28">
        <v>46036</v>
      </c>
      <c r="K138" s="29" t="s">
        <v>307</v>
      </c>
      <c r="L138" s="30">
        <f t="shared" si="49"/>
        <v>1.1499999999999999</v>
      </c>
      <c r="M138" s="30">
        <f>IF(B138="Texion Textil",0,IF(C138="Malha",'Custos insumos'!$B$24,IF(C138="Dublagem Cretone",'Custos insumos'!$D$7,IF(C138="Dublagem Spun",'Custos insumos'!$D$4,IF(C138="Espelhamento",'Custos insumos'!$B$11,IF(C138="Espelhamento 2x",2*'Custos insumos'!$B$11,IF(C138="Esp. + Pel.",'Custos insumos'!$B$11,IF(C138="Pel. + Spun",'Custos insumos'!$D$4,IF(C138="Dublagem Cretone PES",'Custos insumos'!$D$7,IF(C138="Dublagem Barreira",'Custos insumos'!$D$11,IF(C138="Dublagem - MO + Filme",'Custos insumos'!$D$4,IF(C138="Dublagem Cretone HM50",'Custos insumos'!$D$26,IF(C138="Dublagem Cretone HM70",'Custos insumos'!$F$10,)))))))))))))</f>
        <v>0</v>
      </c>
      <c r="N138" s="30">
        <f>IF(B138="Texion Textil",0,IF(B138="Três Elos",0,IF(C138="Malha",0,IF(C138="Dublagem Cretone",'Custos insumos'!$D$23,IF(C138="Dublagem Spun",'Custos insumos'!$D$16,IF(C138="Espelhamento",0,IF(C138="Espelhamento 2x",0,IF(C138="Esp. + Pel.",0,IF(C138="Pel. + Spun",'Custos insumos'!$D$16,IF(C138="Dublagem Cretone PES",'Custos insumos'!$F$25,IF(C138="Dublagem Barreira",'Custos insumos'!$D$22,)))))))))))</f>
        <v>0</v>
      </c>
      <c r="O138" s="18"/>
      <c r="P138" s="53" t="e">
        <f t="shared" si="54"/>
        <v>#N/A</v>
      </c>
      <c r="Q138" s="50" t="e">
        <f t="shared" si="55"/>
        <v>#N/A</v>
      </c>
      <c r="R138" s="50" t="e" cm="1">
        <f t="array" ref="R138">_xlfn.IFS(C138="Calandra",(350),C138="Peletização",(421),C138="Dublagem Spun",(250),C138="Dublagem Cretone PES",(180),C138="Felpagem",(270/E138),C138="Emborrachamento",(200),C138="Espelhamento",(250),C138="Malha",(1),C138="Dublagem Cretone",(180),C138="Malha",(1),C138="Dublagem Spun - MO",250,C138="Dublagem Cretone - MO",180,C138="Dublagem Cretone PES - MO",180,C138="Espelhamento - MO",250,C138="Emborrachamento",100,C138="Malha",0,C138="Dublagem Barreira",100,C138="Pel. + Cal.",350,C138="Fel. + Pel. + Cal.",270,C138="Pel. + Spun",250,C138="Espelhamento - L: 1,45m",200,C138="Espelhamento - L: 1,65m",200,C138="Estampagem",100,C138="Fel. + Cal.",270,C138="Dublagem Juta",180,C138="Dublagem Cretone - MO (Juta)",180,C138="Dublagem Tapete",150,C138="Esp. + Pel.",200,C138="Espelhamento 2x",100)</f>
        <v>#N/A</v>
      </c>
      <c r="S138" s="50" t="e">
        <f t="shared" si="56"/>
        <v>#N/A</v>
      </c>
      <c r="T138" s="18" t="e" cm="1">
        <f t="array" ref="T138">_xlfn.IFS(C138="Calandra",0.4,C138="Felpagem",0.3,C138="Dublagem Spun",0.8,C138="Dublagem Cretone",0.8,C138="Dublagem Cretone PES",0.8,C138="Espelhamento",0.8,C138="Peletização",0.5,C138="Dublagem Spun - MO",0.8,C138="Dublagem Cretone - MO",0.8,C138="Dublagem Cretone PES - MO",0.8,C138="Espelhamento - MO",0.8,C138="Emborrachamento",1,C138="Malha",0,C138="Dublagem Barreira",1,C138="Pel. + Cal.",0.4,C138="Fel. + Pel. + Cal.",0.5,C138="Pel. + Spun",0.8,C138="Espelhamento - L: 1,45m",0.8,C138="Espelhamento - L: 1,65m",0.8,C138="Estampagem",1,C138="Fel. + Cal.",0.4,C138="Dublagem Juta",0.8,C138="Dublagem Cretone - MO (Juta)",0.8,C138="Dublagem Tapete",0.8,C138="Esp. + Pel.",0.8,C138="Espelhamento 2x",0.8)</f>
        <v>#N/A</v>
      </c>
      <c r="U138" s="18">
        <v>1</v>
      </c>
      <c r="V138" s="18">
        <v>1</v>
      </c>
      <c r="W138" s="18"/>
      <c r="X138" s="18">
        <v>39.67</v>
      </c>
      <c r="Y138" s="18">
        <v>38.51</v>
      </c>
      <c r="Z138" s="18">
        <v>116.78</v>
      </c>
      <c r="AA138" s="18"/>
    </row>
    <row r="139" spans="1:27" ht="14.25" customHeight="1" x14ac:dyDescent="0.35">
      <c r="A139" s="18"/>
      <c r="B139" s="75" t="s">
        <v>206</v>
      </c>
      <c r="C139" s="23" t="s">
        <v>98</v>
      </c>
      <c r="D139" s="23" t="s">
        <v>482</v>
      </c>
      <c r="E139" s="24">
        <v>1</v>
      </c>
      <c r="F139" s="25">
        <v>4.5</v>
      </c>
      <c r="G139" s="25">
        <v>4.5</v>
      </c>
      <c r="H139" s="26" t="s">
        <v>243</v>
      </c>
      <c r="I139" s="27">
        <f t="shared" si="53"/>
        <v>4.5</v>
      </c>
      <c r="J139" s="28">
        <v>46036</v>
      </c>
      <c r="K139" s="29" t="s">
        <v>307</v>
      </c>
      <c r="L139" s="30">
        <f t="shared" si="49"/>
        <v>3.1210800000000001</v>
      </c>
      <c r="M139" s="30">
        <f>'Custos insumos'!N3</f>
        <v>0.6611999999999999</v>
      </c>
      <c r="N139" s="30">
        <v>0.71771999999999991</v>
      </c>
      <c r="O139" s="18"/>
      <c r="P139" s="53" t="e">
        <f t="shared" si="54"/>
        <v>#N/A</v>
      </c>
      <c r="Q139" s="50" t="e">
        <f t="shared" si="55"/>
        <v>#N/A</v>
      </c>
      <c r="R139" s="50" t="e" cm="1">
        <f t="array" ref="R139">_xlfn.IFS(C139="Calandra",(350),C139="Peletização",(421),C139="Dublagem Spun",(250),C139="Dublagem Cretone PES",(180),C139="Felpagem",(270/E139),C139="Emborrachamento",(200),C139="Espelhamento",(250),C139="Malha",(1),C139="Dublagem Cretone",(180),C139="Malha",(1),C139="Dublagem Spun - MO",250,C139="Dublagem Cretone - MO",180,C139="Dublagem Cretone PES - MO",180,C139="Espelhamento - MO",250,C139="Emborrachamento",100,C139="Malha",0,C139="Dublagem Barreira",100,C139="Pel. + Cal.",350,C139="Fel. + Pel. + Cal.",270,C139="Pel. + Spun",250,C139="Espelhamento - L: 1,45m",200,C139="Espelhamento - L: 1,65m",200,C139="Estampagem",100,C139="Fel. + Cal.",270,C139="Dublagem Juta",180,C139="Dublagem Cretone - MO (Juta)",180,C139="Dublagem Tapete",150,C139="Esp. + Pel.",200,C139="Espelhamento 2x",100)</f>
        <v>#N/A</v>
      </c>
      <c r="S139" s="50" t="e">
        <f t="shared" si="56"/>
        <v>#N/A</v>
      </c>
      <c r="T139" s="18" t="e" cm="1">
        <f t="array" ref="T139">_xlfn.IFS(C139="Calandra",0.4,C139="Felpagem",0.3,C139="Dublagem Spun",0.8,C139="Dublagem Cretone",0.8,C139="Dublagem Cretone PES",0.8,C139="Espelhamento",0.8,C139="Peletização",0.5,C139="Dublagem Spun - MO",0.8,C139="Dublagem Cretone - MO",0.8,C139="Dublagem Cretone PES - MO",0.8,C139="Espelhamento - MO",0.8,C139="Emborrachamento",1,C139="Malha",0,C139="Dublagem Barreira",1,C139="Pel. + Cal.",0.4,C139="Fel. + Pel. + Cal.",0.5,C139="Pel. + Spun",0.8,C139="Espelhamento - L: 1,45m",0.8,C139="Espelhamento - L: 1,65m",0.8,C139="Estampagem",1,C139="Fel. + Cal.",0.4,C139="Dublagem Juta",0.8,C139="Dublagem Cretone - MO (Juta)",0.8,C139="Dublagem Tapete",0.8,C139="Esp. + Pel.",0.8,C139="Espelhamento 2x",0.8)</f>
        <v>#N/A</v>
      </c>
      <c r="U139" s="18">
        <v>1</v>
      </c>
      <c r="V139" s="18">
        <v>1</v>
      </c>
      <c r="W139" s="18"/>
      <c r="X139" s="18">
        <v>39.67</v>
      </c>
      <c r="Y139" s="18">
        <v>38.51</v>
      </c>
      <c r="Z139" s="18">
        <v>116.78</v>
      </c>
      <c r="AA139" s="18"/>
    </row>
    <row r="140" spans="1:27" ht="14.25" customHeight="1" x14ac:dyDescent="0.35">
      <c r="A140" s="18"/>
      <c r="B140" s="75" t="s">
        <v>206</v>
      </c>
      <c r="C140" s="23" t="s">
        <v>106</v>
      </c>
      <c r="D140" s="23" t="s">
        <v>239</v>
      </c>
      <c r="E140" s="24">
        <v>1</v>
      </c>
      <c r="F140" s="25">
        <v>1.1499999999999999</v>
      </c>
      <c r="G140" s="25">
        <v>1.1499999999999999</v>
      </c>
      <c r="H140" s="26" t="s">
        <v>243</v>
      </c>
      <c r="I140" s="27">
        <f t="shared" si="53"/>
        <v>1.1499999999999999</v>
      </c>
      <c r="J140" s="28">
        <v>46036</v>
      </c>
      <c r="K140" s="29" t="s">
        <v>307</v>
      </c>
      <c r="L140" s="30">
        <f t="shared" si="49"/>
        <v>9.1499710144927304E-2</v>
      </c>
      <c r="M140" s="30">
        <f>IF(B140="Texion Textil",0,IF(C140="Malha",'Custos insumos'!$B$24,IF(C140="Dublagem Cretone",'Custos insumos'!$D$7,IF(C140="Dublagem Spun",'Custos insumos'!$D$4,IF(C140="Espelhamento",'Custos insumos'!$B$11,IF(C140="Espelhamento 2x",2*'Custos insumos'!$B$11,IF(C140="Esp. + Pel.",'Custos insumos'!$B$11,IF(C140="Pel. + Spun",'Custos insumos'!$D$4,IF(C140="Dublagem Cretone PES",'Custos insumos'!$D$7,IF(C140="Dublagem Barreira",'Custos insumos'!$D$11,IF(C140="Dublagem - MO + Filme",'Custos insumos'!$D$4,IF(C140="Dublagem Cretone HM50",'Custos insumos'!$D$26,IF(C140="Dublagem Cretone HM70",'Custos insumos'!$F$10,)))))))))))))</f>
        <v>1.0585002898550726</v>
      </c>
      <c r="N140" s="30">
        <f>IF(B140="Texion Textil",0,IF(B140="Três Elos",0,IF(C140="Malha",0,IF(C140="Dublagem Cretone",'Custos insumos'!$D$23,IF(C140="Dublagem Spun",'Custos insumos'!$D$16,IF(C140="Espelhamento",0,IF(C140="Espelhamento 2x",0,IF(C140="Esp. + Pel.",0,IF(C140="Pel. + Spun",'Custos insumos'!$D$16,IF(C140="Dublagem Cretone PES",'Custos insumos'!$F$25,IF(C140="Dublagem Barreira",'Custos insumos'!$D$22,)))))))))))</f>
        <v>0</v>
      </c>
      <c r="O140" s="18"/>
      <c r="P140" s="53">
        <f t="shared" si="54"/>
        <v>-0.57096025204788925</v>
      </c>
      <c r="Q140" s="50">
        <f t="shared" si="55"/>
        <v>287.5</v>
      </c>
      <c r="R140" s="50" cm="1">
        <f t="array" ref="R140">_xlfn.IFS(C140="Calandra",(350),C140="Peletização",(421),C140="Dublagem Spun",(250),C140="Dublagem Cretone PES",(180),C140="Felpagem",(270/E140),C140="Emborrachamento",(200),C140="Espelhamento",(250),C140="Malha",(1),C140="Dublagem Cretone",(180),C140="Malha",(1),C140="Dublagem Spun - MO",250,C140="Dublagem Cretone - MO",180,C140="Dublagem Cretone PES - MO",180,C140="Espelhamento - MO",250,C140="Emborrachamento",100,C140="Malha",0,C140="Dublagem Barreira",100,C140="Pel. + Cal.",350,C140="Fel. + Pel. + Cal.",270,C140="Pel. + Spun",250,C140="Espelhamento - L: 1,45m",200,C140="Espelhamento - L: 1,65m",200,C140="Estampagem",100,C140="Fel. + Cal.",270,C140="Dublagem Juta",180,C140="Dublagem Cretone - MO (Juta)",180,C140="Dublagem Tapete",150,C140="Esp. + Pel.",200,C140="Espelhamento 2x",100)</f>
        <v>250</v>
      </c>
      <c r="S140" s="50">
        <f t="shared" si="56"/>
        <v>451.65107246376817</v>
      </c>
      <c r="T140" s="18" cm="1">
        <f t="array" ref="T140">_xlfn.IFS(C140="Calandra",0.4,C140="Felpagem",0.3,C140="Dublagem Spun",0.8,C140="Dublagem Cretone",0.8,C140="Dublagem Cretone PES",0.8,C140="Espelhamento",0.8,C140="Peletização",0.5,C140="Dublagem Spun - MO",0.8,C140="Dublagem Cretone - MO",0.8,C140="Dublagem Cretone PES - MO",0.8,C140="Espelhamento - MO",0.8,C140="Emborrachamento",1,C140="Malha",0,C140="Dublagem Barreira",1,C140="Pel. + Cal.",0.4,C140="Fel. + Pel. + Cal.",0.5,C140="Pel. + Spun",0.8,C140="Espelhamento - L: 1,45m",0.8,C140="Espelhamento - L: 1,65m",0.8,C140="Estampagem",1,C140="Fel. + Cal.",0.4,C140="Dublagem Juta",0.8,C140="Dublagem Cretone - MO (Juta)",0.8,C140="Dublagem Tapete",0.8,C140="Esp. + Pel.",0.8,C140="Espelhamento 2x",0.8)</f>
        <v>0.8</v>
      </c>
      <c r="U140" s="18">
        <v>1</v>
      </c>
      <c r="V140" s="18">
        <v>1</v>
      </c>
      <c r="W140" s="18"/>
      <c r="X140" s="18">
        <v>39.67</v>
      </c>
      <c r="Y140" s="18">
        <v>38.51</v>
      </c>
      <c r="Z140" s="18">
        <v>116.78</v>
      </c>
      <c r="AA140" s="18"/>
    </row>
    <row r="141" spans="1:27" ht="14.25" customHeight="1" x14ac:dyDescent="0.35">
      <c r="A141" s="18"/>
      <c r="B141" s="75" t="s">
        <v>206</v>
      </c>
      <c r="C141" s="23" t="s">
        <v>106</v>
      </c>
      <c r="D141" s="23" t="s">
        <v>483</v>
      </c>
      <c r="E141" s="24">
        <v>1</v>
      </c>
      <c r="F141" s="25">
        <v>2.4</v>
      </c>
      <c r="G141" s="25">
        <v>2.4</v>
      </c>
      <c r="H141" s="26" t="s">
        <v>243</v>
      </c>
      <c r="I141" s="27">
        <f t="shared" si="53"/>
        <v>2.4</v>
      </c>
      <c r="J141" s="28">
        <v>46036</v>
      </c>
      <c r="K141" s="29"/>
      <c r="L141" s="30">
        <f t="shared" si="49"/>
        <v>1.3414997101449273</v>
      </c>
      <c r="M141" s="30">
        <f>IF(B141="Texion Textil",0,IF(C141="Malha",'Custos insumos'!$B$24,IF(C141="Dublagem Cretone",'Custos insumos'!$D$7,IF(C141="Dublagem Spun",'Custos insumos'!$D$4,IF(C141="Espelhamento",'Custos insumos'!$B$11,IF(C141="Espelhamento 2x",2*'Custos insumos'!$B$11,IF(C141="Esp. + Pel.",'Custos insumos'!$B$11,IF(C141="Pel. + Spun",'Custos insumos'!$D$4,IF(C141="Dublagem Cretone PES",'Custos insumos'!$D$7,IF(C141="Dublagem Barreira",'Custos insumos'!$D$11,IF(C141="Dublagem - MO + Filme",'Custos insumos'!$D$4,IF(C141="Dublagem Cretone HM50",'Custos insumos'!$D$26,IF(C141="Dublagem Cretone HM70",'Custos insumos'!$F$10,)))))))))))))</f>
        <v>1.0585002898550726</v>
      </c>
      <c r="N141" s="30">
        <f>IF(B141="Texion Textil",0,IF(B141="Três Elos",0,IF(C141="Malha",0,IF(C141="Dublagem Cretone",'Custos insumos'!$D$23,IF(C141="Dublagem Spun",'Custos insumos'!$D$16,IF(C141="Espelhamento",0,IF(C141="Espelhamento 2x",0,IF(C141="Esp. + Pel.",0,IF(C141="Pel. + Spun",'Custos insumos'!$D$16,IF(C141="Dublagem Cretone PES",'Custos insumos'!$F$25,IF(C141="Dublagem Barreira",'Custos insumos'!$D$22,)))))))))))</f>
        <v>0</v>
      </c>
      <c r="O141" s="18"/>
      <c r="P141" s="53">
        <f t="shared" si="54"/>
        <v>0.24724821256038637</v>
      </c>
      <c r="Q141" s="50">
        <f t="shared" si="55"/>
        <v>600</v>
      </c>
      <c r="R141" s="50" cm="1">
        <f t="array" ref="R141">_xlfn.IFS(C141="Calandra",(350),C141="Peletização",(421),C141="Dublagem Spun",(250),C141="Dublagem Cretone PES",(180),C141="Felpagem",(270/E141),C141="Emborrachamento",(200),C141="Espelhamento",(250),C141="Malha",(1),C141="Dublagem Cretone",(180),C141="Malha",(1),C141="Dublagem Spun - MO",250,C141="Dublagem Cretone - MO",180,C141="Dublagem Cretone PES - MO",180,C141="Espelhamento - MO",250,C141="Emborrachamento",100,C141="Malha",0,C141="Dublagem Barreira",100,C141="Pel. + Cal.",350,C141="Fel. + Pel. + Cal.",270,C141="Pel. + Spun",250,C141="Espelhamento - L: 1,45m",200,C141="Espelhamento - L: 1,65m",200,C141="Estampagem",100,C141="Fel. + Cal.",270,C141="Dublagem Juta",180,C141="Dublagem Cretone - MO (Juta)",180,C141="Dublagem Tapete",150,C141="Esp. + Pel.",200,C141="Espelhamento 2x",100)</f>
        <v>250</v>
      </c>
      <c r="S141" s="50">
        <f t="shared" si="56"/>
        <v>451.65107246376817</v>
      </c>
      <c r="T141" s="18" cm="1">
        <f t="array" ref="T141">_xlfn.IFS(C141="Calandra",0.4,C141="Felpagem",0.3,C141="Dublagem Spun",0.8,C141="Dublagem Cretone",0.8,C141="Dublagem Cretone PES",0.8,C141="Espelhamento",0.8,C141="Peletização",0.5,C141="Dublagem Spun - MO",0.8,C141="Dublagem Cretone - MO",0.8,C141="Dublagem Cretone PES - MO",0.8,C141="Espelhamento - MO",0.8,C141="Emborrachamento",1,C141="Malha",0,C141="Dublagem Barreira",1,C141="Pel. + Cal.",0.4,C141="Fel. + Pel. + Cal.",0.5,C141="Pel. + Spun",0.8,C141="Espelhamento - L: 1,45m",0.8,C141="Espelhamento - L: 1,65m",0.8,C141="Estampagem",1,C141="Fel. + Cal.",0.4,C141="Dublagem Juta",0.8,C141="Dublagem Cretone - MO (Juta)",0.8,C141="Dublagem Tapete",0.8,C141="Esp. + Pel.",0.8,C141="Espelhamento 2x",0.8)</f>
        <v>0.8</v>
      </c>
      <c r="U141" s="18">
        <v>1</v>
      </c>
      <c r="V141" s="18">
        <v>1</v>
      </c>
      <c r="W141" s="18"/>
      <c r="X141" s="18">
        <v>39.67</v>
      </c>
      <c r="Y141" s="18">
        <v>38.51</v>
      </c>
      <c r="Z141" s="18">
        <v>116.78</v>
      </c>
      <c r="AA141" s="18"/>
    </row>
    <row r="142" spans="1:27" ht="14.25" customHeight="1" x14ac:dyDescent="0.35">
      <c r="A142" s="18"/>
      <c r="B142" s="75" t="s">
        <v>206</v>
      </c>
      <c r="C142" s="23" t="s">
        <v>244</v>
      </c>
      <c r="D142" s="23" t="s">
        <v>498</v>
      </c>
      <c r="E142" s="24">
        <v>1</v>
      </c>
      <c r="F142" s="25">
        <v>8.1</v>
      </c>
      <c r="G142" s="25">
        <v>8.1</v>
      </c>
      <c r="H142" s="26" t="s">
        <v>243</v>
      </c>
      <c r="I142" s="27"/>
      <c r="J142" s="28">
        <v>46036</v>
      </c>
      <c r="K142" s="29"/>
      <c r="L142" s="30">
        <f t="shared" si="49"/>
        <v>8.1</v>
      </c>
      <c r="M142" s="30">
        <f>IF(B142="Texion Textil",0,IF(C142="Malha",'Custos insumos'!$B$24,IF(C142="Dublagem Cretone",'Custos insumos'!$D$7,IF(C142="Dublagem Spun",'Custos insumos'!$D$4,IF(C142="Espelhamento",'Custos insumos'!$B$11,IF(C142="Espelhamento 2x",2*'Custos insumos'!$B$11,IF(C142="Esp. + Pel.",'Custos insumos'!$B$11,IF(C142="Pel. + Spun",'Custos insumos'!$D$4,IF(C142="Dublagem Cretone PES",'Custos insumos'!$D$7,IF(C142="Dublagem Barreira",'Custos insumos'!$D$11,IF(C142="Dublagem - MO + Filme",'Custos insumos'!$D$4,IF(C142="Dublagem Cretone HM50",'Custos insumos'!$D$26,IF(C142="Dublagem Cretone HM70",'Custos insumos'!$F$10,)))))))))))))</f>
        <v>0</v>
      </c>
      <c r="N142" s="30"/>
      <c r="O142" s="18"/>
      <c r="P142" s="53">
        <f t="shared" si="54"/>
        <v>0.87965432098765428</v>
      </c>
      <c r="Q142" s="50">
        <f t="shared" si="55"/>
        <v>1620</v>
      </c>
      <c r="R142" s="50" cm="1">
        <f t="array" ref="R142">_xlfn.IFS(C142="Calandra",(350),C142="Peletização",(421),C142="Dublagem Spun",(250),C142="Dublagem Cretone PES",(180),C142="Felpagem",(270/E142),C142="Emborrachamento",(200),C142="Espelhamento",(250),C142="Malha",(1),C142="Dublagem Cretone",(180),C142="Malha",(1),C142="Dublagem Spun - MO",250,C142="Dublagem Cretone - MO",180,C142="Dublagem Cretone PES - MO",180,C142="Espelhamento - MO",250,C142="Emborrachamento",100,C142="Malha",0,C142="Dublagem Barreira",100,C142="Pel. + Cal.",350,C142="Fel. + Pel. + Cal.",270,C142="Pel. + Spun",250,C142="Espelhamento - L: 1,45m",200,C142="Espelhamento - L: 1,65m",200,C142="Estampagem",100,C142="Fel. + Cal.",270,C142="Dublagem Juta",180,C142="Dublagem Cretone - MO (Juta)",180,C142="Dublagem Tapete",150,C142="Esp. + Pel.",200,C142="Espelhamento 2x",100)</f>
        <v>200</v>
      </c>
      <c r="S142" s="50">
        <f t="shared" si="56"/>
        <v>194.96</v>
      </c>
      <c r="T142" s="18" cm="1">
        <f t="array" ref="T142">_xlfn.IFS(C142="Calandra",0.4,C142="Felpagem",0.3,C142="Dublagem Spun",0.8,C142="Dublagem Cretone",0.8,C142="Dublagem Cretone PES",0.8,C142="Espelhamento",0.8,C142="Peletização",0.5,C142="Dublagem Spun - MO",0.8,C142="Dublagem Cretone - MO",0.8,C142="Dublagem Cretone PES - MO",0.8,C142="Espelhamento - MO",0.8,C142="Emborrachamento",1,C142="Malha",0,C142="Dublagem Barreira",1,C142="Pel. + Cal.",0.4,C142="Fel. + Pel. + Cal.",0.5,C142="Pel. + Spun",0.8,C142="Espelhamento - L: 1,45m",0.8,C142="Espelhamento - L: 1,65m",0.8,C142="Estampagem",1,C142="Fel. + Cal.",0.4,C142="Dublagem Juta",0.8,C142="Dublagem Cretone - MO (Juta)",0.8,C142="Dublagem Tapete",0.8,C142="Esp. + Pel.",0.8,C142="Espelhamento 2x",0.8)</f>
        <v>1</v>
      </c>
      <c r="U142" s="18">
        <v>1</v>
      </c>
      <c r="V142" s="18">
        <v>1</v>
      </c>
      <c r="W142" s="18"/>
      <c r="X142" s="18">
        <v>39.67</v>
      </c>
      <c r="Y142" s="18">
        <v>38.51</v>
      </c>
      <c r="Z142" s="18">
        <v>116.78</v>
      </c>
      <c r="AA142" s="18"/>
    </row>
    <row r="143" spans="1:27" ht="14.25" customHeight="1" x14ac:dyDescent="0.35">
      <c r="A143" s="18"/>
      <c r="B143" s="22" t="s">
        <v>309</v>
      </c>
      <c r="C143" s="23" t="s">
        <v>254</v>
      </c>
      <c r="D143" s="23"/>
      <c r="E143" s="24">
        <v>1</v>
      </c>
      <c r="F143" s="25">
        <v>0.8</v>
      </c>
      <c r="G143" s="25">
        <v>0.8</v>
      </c>
      <c r="H143" s="26"/>
      <c r="I143" s="27"/>
      <c r="J143" s="28">
        <v>46036</v>
      </c>
      <c r="K143" s="29"/>
      <c r="L143" s="30">
        <f t="shared" si="49"/>
        <v>0.8</v>
      </c>
      <c r="M143" s="30">
        <f>IF(B143="Texion Textil",0,IF(C143="Malha",'Custos insumos'!$B$24,IF(C143="Dublagem Cretone",'Custos insumos'!$D$7,IF(C143="Dublagem Spun",'Custos insumos'!$D$4,IF(C143="Espelhamento",'Custos insumos'!$B$11,IF(C143="Espelhamento 2x",2*'Custos insumos'!$B$11,IF(C143="Esp. + Pel.",'Custos insumos'!$B$11,IF(C143="Pel. + Spun",'Custos insumos'!$D$4,IF(C143="Dublagem Cretone PES",'Custos insumos'!$D$7,IF(C143="Dublagem Barreira",'Custos insumos'!$D$11,IF(C143="Dublagem - MO + Filme",'Custos insumos'!$D$4,IF(C143="Dublagem Cretone HM50",'Custos insumos'!$D$26,IF(C143="Dublagem Cretone HM70",'Custos insumos'!$F$10,)))))))))))))</f>
        <v>0</v>
      </c>
      <c r="N143" s="30">
        <f>IF(B143="Texion Textil",0,IF(B143="Três Elos",0,IF(C143="Malha",0,IF(C143="Dublagem Cretone",'Custos insumos'!$D$23,IF(C143="Dublagem Spun",'Custos insumos'!$D$16,IF(C143="Espelhamento",0,IF(C143="Espelhamento 2x",0,IF(C143="Esp. + Pel.",0,IF(C143="Pel. + Spun",'Custos insumos'!$D$16,IF(C143="Dublagem Cretone PES",'Custos insumos'!$F$25,IF(C143="Dublagem Barreira",'Custos insumos'!$D$22,)))))))))))</f>
        <v>0</v>
      </c>
      <c r="O143" s="18"/>
      <c r="P143" s="53">
        <f t="shared" si="54"/>
        <v>0.22596759259259258</v>
      </c>
      <c r="Q143" s="50">
        <f t="shared" si="55"/>
        <v>216</v>
      </c>
      <c r="R143" s="50" cm="1">
        <f t="array" ref="R143">_xlfn.IFS(C143="Calandra",(350),C143="Peletização",(421),C143="Dublagem Spun",(250),C143="Dublagem Cretone PES",(180),C143="Felpagem",(270/E143),C143="Emborrachamento",(200),C143="Espelhamento",(250),C143="Malha",(1),C143="Dublagem Cretone",(180),C143="Malha",(1),C143="Dublagem Spun - MO",250,C143="Dublagem Cretone - MO",180,C143="Dublagem Cretone PES - MO",180,C143="Espelhamento - MO",250,C143="Emborrachamento",100,C143="Malha",0,C143="Dublagem Barreira",100,C143="Pel. + Cal.",350,C143="Fel. + Pel. + Cal.",270,C143="Pel. + Spun",250,C143="Espelhamento - L: 1,45m",200,C143="Espelhamento - L: 1,65m",200,C143="Estampagem",100,C143="Fel. + Cal.",270,C143="Dublagem Juta",180,C143="Dublagem Cretone - MO (Juta)",180,C143="Dublagem Tapete",150,C143="Esp. + Pel.",200,C143="Espelhamento 2x",100)</f>
        <v>270</v>
      </c>
      <c r="S143" s="50">
        <f t="shared" si="56"/>
        <v>167.191</v>
      </c>
      <c r="T143" s="18" cm="1">
        <f t="array" ref="T143">_xlfn.IFS(C143="Calandra",0.4,C143="Felpagem",0.3,C143="Dublagem Spun",0.8,C143="Dublagem Cretone",0.8,C143="Dublagem Cretone PES",0.8,C143="Espelhamento",0.8,C143="Peletização",0.5,C143="Dublagem Spun - MO",0.8,C143="Dublagem Cretone - MO",0.8,C143="Dublagem Cretone PES - MO",0.8,C143="Espelhamento - MO",0.8,C143="Emborrachamento",1,C143="Malha",0,C143="Dublagem Barreira",1,C143="Pel. + Cal.",0.4,C143="Fel. + Pel. + Cal.",0.5,C143="Pel. + Spun",0.8,C143="Espelhamento - L: 1,45m",0.8,C143="Espelhamento - L: 1,65m",0.8,C143="Estampagem",1,C143="Fel. + Cal.",0.4,C143="Dublagem Juta",0.8,C143="Dublagem Cretone - MO (Juta)",0.8,C143="Dublagem Tapete",0.8,C143="Esp. + Pel.",0.8,C143="Espelhamento 2x",0.8)</f>
        <v>0.3</v>
      </c>
      <c r="U143" s="18">
        <v>1</v>
      </c>
      <c r="V143" s="18">
        <v>1</v>
      </c>
      <c r="W143" s="18"/>
      <c r="X143" s="18">
        <v>39.67</v>
      </c>
      <c r="Y143" s="18">
        <v>38.51</v>
      </c>
      <c r="Z143" s="18">
        <v>116.78</v>
      </c>
      <c r="AA143" s="18"/>
    </row>
    <row r="144" spans="1:27" ht="14.25" customHeight="1" x14ac:dyDescent="0.35">
      <c r="A144" s="18"/>
      <c r="B144" s="22" t="s">
        <v>309</v>
      </c>
      <c r="C144" s="23" t="s">
        <v>144</v>
      </c>
      <c r="D144" s="23"/>
      <c r="E144" s="24">
        <v>1</v>
      </c>
      <c r="F144" s="25">
        <v>0.7</v>
      </c>
      <c r="G144" s="25">
        <v>0.7</v>
      </c>
      <c r="H144" s="26"/>
      <c r="I144" s="27"/>
      <c r="J144" s="28">
        <v>46036</v>
      </c>
      <c r="K144" s="29"/>
      <c r="L144" s="30">
        <f t="shared" si="49"/>
        <v>0.7</v>
      </c>
      <c r="M144" s="30">
        <f>IF(B144="Texion Textil",0,IF(C144="Malha",'Custos insumos'!$B$24,IF(C144="Dublagem Cretone",'Custos insumos'!$D$7,IF(C144="Dublagem Spun",'Custos insumos'!$D$4,IF(C144="Espelhamento",'Custos insumos'!$B$11,IF(C144="Espelhamento 2x",2*'Custos insumos'!$B$11,IF(C144="Esp. + Pel.",'Custos insumos'!$B$11,IF(C144="Pel. + Spun",'Custos insumos'!$D$4,IF(C144="Dublagem Cretone PES",'Custos insumos'!$D$7,IF(C144="Dublagem Barreira",'Custos insumos'!$D$11,IF(C144="Dublagem - MO + Filme",'Custos insumos'!$D$4,IF(C144="Dublagem Cretone HM50",'Custos insumos'!$D$26,IF(C144="Dublagem Cretone HM70",'Custos insumos'!$F$10,)))))))))))))</f>
        <v>0</v>
      </c>
      <c r="N144" s="30">
        <f>IF(B144="Texion Textil",0,IF(B144="Três Elos",0,IF(C144="Malha",0,IF(C144="Dublagem Cretone",'Custos insumos'!$D$23,IF(C144="Dublagem Spun",'Custos insumos'!$D$16,IF(C144="Espelhamento",0,IF(C144="Espelhamento 2x",0,IF(C144="Esp. + Pel.",0,IF(C144="Pel. + Spun",'Custos insumos'!$D$16,IF(C144="Dublagem Cretone PES",'Custos insumos'!$F$25,IF(C144="Dublagem Barreira",'Custos insumos'!$D$22,)))))))))))</f>
        <v>0</v>
      </c>
      <c r="O144" s="18"/>
      <c r="P144" s="53">
        <f t="shared" si="54"/>
        <v>0.40575161180861891</v>
      </c>
      <c r="Q144" s="50">
        <f t="shared" si="55"/>
        <v>294.7</v>
      </c>
      <c r="R144" s="50" cm="1">
        <f t="array" ref="R144">_xlfn.IFS(C144="Calandra",(350),C144="Peletização",(421),C144="Dublagem Spun",(250),C144="Dublagem Cretone PES",(180),C144="Felpagem",(270/E144),C144="Emborrachamento",(200),C144="Espelhamento",(250),C144="Malha",(1),C144="Dublagem Cretone",(180),C144="Malha",(1),C144="Dublagem Spun - MO",250,C144="Dublagem Cretone - MO",180,C144="Dublagem Cretone PES - MO",180,C144="Espelhamento - MO",250,C144="Emborrachamento",100,C144="Malha",0,C144="Dublagem Barreira",100,C144="Pel. + Cal.",350,C144="Fel. + Pel. + Cal.",270,C144="Pel. + Spun",250,C144="Espelhamento - L: 1,45m",200,C144="Espelhamento - L: 1,65m",200,C144="Estampagem",100,C144="Fel. + Cal.",270,C144="Dublagem Juta",180,C144="Dublagem Cretone - MO (Juta)",180,C144="Dublagem Tapete",150,C144="Esp. + Pel.",200,C144="Espelhamento 2x",100)</f>
        <v>421</v>
      </c>
      <c r="S144" s="50">
        <f t="shared" si="56"/>
        <v>175.125</v>
      </c>
      <c r="T144" s="18" cm="1">
        <f t="array" ref="T144">_xlfn.IFS(C144="Calandra",0.4,C144="Felpagem",0.3,C144="Dublagem Spun",0.8,C144="Dublagem Cretone",0.8,C144="Dublagem Cretone PES",0.8,C144="Espelhamento",0.8,C144="Peletização",0.5,C144="Dublagem Spun - MO",0.8,C144="Dublagem Cretone - MO",0.8,C144="Dublagem Cretone PES - MO",0.8,C144="Espelhamento - MO",0.8,C144="Emborrachamento",1,C144="Malha",0,C144="Dublagem Barreira",1,C144="Pel. + Cal.",0.4,C144="Fel. + Pel. + Cal.",0.5,C144="Pel. + Spun",0.8,C144="Espelhamento - L: 1,45m",0.8,C144="Espelhamento - L: 1,65m",0.8,C144="Estampagem",1,C144="Fel. + Cal.",0.4,C144="Dublagem Juta",0.8,C144="Dublagem Cretone - MO (Juta)",0.8,C144="Dublagem Tapete",0.8,C144="Esp. + Pel.",0.8,C144="Espelhamento 2x",0.8)</f>
        <v>0.5</v>
      </c>
      <c r="U144" s="18">
        <v>1</v>
      </c>
      <c r="V144" s="18">
        <v>1</v>
      </c>
      <c r="W144" s="18"/>
      <c r="X144" s="18">
        <v>39.67</v>
      </c>
      <c r="Y144" s="18">
        <v>38.51</v>
      </c>
      <c r="Z144" s="18">
        <v>116.78</v>
      </c>
      <c r="AA144" s="18"/>
    </row>
    <row r="145" spans="1:27" ht="14.25" customHeight="1" x14ac:dyDescent="0.35">
      <c r="A145" s="18"/>
      <c r="B145" s="22" t="s">
        <v>309</v>
      </c>
      <c r="C145" s="23" t="s">
        <v>142</v>
      </c>
      <c r="D145" s="23"/>
      <c r="E145" s="24">
        <v>1</v>
      </c>
      <c r="F145" s="25">
        <v>0.7</v>
      </c>
      <c r="G145" s="25">
        <v>0.7</v>
      </c>
      <c r="H145" s="26"/>
      <c r="I145" s="27"/>
      <c r="J145" s="28">
        <v>46036</v>
      </c>
      <c r="K145" s="29"/>
      <c r="L145" s="30">
        <f t="shared" si="49"/>
        <v>0.7</v>
      </c>
      <c r="M145" s="30">
        <f>IF(B145="Texion Textil",0,IF(C145="Malha",'Custos insumos'!$B$24,IF(C145="Dublagem Cretone",'Custos insumos'!$D$7,IF(C145="Dublagem Spun",'Custos insumos'!$D$4,IF(C145="Espelhamento",'Custos insumos'!$B$11,IF(C145="Espelhamento 2x",2*'Custos insumos'!$B$11,IF(C145="Esp. + Pel.",'Custos insumos'!$B$11,IF(C145="Pel. + Spun",'Custos insumos'!$D$4,IF(C145="Dublagem Cretone PES",'Custos insumos'!$D$7,IF(C145="Dublagem Barreira",'Custos insumos'!$D$11,IF(C145="Dublagem - MO + Filme",'Custos insumos'!$D$4,IF(C145="Dublagem Cretone HM50",'Custos insumos'!$D$26,IF(C145="Dublagem Cretone HM70",'Custos insumos'!$F$10,)))))))))))))</f>
        <v>0</v>
      </c>
      <c r="N145" s="30">
        <f>IF(B145="Texion Textil",0,IF(B145="Três Elos",0,IF(C145="Malha",0,IF(C145="Dublagem Cretone",'Custos insumos'!$D$23,IF(C145="Dublagem Spun",'Custos insumos'!$D$16,IF(C145="Espelhamento",0,IF(C145="Espelhamento 2x",0,IF(C145="Esp. + Pel.",0,IF(C145="Pel. + Spun",'Custos insumos'!$D$16,IF(C145="Dublagem Cretone PES",'Custos insumos'!$F$25,IF(C145="Dublagem Barreira",'Custos insumos'!$D$22,)))))))))))</f>
        <v>0</v>
      </c>
      <c r="O145" s="18"/>
      <c r="P145" s="53">
        <f t="shared" si="54"/>
        <v>0.3013959183673468</v>
      </c>
      <c r="Q145" s="50">
        <f t="shared" si="55"/>
        <v>244.99999999999997</v>
      </c>
      <c r="R145" s="50" cm="1">
        <f t="array" ref="R145">_xlfn.IFS(C145="Calandra",(350),C145="Peletização",(421),C145="Dublagem Spun",(250),C145="Dublagem Cretone PES",(180),C145="Felpagem",(270/E145),C145="Emborrachamento",(200),C145="Espelhamento",(250),C145="Malha",(1),C145="Dublagem Cretone",(180),C145="Malha",(1),C145="Dublagem Spun - MO",250,C145="Dublagem Cretone - MO",180,C145="Dublagem Cretone PES - MO",180,C145="Espelhamento - MO",250,C145="Emborrachamento",100,C145="Malha",0,C145="Dublagem Barreira",100,C145="Pel. + Cal.",350,C145="Fel. + Pel. + Cal.",270,C145="Pel. + Spun",250,C145="Espelhamento - L: 1,45m",200,C145="Espelhamento - L: 1,65m",200,C145="Estampagem",100,C145="Fel. + Cal.",270,C145="Dublagem Juta",180,C145="Dublagem Cretone - MO (Juta)",180,C145="Dublagem Tapete",150,C145="Esp. + Pel.",200,C145="Espelhamento 2x",100)</f>
        <v>350</v>
      </c>
      <c r="S145" s="50">
        <f t="shared" si="56"/>
        <v>171.15800000000002</v>
      </c>
      <c r="T145" s="18" cm="1">
        <f t="array" ref="T145">_xlfn.IFS(C145="Calandra",0.4,C145="Felpagem",0.3,C145="Dublagem Spun",0.8,C145="Dublagem Cretone",0.8,C145="Dublagem Cretone PES",0.8,C145="Espelhamento",0.8,C145="Peletização",0.5,C145="Dublagem Spun - MO",0.8,C145="Dublagem Cretone - MO",0.8,C145="Dublagem Cretone PES - MO",0.8,C145="Espelhamento - MO",0.8,C145="Emborrachamento",1,C145="Malha",0,C145="Dublagem Barreira",1,C145="Pel. + Cal.",0.4,C145="Fel. + Pel. + Cal.",0.5,C145="Pel. + Spun",0.8,C145="Espelhamento - L: 1,45m",0.8,C145="Espelhamento - L: 1,65m",0.8,C145="Estampagem",1,C145="Fel. + Cal.",0.4,C145="Dublagem Juta",0.8,C145="Dublagem Cretone - MO (Juta)",0.8,C145="Dublagem Tapete",0.8,C145="Esp. + Pel.",0.8,C145="Espelhamento 2x",0.8)</f>
        <v>0.4</v>
      </c>
      <c r="U145" s="18">
        <v>1</v>
      </c>
      <c r="V145" s="18">
        <v>1</v>
      </c>
      <c r="W145" s="18"/>
      <c r="X145" s="18">
        <v>39.67</v>
      </c>
      <c r="Y145" s="18">
        <v>38.51</v>
      </c>
      <c r="Z145" s="18">
        <v>116.78</v>
      </c>
      <c r="AA145" s="18"/>
    </row>
    <row r="146" spans="1:27" ht="14.25" customHeight="1" x14ac:dyDescent="0.35">
      <c r="A146" s="18"/>
      <c r="B146" s="22" t="s">
        <v>309</v>
      </c>
      <c r="C146" s="23" t="s">
        <v>106</v>
      </c>
      <c r="D146" s="23" t="s">
        <v>483</v>
      </c>
      <c r="E146" s="24">
        <v>1</v>
      </c>
      <c r="F146" s="25">
        <v>2.4</v>
      </c>
      <c r="G146" s="25">
        <v>2.4</v>
      </c>
      <c r="H146" s="26"/>
      <c r="I146" s="27"/>
      <c r="J146" s="28">
        <v>46036</v>
      </c>
      <c r="K146" s="29"/>
      <c r="L146" s="30">
        <f t="shared" si="49"/>
        <v>1.3414997101449273</v>
      </c>
      <c r="M146" s="30">
        <f>IF(B146="Texion Textil",0,IF(C146="Malha",'Custos insumos'!$B$24,IF(C146="Dublagem Cretone",'Custos insumos'!$D$7,IF(C146="Dublagem Spun",'Custos insumos'!$D$4,IF(C146="Espelhamento",'Custos insumos'!$B$11,IF(C146="Espelhamento 2x",2*'Custos insumos'!$B$11,IF(C146="Esp. + Pel.",'Custos insumos'!$B$11,IF(C146="Pel. + Spun",'Custos insumos'!$D$4,IF(C146="Dublagem Cretone PES",'Custos insumos'!$D$7,IF(C146="Dublagem Barreira",'Custos insumos'!$D$11,IF(C146="Dublagem - MO + Filme",'Custos insumos'!$D$4,IF(C146="Dublagem Cretone HM50",'Custos insumos'!$D$26,IF(C146="Dublagem Cretone HM70",'Custos insumos'!$F$10,)))))))))))))</f>
        <v>1.0585002898550726</v>
      </c>
      <c r="N146" s="30">
        <f>IF(B146="Texion Textil",0,IF(B146="Três Elos",0,IF(C146="Malha",0,IF(C146="Dublagem Cretone",'Custos insumos'!$D$23,IF(C146="Dublagem Spun",'Custos insumos'!$D$16,IF(C146="Espelhamento",0,IF(C146="Espelhamento 2x",0,IF(C146="Esp. + Pel.",0,IF(C146="Pel. + Spun",'Custos insumos'!$D$16,IF(C146="Dublagem Cretone PES",'Custos insumos'!$F$25,IF(C146="Dublagem Barreira",'Custos insumos'!$D$22,)))))))))))</f>
        <v>0</v>
      </c>
      <c r="O146" s="18"/>
      <c r="P146" s="53">
        <f t="shared" si="54"/>
        <v>0.24724821256038637</v>
      </c>
      <c r="Q146" s="50">
        <f t="shared" si="55"/>
        <v>600</v>
      </c>
      <c r="R146" s="50" cm="1">
        <f t="array" ref="R146">_xlfn.IFS(C146="Calandra",(350),C146="Peletização",(421),C146="Dublagem Spun",(250),C146="Dublagem Cretone PES",(180),C146="Felpagem",(270/E146),C146="Emborrachamento",(200),C146="Espelhamento",(250),C146="Malha",(1),C146="Dublagem Cretone",(180),C146="Malha",(1),C146="Dublagem Spun - MO",250,C146="Dublagem Cretone - MO",180,C146="Dublagem Cretone PES - MO",180,C146="Espelhamento - MO",250,C146="Emborrachamento",100,C146="Malha",0,C146="Dublagem Barreira",100,C146="Pel. + Cal.",350,C146="Fel. + Pel. + Cal.",270,C146="Pel. + Spun",250,C146="Espelhamento - L: 1,45m",200,C146="Espelhamento - L: 1,65m",200,C146="Estampagem",100,C146="Fel. + Cal.",270,C146="Dublagem Juta",180,C146="Dublagem Cretone - MO (Juta)",180,C146="Dublagem Tapete",150,C146="Esp. + Pel.",200,C146="Espelhamento 2x",100)</f>
        <v>250</v>
      </c>
      <c r="S146" s="50">
        <f t="shared" si="56"/>
        <v>451.65107246376817</v>
      </c>
      <c r="T146" s="18" cm="1">
        <f t="array" ref="T146">_xlfn.IFS(C146="Calandra",0.4,C146="Felpagem",0.3,C146="Dublagem Spun",0.8,C146="Dublagem Cretone",0.8,C146="Dublagem Cretone PES",0.8,C146="Espelhamento",0.8,C146="Peletização",0.5,C146="Dublagem Spun - MO",0.8,C146="Dublagem Cretone - MO",0.8,C146="Dublagem Cretone PES - MO",0.8,C146="Espelhamento - MO",0.8,C146="Emborrachamento",1,C146="Malha",0,C146="Dublagem Barreira",1,C146="Pel. + Cal.",0.4,C146="Fel. + Pel. + Cal.",0.5,C146="Pel. + Spun",0.8,C146="Espelhamento - L: 1,45m",0.8,C146="Espelhamento - L: 1,65m",0.8,C146="Estampagem",1,C146="Fel. + Cal.",0.4,C146="Dublagem Juta",0.8,C146="Dublagem Cretone - MO (Juta)",0.8,C146="Dublagem Tapete",0.8,C146="Esp. + Pel.",0.8,C146="Espelhamento 2x",0.8)</f>
        <v>0.8</v>
      </c>
      <c r="U146" s="18">
        <v>1</v>
      </c>
      <c r="V146" s="18">
        <v>1</v>
      </c>
      <c r="W146" s="18"/>
      <c r="X146" s="18">
        <v>39.67</v>
      </c>
      <c r="Y146" s="18">
        <v>38.51</v>
      </c>
      <c r="Z146" s="18">
        <v>116.78</v>
      </c>
      <c r="AA146" s="18"/>
    </row>
    <row r="147" spans="1:27" ht="14.25" customHeight="1" x14ac:dyDescent="0.35">
      <c r="A147" s="18"/>
      <c r="B147" s="22" t="s">
        <v>309</v>
      </c>
      <c r="C147" s="23" t="s">
        <v>98</v>
      </c>
      <c r="D147" s="23" t="s">
        <v>482</v>
      </c>
      <c r="E147" s="24">
        <v>1</v>
      </c>
      <c r="F147" s="25">
        <v>4.5</v>
      </c>
      <c r="G147" s="25">
        <v>4.5</v>
      </c>
      <c r="H147" s="26"/>
      <c r="I147" s="27"/>
      <c r="J147" s="28">
        <v>46036</v>
      </c>
      <c r="K147" s="29"/>
      <c r="L147" s="30">
        <f t="shared" si="49"/>
        <v>4.5</v>
      </c>
      <c r="M147" s="30">
        <f>IF(B147="Texion Textil",0,IF(C147="Malha",'Custos insumos'!$B$24,IF(C147="Dublagem Cretone",'Custos insumos'!$D$7,IF(C147="Dublagem Spun",'Custos insumos'!$D$4,IF(C147="Espelhamento",'Custos insumos'!$B$11,IF(C147="Espelhamento 2x",2*'Custos insumos'!$B$11,IF(C147="Esp. + Pel.",'Custos insumos'!$B$11,IF(C147="Pel. + Spun",'Custos insumos'!$D$4,IF(C147="Dublagem Cretone PES",'Custos insumos'!$D$7,IF(C147="Dublagem Barreira",'Custos insumos'!$D$11,IF(C147="Dublagem - MO + Filme",'Custos insumos'!$D$4,IF(C147="Dublagem Cretone HM50",'Custos insumos'!$D$26,IF(C147="Dublagem Cretone HM70",'Custos insumos'!$F$10,)))))))))))))</f>
        <v>0</v>
      </c>
      <c r="N147" s="30">
        <f>IF(B147="Texion Textil",0,IF(B147="Três Elos",0,IF(C147="Malha",0,IF(C147="Dublagem Cretone",'Custos insumos'!$D$23,IF(C147="Dublagem Spun",'Custos insumos'!$D$16,IF(C147="Espelhamento",0,IF(C147="Espelhamento 2x",0,IF(C147="Esp. + Pel.",0,IF(C147="Pel. + Spun",'Custos insumos'!$D$16,IF(C147="Dublagem Cretone PES",'Custos insumos'!$F$25,IF(C147="Dublagem Barreira",'Custos insumos'!$D$22,)))))))))))</f>
        <v>0</v>
      </c>
      <c r="O147" s="18"/>
      <c r="P147" s="53" t="e">
        <f t="shared" si="54"/>
        <v>#N/A</v>
      </c>
      <c r="Q147" s="50" t="e">
        <f t="shared" si="55"/>
        <v>#N/A</v>
      </c>
      <c r="R147" s="50" t="e" cm="1">
        <f t="array" ref="R147">_xlfn.IFS(C147="Calandra",(350),C147="Peletização",(421),C147="Dublagem Spun",(250),C147="Dublagem Cretone PES",(180),C147="Felpagem",(270/E147),C147="Emborrachamento",(200),C147="Espelhamento",(250),C147="Malha",(1),C147="Dublagem Cretone",(180),C147="Malha",(1),C147="Dublagem Spun - MO",250,C147="Dublagem Cretone - MO",180,C147="Dublagem Cretone PES - MO",180,C147="Espelhamento - MO",250,C147="Emborrachamento",100,C147="Malha",0,C147="Dublagem Barreira",100,C147="Pel. + Cal.",350,C147="Fel. + Pel. + Cal.",270,C147="Pel. + Spun",250,C147="Espelhamento - L: 1,45m",200,C147="Espelhamento - L: 1,65m",200,C147="Estampagem",100,C147="Fel. + Cal.",270,C147="Dublagem Juta",180,C147="Dublagem Cretone - MO (Juta)",180,C147="Dublagem Tapete",150,C147="Esp. + Pel.",200,C147="Espelhamento 2x",100)</f>
        <v>#N/A</v>
      </c>
      <c r="S147" s="50" t="e">
        <f t="shared" si="56"/>
        <v>#N/A</v>
      </c>
      <c r="T147" s="18" t="e" cm="1">
        <f t="array" ref="T147">_xlfn.IFS(C147="Calandra",0.4,C147="Felpagem",0.3,C147="Dublagem Spun",0.8,C147="Dublagem Cretone",0.8,C147="Dublagem Cretone PES",0.8,C147="Espelhamento",0.8,C147="Peletização",0.5,C147="Dublagem Spun - MO",0.8,C147="Dublagem Cretone - MO",0.8,C147="Dublagem Cretone PES - MO",0.8,C147="Espelhamento - MO",0.8,C147="Emborrachamento",1,C147="Malha",0,C147="Dublagem Barreira",1,C147="Pel. + Cal.",0.4,C147="Fel. + Pel. + Cal.",0.5,C147="Pel. + Spun",0.8,C147="Espelhamento - L: 1,45m",0.8,C147="Espelhamento - L: 1,65m",0.8,C147="Estampagem",1,C147="Fel. + Cal.",0.4,C147="Dublagem Juta",0.8,C147="Dublagem Cretone - MO (Juta)",0.8,C147="Dublagem Tapete",0.8,C147="Esp. + Pel.",0.8,C147="Espelhamento 2x",0.8)</f>
        <v>#N/A</v>
      </c>
      <c r="U147" s="18">
        <v>1</v>
      </c>
      <c r="V147" s="18">
        <v>1</v>
      </c>
      <c r="W147" s="18"/>
      <c r="X147" s="18">
        <v>39.67</v>
      </c>
      <c r="Y147" s="18">
        <v>38.51</v>
      </c>
      <c r="Z147" s="18">
        <v>116.78</v>
      </c>
      <c r="AA147" s="18"/>
    </row>
    <row r="148" spans="1:27" ht="14.25" customHeight="1" x14ac:dyDescent="0.35">
      <c r="A148" s="18"/>
      <c r="B148" s="22" t="s">
        <v>309</v>
      </c>
      <c r="C148" s="23" t="s">
        <v>247</v>
      </c>
      <c r="D148" s="23" t="s">
        <v>492</v>
      </c>
      <c r="E148" s="24">
        <v>1</v>
      </c>
      <c r="F148" s="25">
        <v>5.9</v>
      </c>
      <c r="G148" s="25">
        <v>5.9</v>
      </c>
      <c r="H148" s="26"/>
      <c r="I148" s="27"/>
      <c r="J148" s="28">
        <v>46036</v>
      </c>
      <c r="K148" s="29"/>
      <c r="L148" s="30">
        <f t="shared" si="49"/>
        <v>1.6100000000000008</v>
      </c>
      <c r="M148" s="30">
        <f>IF(B148="Texion Textil",0,IF(C148="Malha",'Custos insumos'!$B$24,IF(C148="Dublagem Cretone",'Custos insumos'!$D$7,IF(C148="Dublagem Spun",'Custos insumos'!$D$4,IF(C148="Espelhamento",'Custos insumos'!$B$11,IF(C148="Espelhamento 2x",2*'Custos insumos'!$B$11,IF(C148="Esp. + Pel.",'Custos insumos'!$B$11,IF(C148="Pel. + Spun",'Custos insumos'!$D$4,IF(C148="Dublagem Cretone PES",'Custos insumos'!$D$7,IF(C148="Dublagem Barreira",'Custos insumos'!$D$11,IF(C148="Dublagem - MO + Filme",'Custos insumos'!$D$4,IF(C148="Dublagem Cretone HM50",'Custos insumos'!$D$26,IF(C148="Dublagem Cretone HM70",'Custos insumos'!$F$10,)))))))))))))</f>
        <v>1.962</v>
      </c>
      <c r="N148" s="30">
        <f>IF(B148="Texion Textil",0,IF(B148="Três Elos",0,IF(C148="Malha",0,IF(C148="Dublagem Cretone",'Custos insumos'!$D$23,IF(C148="Dublagem Spun",'Custos insumos'!$D$16,IF(C148="Espelhamento",0,IF(C148="Espelhamento 2x",0,IF(C148="Esp. + Pel.",0,IF(C148="Pel. + Spun",'Custos insumos'!$D$16,IF(C148="Dublagem Cretone PES",'Custos insumos'!$F$25,IF(C148="Dublagem Barreira",'Custos insumos'!$D$22,)))))))))))</f>
        <v>2.3279999999999998</v>
      </c>
      <c r="O148" s="18"/>
      <c r="P148" s="53">
        <f t="shared" si="54"/>
        <v>9.6774011299434928E-2</v>
      </c>
      <c r="Q148" s="50">
        <f t="shared" si="55"/>
        <v>1062</v>
      </c>
      <c r="R148" s="50" cm="1">
        <f t="array" ref="R148">_xlfn.IFS(C148="Calandra",(350),C148="Peletização",(421),C148="Dublagem Spun",(250),C148="Dublagem Cretone PES",(180),C148="Felpagem",(270/E148),C148="Emborrachamento",(200),C148="Espelhamento",(250),C148="Malha",(1),C148="Dublagem Cretone",(180),C148="Malha",(1),C148="Dublagem Spun - MO",250,C148="Dublagem Cretone - MO",180,C148="Dublagem Cretone PES - MO",180,C148="Espelhamento - MO",250,C148="Emborrachamento",100,C148="Malha",0,C148="Dublagem Barreira",100,C148="Pel. + Cal.",350,C148="Fel. + Pel. + Cal.",270,C148="Pel. + Spun",250,C148="Espelhamento - L: 1,45m",200,C148="Espelhamento - L: 1,65m",200,C148="Estampagem",100,C148="Fel. + Cal.",270,C148="Dublagem Juta",180,C148="Dublagem Cretone - MO (Juta)",180,C148="Dublagem Tapete",150,C148="Esp. + Pel.",200,C148="Espelhamento 2x",100)</f>
        <v>180</v>
      </c>
      <c r="S148" s="50">
        <f t="shared" si="56"/>
        <v>959.22600000000011</v>
      </c>
      <c r="T148" s="18" cm="1">
        <f t="array" ref="T148">_xlfn.IFS(C148="Calandra",0.4,C148="Felpagem",0.3,C148="Dublagem Spun",0.8,C148="Dublagem Cretone",0.8,C148="Dublagem Cretone PES",0.8,C148="Espelhamento",0.8,C148="Peletização",0.5,C148="Dublagem Spun - MO",0.8,C148="Dublagem Cretone - MO",0.8,C148="Dublagem Cretone PES - MO",0.8,C148="Espelhamento - MO",0.8,C148="Emborrachamento",1,C148="Malha",0,C148="Dublagem Barreira",1,C148="Pel. + Cal.",0.4,C148="Fel. + Pel. + Cal.",0.5,C148="Pel. + Spun",0.8,C148="Espelhamento - L: 1,45m",0.8,C148="Espelhamento - L: 1,65m",0.8,C148="Estampagem",1,C148="Fel. + Cal.",0.4,C148="Dublagem Juta",0.8,C148="Dublagem Cretone - MO (Juta)",0.8,C148="Dublagem Tapete",0.8,C148="Esp. + Pel.",0.8,C148="Espelhamento 2x",0.8)</f>
        <v>0.8</v>
      </c>
      <c r="U148" s="18">
        <v>1</v>
      </c>
      <c r="V148" s="18">
        <v>1</v>
      </c>
      <c r="W148" s="18"/>
      <c r="X148" s="18">
        <v>39.67</v>
      </c>
      <c r="Y148" s="18">
        <v>38.51</v>
      </c>
      <c r="Z148" s="18">
        <v>116.78</v>
      </c>
      <c r="AA148" s="18"/>
    </row>
    <row r="149" spans="1:27" ht="14.25" customHeight="1" x14ac:dyDescent="0.35">
      <c r="A149" s="18"/>
      <c r="B149" s="22" t="s">
        <v>309</v>
      </c>
      <c r="C149" s="23" t="s">
        <v>251</v>
      </c>
      <c r="D149" s="23" t="s">
        <v>489</v>
      </c>
      <c r="E149" s="24">
        <v>1</v>
      </c>
      <c r="F149" s="25">
        <v>5.9</v>
      </c>
      <c r="G149" s="25">
        <v>5.9</v>
      </c>
      <c r="H149" s="26"/>
      <c r="I149" s="27"/>
      <c r="J149" s="28">
        <v>46036</v>
      </c>
      <c r="K149" s="29"/>
      <c r="L149" s="30">
        <f t="shared" si="49"/>
        <v>1.6100000000000008</v>
      </c>
      <c r="M149" s="30">
        <f>IF(B149="Texion Textil",0,IF(C149="Malha",'Custos insumos'!$B$24,IF(C149="Dublagem Cretone",'Custos insumos'!$D$7,IF(C149="Dublagem Spun",'Custos insumos'!$D$4,IF(C149="Espelhamento",'Custos insumos'!$B$11,IF(C149="Espelhamento 2x",2*'Custos insumos'!$B$11,IF(C149="Esp. + Pel.",'Custos insumos'!$B$11,IF(C149="Pel. + Spun",'Custos insumos'!$D$4,IF(C149="Dublagem Cretone PES",'Custos insumos'!$D$7,IF(C149="Dublagem Barreira",'Custos insumos'!$D$11,IF(C149="Dublagem - MO + Filme",'Custos insumos'!$D$4,IF(C149="Dublagem Cretone HM50",'Custos insumos'!$D$26,IF(C149="Dublagem Cretone HM70",'Custos insumos'!$F$10,)))))))))))))</f>
        <v>1.962</v>
      </c>
      <c r="N149" s="30">
        <f>IF(B149="Texion Textil",0,IF(B149="Três Elos",0,IF(C149="Malha",0,IF(C149="Dublagem Cretone",'Custos insumos'!$D$23,IF(C149="Dublagem Spun",'Custos insumos'!$D$16,IF(C149="Espelhamento",0,IF(C149="Espelhamento 2x",0,IF(C149="Esp. + Pel.",0,IF(C149="Pel. + Spun",'Custos insumos'!$D$16,IF(C149="Dublagem Cretone PES",'Custos insumos'!$F$25,IF(C149="Dublagem Barreira",'Custos insumos'!$D$22,)))))))))))</f>
        <v>2.3279999999999998</v>
      </c>
      <c r="O149" s="18"/>
      <c r="P149" s="53">
        <f t="shared" si="54"/>
        <v>9.6774011299434928E-2</v>
      </c>
      <c r="Q149" s="50">
        <f t="shared" si="55"/>
        <v>1062</v>
      </c>
      <c r="R149" s="50" cm="1">
        <f t="array" ref="R149">_xlfn.IFS(C149="Calandra",(350),C149="Peletização",(421),C149="Dublagem Spun",(250),C149="Dublagem Cretone PES",(180),C149="Felpagem",(270/E149),C149="Emborrachamento",(200),C149="Espelhamento",(250),C149="Malha",(1),C149="Dublagem Cretone",(180),C149="Malha",(1),C149="Dublagem Spun - MO",250,C149="Dublagem Cretone - MO",180,C149="Dublagem Cretone PES - MO",180,C149="Espelhamento - MO",250,C149="Emborrachamento",100,C149="Malha",0,C149="Dublagem Barreira",100,C149="Pel. + Cal.",350,C149="Fel. + Pel. + Cal.",270,C149="Pel. + Spun",250,C149="Espelhamento - L: 1,45m",200,C149="Espelhamento - L: 1,65m",200,C149="Estampagem",100,C149="Fel. + Cal.",270,C149="Dublagem Juta",180,C149="Dublagem Cretone - MO (Juta)",180,C149="Dublagem Tapete",150,C149="Esp. + Pel.",200,C149="Espelhamento 2x",100)</f>
        <v>180</v>
      </c>
      <c r="S149" s="50">
        <f t="shared" si="56"/>
        <v>959.22600000000011</v>
      </c>
      <c r="T149" s="18" cm="1">
        <f t="array" ref="T149">_xlfn.IFS(C149="Calandra",0.4,C149="Felpagem",0.3,C149="Dublagem Spun",0.8,C149="Dublagem Cretone",0.8,C149="Dublagem Cretone PES",0.8,C149="Espelhamento",0.8,C149="Peletização",0.5,C149="Dublagem Spun - MO",0.8,C149="Dublagem Cretone - MO",0.8,C149="Dublagem Cretone PES - MO",0.8,C149="Espelhamento - MO",0.8,C149="Emborrachamento",1,C149="Malha",0,C149="Dublagem Barreira",1,C149="Pel. + Cal.",0.4,C149="Fel. + Pel. + Cal.",0.5,C149="Pel. + Spun",0.8,C149="Espelhamento - L: 1,45m",0.8,C149="Espelhamento - L: 1,65m",0.8,C149="Estampagem",1,C149="Fel. + Cal.",0.4,C149="Dublagem Juta",0.8,C149="Dublagem Cretone - MO (Juta)",0.8,C149="Dublagem Tapete",0.8,C149="Esp. + Pel.",0.8,C149="Espelhamento 2x",0.8)</f>
        <v>0.8</v>
      </c>
      <c r="U149" s="18">
        <v>1</v>
      </c>
      <c r="V149" s="18">
        <v>1</v>
      </c>
      <c r="W149" s="18"/>
      <c r="X149" s="18">
        <v>39.67</v>
      </c>
      <c r="Y149" s="18">
        <v>38.51</v>
      </c>
      <c r="Z149" s="18">
        <v>116.78</v>
      </c>
      <c r="AA149" s="18"/>
    </row>
    <row r="150" spans="1:27" ht="14.25" customHeight="1" x14ac:dyDescent="0.35">
      <c r="A150" s="18"/>
      <c r="B150" s="76" t="s">
        <v>210</v>
      </c>
      <c r="C150" s="65" t="s">
        <v>144</v>
      </c>
      <c r="D150" s="23"/>
      <c r="E150" s="24">
        <v>1</v>
      </c>
      <c r="F150" s="25">
        <v>0.65</v>
      </c>
      <c r="G150" s="25">
        <v>0.7</v>
      </c>
      <c r="H150" s="26" t="s">
        <v>243</v>
      </c>
      <c r="I150" s="27">
        <f t="shared" ref="I150:I155" si="57">G150/E150</f>
        <v>0.7</v>
      </c>
      <c r="J150" s="28">
        <v>46036</v>
      </c>
      <c r="K150" s="29" t="s">
        <v>307</v>
      </c>
      <c r="L150" s="30">
        <f t="shared" si="49"/>
        <v>0.7</v>
      </c>
      <c r="M150" s="30">
        <f>IF(B150="Texion Textil",0,IF(C150="Malha",'Custos insumos'!$B$24,IF(C150="Dublagem Cretone",'Custos insumos'!$D$7,IF(C150="Dublagem Spun",'Custos insumos'!$D$4,IF(C150="Espelhamento",'Custos insumos'!$B$11,IF(C150="Espelhamento 2x",2*'Custos insumos'!$B$11,IF(C150="Esp. + Pel.",'Custos insumos'!$B$11,IF(C150="Pel. + Spun",'Custos insumos'!$D$4,IF(C150="Dublagem Cretone PES",'Custos insumos'!$D$7,IF(C150="Dublagem Barreira",'Custos insumos'!$D$11,IF(C150="Dublagem - MO + Filme",'Custos insumos'!$D$4,IF(C150="Dublagem Cretone HM50",'Custos insumos'!$D$26,IF(C150="Dublagem Cretone HM70",'Custos insumos'!$F$10,)))))))))))))</f>
        <v>0</v>
      </c>
      <c r="N150" s="30">
        <f>IF(B150="Texion Textil",0,IF(B150="Três Elos",0,IF(C150="Malha",0,IF(C150="Dublagem Cretone",'Custos insumos'!$D$23,IF(C150="Dublagem Spun",'Custos insumos'!$D$16,IF(C150="Espelhamento",0,IF(C150="Espelhamento 2x",0,IF(C150="Esp. + Pel.",0,IF(C150="Pel. + Spun",'Custos insumos'!$D$16,IF(C150="Dublagem Cretone PES",'Custos insumos'!$F$25,IF(C150="Dublagem Barreira",'Custos insumos'!$D$22,)))))))))))</f>
        <v>0</v>
      </c>
      <c r="O150" s="18"/>
      <c r="P150" s="53">
        <f t="shared" si="54"/>
        <v>0.40575161180861891</v>
      </c>
      <c r="Q150" s="50">
        <f t="shared" si="55"/>
        <v>294.7</v>
      </c>
      <c r="R150" s="50" cm="1">
        <f t="array" ref="R150">_xlfn.IFS(C150="Calandra",(350),C150="Peletização",(421),C150="Dublagem Spun",(250),C150="Dublagem Cretone PES",(180),C150="Felpagem",(270/E150),C150="Emborrachamento",(200),C150="Espelhamento",(250),C150="Malha",(1),C150="Dublagem Cretone",(180),C150="Malha",(1),C150="Dublagem Spun - MO",250,C150="Dublagem Cretone - MO",180,C150="Dublagem Cretone PES - MO",180,C150="Espelhamento - MO",250,C150="Emborrachamento",100,C150="Malha",0,C150="Dublagem Barreira",100,C150="Pel. + Cal.",350,C150="Fel. + Pel. + Cal.",270,C150="Pel. + Spun",250,C150="Espelhamento - L: 1,45m",200,C150="Espelhamento - L: 1,65m",200,C150="Estampagem",100,C150="Fel. + Cal.",270,C150="Dublagem Juta",180,C150="Dublagem Cretone - MO (Juta)",180,C150="Dublagem Tapete",150,C150="Esp. + Pel.",200,C150="Espelhamento 2x",100)</f>
        <v>421</v>
      </c>
      <c r="S150" s="50">
        <f t="shared" si="56"/>
        <v>175.125</v>
      </c>
      <c r="T150" s="18" cm="1">
        <f t="array" ref="T150">_xlfn.IFS(C150="Calandra",0.4,C150="Felpagem",0.3,C150="Dublagem Spun",0.8,C150="Dublagem Cretone",0.8,C150="Dublagem Cretone PES",0.8,C150="Espelhamento",0.8,C150="Peletização",0.5,C150="Dublagem Spun - MO",0.8,C150="Dublagem Cretone - MO",0.8,C150="Dublagem Cretone PES - MO",0.8,C150="Espelhamento - MO",0.8,C150="Emborrachamento",1,C150="Malha",0,C150="Dublagem Barreira",1,C150="Pel. + Cal.",0.4,C150="Fel. + Pel. + Cal.",0.5,C150="Pel. + Spun",0.8,C150="Espelhamento - L: 1,45m",0.8,C150="Espelhamento - L: 1,65m",0.8,C150="Estampagem",1,C150="Fel. + Cal.",0.4,C150="Dublagem Juta",0.8,C150="Dublagem Cretone - MO (Juta)",0.8,C150="Dublagem Tapete",0.8,C150="Esp. + Pel.",0.8,C150="Espelhamento 2x",0.8)</f>
        <v>0.5</v>
      </c>
      <c r="U150" s="18">
        <v>1</v>
      </c>
      <c r="V150" s="18">
        <v>1</v>
      </c>
      <c r="W150" s="18"/>
      <c r="X150" s="18">
        <v>39.67</v>
      </c>
      <c r="Y150" s="18">
        <v>38.51</v>
      </c>
      <c r="Z150" s="18">
        <v>116.78</v>
      </c>
      <c r="AA150" s="18"/>
    </row>
    <row r="151" spans="1:27" ht="14.25" customHeight="1" x14ac:dyDescent="0.35">
      <c r="A151" s="18"/>
      <c r="B151" s="22" t="s">
        <v>211</v>
      </c>
      <c r="C151" s="32" t="s">
        <v>144</v>
      </c>
      <c r="D151" s="23"/>
      <c r="E151" s="24">
        <v>1</v>
      </c>
      <c r="F151" s="25">
        <v>0.65</v>
      </c>
      <c r="G151" s="25">
        <v>0.7</v>
      </c>
      <c r="H151" s="26" t="s">
        <v>243</v>
      </c>
      <c r="I151" s="27">
        <f t="shared" si="57"/>
        <v>0.7</v>
      </c>
      <c r="J151" s="28">
        <v>46036</v>
      </c>
      <c r="K151" s="29" t="s">
        <v>307</v>
      </c>
      <c r="L151" s="30">
        <f t="shared" si="49"/>
        <v>0.7</v>
      </c>
      <c r="M151" s="30">
        <f>IF(B151="Texion Textil",0,IF(C151="Malha",'Custos insumos'!$B$24,IF(C151="Dublagem Cretone",'Custos insumos'!$D$7,IF(C151="Dublagem Spun",'Custos insumos'!$D$4,IF(C151="Espelhamento",'Custos insumos'!$B$11,IF(C151="Espelhamento 2x",2*'Custos insumos'!$B$11,IF(C151="Esp. + Pel.",'Custos insumos'!$B$11,IF(C151="Pel. + Spun",'Custos insumos'!$D$4,IF(C151="Dublagem Cretone PES",'Custos insumos'!$D$7,IF(C151="Dublagem Barreira",'Custos insumos'!$D$11,IF(C151="Dublagem - MO + Filme",'Custos insumos'!$D$4,IF(C151="Dublagem Cretone HM50",'Custos insumos'!$D$26,IF(C151="Dublagem Cretone HM70",'Custos insumos'!$F$10,)))))))))))))</f>
        <v>0</v>
      </c>
      <c r="N151" s="30">
        <f>IF(B151="Texion Textil",0,IF(B151="Três Elos",0,IF(C151="Malha",0,IF(C151="Dublagem Cretone",'Custos insumos'!$D$23,IF(C151="Dublagem Spun",'Custos insumos'!$D$16,IF(C151="Espelhamento",0,IF(C151="Espelhamento 2x",0,IF(C151="Esp. + Pel.",0,IF(C151="Pel. + Spun",'Custos insumos'!$D$16,IF(C151="Dublagem Cretone PES",'Custos insumos'!$F$25,IF(C151="Dublagem Barreira",'Custos insumos'!$D$22,)))))))))))</f>
        <v>0</v>
      </c>
      <c r="O151" s="18"/>
      <c r="P151" s="53">
        <f t="shared" si="54"/>
        <v>0.40575161180861891</v>
      </c>
      <c r="Q151" s="50">
        <f t="shared" si="55"/>
        <v>294.7</v>
      </c>
      <c r="R151" s="50" cm="1">
        <f t="array" ref="R151">_xlfn.IFS(C151="Calandra",(350),C151="Peletização",(421),C151="Dublagem Spun",(250),C151="Dublagem Cretone PES",(180),C151="Felpagem",(270/E151),C151="Emborrachamento",(200),C151="Espelhamento",(250),C151="Malha",(1),C151="Dublagem Cretone",(180),C151="Malha",(1),C151="Dublagem Spun - MO",250,C151="Dublagem Cretone - MO",180,C151="Dublagem Cretone PES - MO",180,C151="Espelhamento - MO",250,C151="Emborrachamento",100,C151="Malha",0,C151="Dublagem Barreira",100,C151="Pel. + Cal.",350,C151="Fel. + Pel. + Cal.",270,C151="Pel. + Spun",250,C151="Espelhamento - L: 1,45m",200,C151="Espelhamento - L: 1,65m",200,C151="Estampagem",100,C151="Fel. + Cal.",270,C151="Dublagem Juta",180,C151="Dublagem Cretone - MO (Juta)",180,C151="Dublagem Tapete",150,C151="Esp. + Pel.",200,C151="Espelhamento 2x",100)</f>
        <v>421</v>
      </c>
      <c r="S151" s="50">
        <f t="shared" si="56"/>
        <v>175.125</v>
      </c>
      <c r="T151" s="18" cm="1">
        <f t="array" ref="T151">_xlfn.IFS(C151="Calandra",0.4,C151="Felpagem",0.3,C151="Dublagem Spun",0.8,C151="Dublagem Cretone",0.8,C151="Dublagem Cretone PES",0.8,C151="Espelhamento",0.8,C151="Peletização",0.5,C151="Dublagem Spun - MO",0.8,C151="Dublagem Cretone - MO",0.8,C151="Dublagem Cretone PES - MO",0.8,C151="Espelhamento - MO",0.8,C151="Emborrachamento",1,C151="Malha",0,C151="Dublagem Barreira",1,C151="Pel. + Cal.",0.4,C151="Fel. + Pel. + Cal.",0.5,C151="Pel. + Spun",0.8,C151="Espelhamento - L: 1,45m",0.8,C151="Espelhamento - L: 1,65m",0.8,C151="Estampagem",1,C151="Fel. + Cal.",0.4,C151="Dublagem Juta",0.8,C151="Dublagem Cretone - MO (Juta)",0.8,C151="Dublagem Tapete",0.8,C151="Esp. + Pel.",0.8,C151="Espelhamento 2x",0.8)</f>
        <v>0.5</v>
      </c>
      <c r="U151" s="18">
        <v>1</v>
      </c>
      <c r="V151" s="18">
        <v>1</v>
      </c>
      <c r="W151" s="18"/>
      <c r="X151" s="18">
        <v>39.67</v>
      </c>
      <c r="Y151" s="18">
        <v>38.51</v>
      </c>
      <c r="Z151" s="18">
        <v>116.78</v>
      </c>
      <c r="AA151" s="18"/>
    </row>
    <row r="152" spans="1:27" ht="14.25" customHeight="1" x14ac:dyDescent="0.35">
      <c r="A152" s="18"/>
      <c r="B152" s="22" t="s">
        <v>211</v>
      </c>
      <c r="C152" s="32" t="s">
        <v>254</v>
      </c>
      <c r="D152" s="23"/>
      <c r="E152" s="24">
        <v>1</v>
      </c>
      <c r="F152" s="25">
        <v>1.1000000000000001</v>
      </c>
      <c r="G152" s="25">
        <v>1.1000000000000001</v>
      </c>
      <c r="H152" s="26" t="s">
        <v>243</v>
      </c>
      <c r="I152" s="27">
        <f t="shared" si="57"/>
        <v>1.1000000000000001</v>
      </c>
      <c r="J152" s="28">
        <v>46036</v>
      </c>
      <c r="K152" s="29" t="s">
        <v>307</v>
      </c>
      <c r="L152" s="30">
        <f t="shared" si="49"/>
        <v>1.1000000000000001</v>
      </c>
      <c r="M152" s="30">
        <f>IF(B152="Texion Textil",0,IF(C152="Malha",'Custos insumos'!$B$24,IF(C152="Dublagem Cretone",'Custos insumos'!$D$7,IF(C152="Dublagem Spun",'Custos insumos'!$D$4,IF(C152="Espelhamento",'Custos insumos'!$B$11,IF(C152="Espelhamento 2x",2*'Custos insumos'!$B$11,IF(C152="Esp. + Pel.",'Custos insumos'!$B$11,IF(C152="Pel. + Spun",'Custos insumos'!$D$4,IF(C152="Dublagem Cretone PES",'Custos insumos'!$D$7,IF(C152="Dublagem Barreira",'Custos insumos'!$D$11,IF(C152="Dublagem - MO + Filme",'Custos insumos'!$D$4,IF(C152="Dublagem Cretone HM50",'Custos insumos'!$D$26,IF(C152="Dublagem Cretone HM70",'Custos insumos'!$F$10,)))))))))))))</f>
        <v>0</v>
      </c>
      <c r="N152" s="30">
        <f>IF(B152="Texion Textil",0,IF(B152="Três Elos",0,IF(C152="Malha",0,IF(C152="Dublagem Cretone",'Custos insumos'!$D$23,IF(C152="Dublagem Spun",'Custos insumos'!$D$16,IF(C152="Espelhamento",0,IF(C152="Espelhamento 2x",0,IF(C152="Esp. + Pel.",0,IF(C152="Pel. + Spun",'Custos insumos'!$D$16,IF(C152="Dublagem Cretone PES",'Custos insumos'!$F$25,IF(C152="Dublagem Barreira",'Custos insumos'!$D$22,)))))))))))</f>
        <v>0</v>
      </c>
      <c r="O152" s="18"/>
      <c r="P152" s="53">
        <f t="shared" si="54"/>
        <v>0.43706734006734005</v>
      </c>
      <c r="Q152" s="50">
        <f t="shared" si="55"/>
        <v>297</v>
      </c>
      <c r="R152" s="50" cm="1">
        <f t="array" ref="R152">_xlfn.IFS(C152="Calandra",(350),C152="Peletização",(421),C152="Dublagem Spun",(250),C152="Dublagem Cretone PES",(180),C152="Felpagem",(270/E152),C152="Emborrachamento",(200),C152="Espelhamento",(250),C152="Malha",(1),C152="Dublagem Cretone",(180),C152="Malha",(1),C152="Dublagem Spun - MO",250,C152="Dublagem Cretone - MO",180,C152="Dublagem Cretone PES - MO",180,C152="Espelhamento - MO",250,C152="Emborrachamento",100,C152="Malha",0,C152="Dublagem Barreira",100,C152="Pel. + Cal.",350,C152="Fel. + Pel. + Cal.",270,C152="Pel. + Spun",250,C152="Espelhamento - L: 1,45m",200,C152="Espelhamento - L: 1,65m",200,C152="Estampagem",100,C152="Fel. + Cal.",270,C152="Dublagem Juta",180,C152="Dublagem Cretone - MO (Juta)",180,C152="Dublagem Tapete",150,C152="Esp. + Pel.",200,C152="Espelhamento 2x",100)</f>
        <v>270</v>
      </c>
      <c r="S152" s="50">
        <f t="shared" si="56"/>
        <v>167.191</v>
      </c>
      <c r="T152" s="18" cm="1">
        <f t="array" ref="T152">_xlfn.IFS(C152="Calandra",0.4,C152="Felpagem",0.3,C152="Dublagem Spun",0.8,C152="Dublagem Cretone",0.8,C152="Dublagem Cretone PES",0.8,C152="Espelhamento",0.8,C152="Peletização",0.5,C152="Dublagem Spun - MO",0.8,C152="Dublagem Cretone - MO",0.8,C152="Dublagem Cretone PES - MO",0.8,C152="Espelhamento - MO",0.8,C152="Emborrachamento",1,C152="Malha",0,C152="Dublagem Barreira",1,C152="Pel. + Cal.",0.4,C152="Fel. + Pel. + Cal.",0.5,C152="Pel. + Spun",0.8,C152="Espelhamento - L: 1,45m",0.8,C152="Espelhamento - L: 1,65m",0.8,C152="Estampagem",1,C152="Fel. + Cal.",0.4,C152="Dublagem Juta",0.8,C152="Dublagem Cretone - MO (Juta)",0.8,C152="Dublagem Tapete",0.8,C152="Esp. + Pel.",0.8,C152="Espelhamento 2x",0.8)</f>
        <v>0.3</v>
      </c>
      <c r="U152" s="18">
        <v>1</v>
      </c>
      <c r="V152" s="18">
        <v>1</v>
      </c>
      <c r="W152" s="18"/>
      <c r="X152" s="18">
        <v>39.67</v>
      </c>
      <c r="Y152" s="18">
        <v>38.51</v>
      </c>
      <c r="Z152" s="18">
        <v>116.78</v>
      </c>
      <c r="AA152" s="18"/>
    </row>
    <row r="153" spans="1:27" ht="14.25" customHeight="1" x14ac:dyDescent="0.35">
      <c r="A153" s="18"/>
      <c r="B153" s="22" t="s">
        <v>211</v>
      </c>
      <c r="C153" s="32" t="s">
        <v>106</v>
      </c>
      <c r="D153" s="23" t="s">
        <v>239</v>
      </c>
      <c r="E153" s="24">
        <v>1</v>
      </c>
      <c r="F153" s="25">
        <v>1.1000000000000001</v>
      </c>
      <c r="G153" s="25">
        <v>1.1000000000000001</v>
      </c>
      <c r="H153" s="26" t="s">
        <v>243</v>
      </c>
      <c r="I153" s="27">
        <f t="shared" si="57"/>
        <v>1.1000000000000001</v>
      </c>
      <c r="J153" s="28">
        <v>46036</v>
      </c>
      <c r="K153" s="29" t="s">
        <v>307</v>
      </c>
      <c r="L153" s="30">
        <f t="shared" si="49"/>
        <v>4.1499710144927482E-2</v>
      </c>
      <c r="M153" s="30">
        <f>IF(B153="Texion Textil",0,IF(C153="Malha",'Custos insumos'!$B$24,IF(C153="Dublagem Cretone",'Custos insumos'!$D$7,IF(C153="Dublagem Spun",'Custos insumos'!$D$4,IF(C153="Espelhamento",'Custos insumos'!$B$11,IF(C153="Espelhamento 2x",2*'Custos insumos'!$B$11,IF(C153="Esp. + Pel.",'Custos insumos'!$B$11,IF(C153="Pel. + Spun",'Custos insumos'!$D$4,IF(C153="Dublagem Cretone PES",'Custos insumos'!$D$7,IF(C153="Dublagem Barreira",'Custos insumos'!$D$11,IF(C153="Dublagem - MO + Filme",'Custos insumos'!$D$4,IF(C153="Dublagem Cretone HM50",'Custos insumos'!$D$26,IF(C153="Dublagem Cretone HM70",'Custos insumos'!$F$10,)))))))))))))</f>
        <v>1.0585002898550726</v>
      </c>
      <c r="N153" s="30">
        <f>IF(B153="Texion Textil",0,IF(B153="Três Elos",0,IF(C153="Malha",0,IF(C153="Dublagem Cretone",'Custos insumos'!$D$23,IF(C153="Dublagem Spun",'Custos insumos'!$D$16,IF(C153="Espelhamento",0,IF(C153="Espelhamento 2x",0,IF(C153="Esp. + Pel.",0,IF(C153="Pel. + Spun",'Custos insumos'!$D$16,IF(C153="Dublagem Cretone PES",'Custos insumos'!$F$25,IF(C153="Dublagem Barreira",'Custos insumos'!$D$22,)))))))))))</f>
        <v>0</v>
      </c>
      <c r="O153" s="18"/>
      <c r="P153" s="53">
        <f t="shared" si="54"/>
        <v>-0.64236753623188425</v>
      </c>
      <c r="Q153" s="50">
        <f t="shared" si="55"/>
        <v>275</v>
      </c>
      <c r="R153" s="50" cm="1">
        <f t="array" ref="R153">_xlfn.IFS(C153="Calandra",(350),C153="Peletização",(421),C153="Dublagem Spun",(250),C153="Dublagem Cretone PES",(180),C153="Felpagem",(270/E153),C153="Emborrachamento",(200),C153="Espelhamento",(250),C153="Malha",(1),C153="Dublagem Cretone",(180),C153="Malha",(1),C153="Dublagem Spun - MO",250,C153="Dublagem Cretone - MO",180,C153="Dublagem Cretone PES - MO",180,C153="Espelhamento - MO",250,C153="Emborrachamento",100,C153="Malha",0,C153="Dublagem Barreira",100,C153="Pel. + Cal.",350,C153="Fel. + Pel. + Cal.",270,C153="Pel. + Spun",250,C153="Espelhamento - L: 1,45m",200,C153="Espelhamento - L: 1,65m",200,C153="Estampagem",100,C153="Fel. + Cal.",270,C153="Dublagem Juta",180,C153="Dublagem Cretone - MO (Juta)",180,C153="Dublagem Tapete",150,C153="Esp. + Pel.",200,C153="Espelhamento 2x",100)</f>
        <v>250</v>
      </c>
      <c r="S153" s="50">
        <f t="shared" si="56"/>
        <v>451.65107246376817</v>
      </c>
      <c r="T153" s="18" cm="1">
        <f t="array" ref="T153">_xlfn.IFS(C153="Calandra",0.4,C153="Felpagem",0.3,C153="Dublagem Spun",0.8,C153="Dublagem Cretone",0.8,C153="Dublagem Cretone PES",0.8,C153="Espelhamento",0.8,C153="Peletização",0.5,C153="Dublagem Spun - MO",0.8,C153="Dublagem Cretone - MO",0.8,C153="Dublagem Cretone PES - MO",0.8,C153="Espelhamento - MO",0.8,C153="Emborrachamento",1,C153="Malha",0,C153="Dublagem Barreira",1,C153="Pel. + Cal.",0.4,C153="Fel. + Pel. + Cal.",0.5,C153="Pel. + Spun",0.8,C153="Espelhamento - L: 1,45m",0.8,C153="Espelhamento - L: 1,65m",0.8,C153="Estampagem",1,C153="Fel. + Cal.",0.4,C153="Dublagem Juta",0.8,C153="Dublagem Cretone - MO (Juta)",0.8,C153="Dublagem Tapete",0.8,C153="Esp. + Pel.",0.8,C153="Espelhamento 2x",0.8)</f>
        <v>0.8</v>
      </c>
      <c r="U153" s="18">
        <v>1</v>
      </c>
      <c r="V153" s="18">
        <v>1</v>
      </c>
      <c r="W153" s="18"/>
      <c r="X153" s="18">
        <v>39.67</v>
      </c>
      <c r="Y153" s="18">
        <v>38.51</v>
      </c>
      <c r="Z153" s="18">
        <v>116.78</v>
      </c>
      <c r="AA153" s="18"/>
    </row>
    <row r="154" spans="1:27" ht="14.25" customHeight="1" x14ac:dyDescent="0.35">
      <c r="A154" s="18"/>
      <c r="B154" s="22" t="s">
        <v>211</v>
      </c>
      <c r="C154" s="32" t="s">
        <v>142</v>
      </c>
      <c r="D154" s="23"/>
      <c r="E154" s="24">
        <v>1</v>
      </c>
      <c r="F154" s="25">
        <v>1.1000000000000001</v>
      </c>
      <c r="G154" s="25">
        <v>0.9</v>
      </c>
      <c r="H154" s="26" t="s">
        <v>243</v>
      </c>
      <c r="I154" s="27">
        <f t="shared" si="57"/>
        <v>0.9</v>
      </c>
      <c r="J154" s="28">
        <v>46036</v>
      </c>
      <c r="K154" s="29" t="s">
        <v>307</v>
      </c>
      <c r="L154" s="30">
        <f t="shared" si="49"/>
        <v>0.9</v>
      </c>
      <c r="M154" s="30">
        <f>IF(B154="Texion Textil",0,IF(C154="Malha",'Custos insumos'!$B$24,IF(C154="Dublagem Cretone",'Custos insumos'!$D$7,IF(C154="Dublagem Spun",'Custos insumos'!$D$4,IF(C154="Espelhamento",'Custos insumos'!$B$11,IF(C154="Espelhamento 2x",2*'Custos insumos'!$B$11,IF(C154="Esp. + Pel.",'Custos insumos'!$B$11,IF(C154="Pel. + Spun",'Custos insumos'!$D$4,IF(C154="Dublagem Cretone PES",'Custos insumos'!$D$7,IF(C154="Dublagem Barreira",'Custos insumos'!$D$11,IF(C154="Dublagem - MO + Filme",'Custos insumos'!$D$4,IF(C154="Dublagem Cretone HM50",'Custos insumos'!$D$26,IF(C154="Dublagem Cretone HM70",'Custos insumos'!$F$10,)))))))))))))</f>
        <v>0</v>
      </c>
      <c r="N154" s="30">
        <f>IF(B154="Texion Textil",0,IF(B154="Três Elos",0,IF(C154="Malha",0,IF(C154="Dublagem Cretone",'Custos insumos'!$D$23,IF(C154="Dublagem Spun",'Custos insumos'!$D$16,IF(C154="Espelhamento",0,IF(C154="Espelhamento 2x",0,IF(C154="Esp. + Pel.",0,IF(C154="Pel. + Spun",'Custos insumos'!$D$16,IF(C154="Dublagem Cretone PES",'Custos insumos'!$F$25,IF(C154="Dublagem Barreira",'Custos insumos'!$D$22,)))))))))))</f>
        <v>0</v>
      </c>
      <c r="O154" s="18"/>
      <c r="P154" s="53">
        <f t="shared" si="54"/>
        <v>0.45664126984126979</v>
      </c>
      <c r="Q154" s="50">
        <f t="shared" si="55"/>
        <v>315</v>
      </c>
      <c r="R154" s="50" cm="1">
        <f t="array" ref="R154">_xlfn.IFS(C154="Calandra",(350),C154="Peletização",(421),C154="Dublagem Spun",(250),C154="Dublagem Cretone PES",(180),C154="Felpagem",(270/E154),C154="Emborrachamento",(200),C154="Espelhamento",(250),C154="Malha",(1),C154="Dublagem Cretone",(180),C154="Malha",(1),C154="Dublagem Spun - MO",250,C154="Dublagem Cretone - MO",180,C154="Dublagem Cretone PES - MO",180,C154="Espelhamento - MO",250,C154="Emborrachamento",100,C154="Malha",0,C154="Dublagem Barreira",100,C154="Pel. + Cal.",350,C154="Fel. + Pel. + Cal.",270,C154="Pel. + Spun",250,C154="Espelhamento - L: 1,45m",200,C154="Espelhamento - L: 1,65m",200,C154="Estampagem",100,C154="Fel. + Cal.",270,C154="Dublagem Juta",180,C154="Dublagem Cretone - MO (Juta)",180,C154="Dublagem Tapete",150,C154="Esp. + Pel.",200,C154="Espelhamento 2x",100)</f>
        <v>350</v>
      </c>
      <c r="S154" s="50">
        <f t="shared" si="56"/>
        <v>171.15800000000002</v>
      </c>
      <c r="T154" s="18" cm="1">
        <f t="array" ref="T154">_xlfn.IFS(C154="Calandra",0.4,C154="Felpagem",0.3,C154="Dublagem Spun",0.8,C154="Dublagem Cretone",0.8,C154="Dublagem Cretone PES",0.8,C154="Espelhamento",0.8,C154="Peletização",0.5,C154="Dublagem Spun - MO",0.8,C154="Dublagem Cretone - MO",0.8,C154="Dublagem Cretone PES - MO",0.8,C154="Espelhamento - MO",0.8,C154="Emborrachamento",1,C154="Malha",0,C154="Dublagem Barreira",1,C154="Pel. + Cal.",0.4,C154="Fel. + Pel. + Cal.",0.5,C154="Pel. + Spun",0.8,C154="Espelhamento - L: 1,45m",0.8,C154="Espelhamento - L: 1,65m",0.8,C154="Estampagem",1,C154="Fel. + Cal.",0.4,C154="Dublagem Juta",0.8,C154="Dublagem Cretone - MO (Juta)",0.8,C154="Dublagem Tapete",0.8,C154="Esp. + Pel.",0.8,C154="Espelhamento 2x",0.8)</f>
        <v>0.4</v>
      </c>
      <c r="U154" s="18">
        <v>1</v>
      </c>
      <c r="V154" s="18">
        <v>1</v>
      </c>
      <c r="W154" s="18"/>
      <c r="X154" s="18">
        <v>39.67</v>
      </c>
      <c r="Y154" s="18">
        <v>38.51</v>
      </c>
      <c r="Z154" s="18">
        <v>116.78</v>
      </c>
      <c r="AA154" s="18"/>
    </row>
    <row r="155" spans="1:27" ht="14.25" customHeight="1" x14ac:dyDescent="0.35">
      <c r="A155" s="18"/>
      <c r="B155" s="22" t="s">
        <v>212</v>
      </c>
      <c r="C155" s="32" t="s">
        <v>251</v>
      </c>
      <c r="D155" s="23" t="s">
        <v>239</v>
      </c>
      <c r="E155" s="24">
        <v>1</v>
      </c>
      <c r="F155" s="25">
        <v>1.1000000000000001</v>
      </c>
      <c r="G155" s="25">
        <v>1.1000000000000001</v>
      </c>
      <c r="H155" s="26" t="s">
        <v>243</v>
      </c>
      <c r="I155" s="27">
        <f t="shared" si="57"/>
        <v>1.1000000000000001</v>
      </c>
      <c r="J155" s="28">
        <v>46036</v>
      </c>
      <c r="K155" s="29" t="s">
        <v>307</v>
      </c>
      <c r="L155" s="30">
        <f t="shared" si="49"/>
        <v>-3.1899999999999995</v>
      </c>
      <c r="M155" s="30">
        <f>IF(B155="Texion Textil",0,IF(C155="Malha",'Custos insumos'!$B$24,IF(C155="Dublagem Cretone",'Custos insumos'!$D$7,IF(C155="Dublagem Spun",'Custos insumos'!$D$4,IF(C155="Espelhamento",'Custos insumos'!$B$11,IF(C155="Espelhamento 2x",2*'Custos insumos'!$B$11,IF(C155="Esp. + Pel.",'Custos insumos'!$B$11,IF(C155="Pel. + Spun",'Custos insumos'!$D$4,IF(C155="Dublagem Cretone PES",'Custos insumos'!$D$7,IF(C155="Dublagem Barreira",'Custos insumos'!$D$11,IF(C155="Dublagem - MO + Filme",'Custos insumos'!$D$4,IF(C155="Dublagem Cretone HM50",'Custos insumos'!$D$26,IF(C155="Dublagem Cretone HM70",'Custos insumos'!$F$10,)))))))))))))</f>
        <v>1.962</v>
      </c>
      <c r="N155" s="30">
        <f>IF(B155="Texion Textil",0,IF(B155="Três Elos",0,IF(C155="Malha",0,IF(C155="Dublagem Cretone",'Custos insumos'!$D$23,IF(C155="Dublagem Spun",'Custos insumos'!$D$16,IF(C155="Espelhamento",0,IF(C155="Espelhamento 2x",0,IF(C155="Esp. + Pel.",0,IF(C155="Pel. + Spun",'Custos insumos'!$D$16,IF(C155="Dublagem Cretone PES",'Custos insumos'!$F$25,IF(C155="Dublagem Barreira",'Custos insumos'!$D$22,)))))))))))</f>
        <v>2.3279999999999998</v>
      </c>
      <c r="O155" s="18"/>
      <c r="P155" s="53">
        <f t="shared" si="54"/>
        <v>-3.8445757575757575</v>
      </c>
      <c r="Q155" s="50">
        <f t="shared" si="55"/>
        <v>198.00000000000003</v>
      </c>
      <c r="R155" s="50" cm="1">
        <f t="array" ref="R155">_xlfn.IFS(C155="Calandra",(350),C155="Peletização",(421),C155="Dublagem Spun",(250),C155="Dublagem Cretone PES",(180),C155="Felpagem",(270/E155),C155="Emborrachamento",(200),C155="Espelhamento",(250),C155="Malha",(1),C155="Dublagem Cretone",(180),C155="Malha",(1),C155="Dublagem Spun - MO",250,C155="Dublagem Cretone - MO",180,C155="Dublagem Cretone PES - MO",180,C155="Espelhamento - MO",250,C155="Emborrachamento",100,C155="Malha",0,C155="Dublagem Barreira",100,C155="Pel. + Cal.",350,C155="Fel. + Pel. + Cal.",270,C155="Pel. + Spun",250,C155="Espelhamento - L: 1,45m",200,C155="Espelhamento - L: 1,65m",200,C155="Estampagem",100,C155="Fel. + Cal.",270,C155="Dublagem Juta",180,C155="Dublagem Cretone - MO (Juta)",180,C155="Dublagem Tapete",150,C155="Esp. + Pel.",200,C155="Espelhamento 2x",100)</f>
        <v>180</v>
      </c>
      <c r="S155" s="50">
        <f t="shared" si="56"/>
        <v>959.22600000000011</v>
      </c>
      <c r="T155" s="18" cm="1">
        <f t="array" ref="T155">_xlfn.IFS(C155="Calandra",0.4,C155="Felpagem",0.3,C155="Dublagem Spun",0.8,C155="Dublagem Cretone",0.8,C155="Dublagem Cretone PES",0.8,C155="Espelhamento",0.8,C155="Peletização",0.5,C155="Dublagem Spun - MO",0.8,C155="Dublagem Cretone - MO",0.8,C155="Dublagem Cretone PES - MO",0.8,C155="Espelhamento - MO",0.8,C155="Emborrachamento",1,C155="Malha",0,C155="Dublagem Barreira",1,C155="Pel. + Cal.",0.4,C155="Fel. + Pel. + Cal.",0.5,C155="Pel. + Spun",0.8,C155="Espelhamento - L: 1,45m",0.8,C155="Espelhamento - L: 1,65m",0.8,C155="Estampagem",1,C155="Fel. + Cal.",0.4,C155="Dublagem Juta",0.8,C155="Dublagem Cretone - MO (Juta)",0.8,C155="Dublagem Tapete",0.8,C155="Esp. + Pel.",0.8,C155="Espelhamento 2x",0.8)</f>
        <v>0.8</v>
      </c>
      <c r="U155" s="18">
        <v>1</v>
      </c>
      <c r="V155" s="18">
        <v>1</v>
      </c>
      <c r="W155" s="18"/>
      <c r="X155" s="18">
        <v>39.67</v>
      </c>
      <c r="Y155" s="18">
        <v>38.51</v>
      </c>
      <c r="Z155" s="18">
        <v>116.78</v>
      </c>
      <c r="AA155" s="18"/>
    </row>
    <row r="156" spans="1:27" ht="14.25" customHeight="1" x14ac:dyDescent="0.35">
      <c r="A156" s="18"/>
      <c r="B156" s="22" t="s">
        <v>212</v>
      </c>
      <c r="C156" s="32" t="s">
        <v>98</v>
      </c>
      <c r="D156" s="23" t="s">
        <v>482</v>
      </c>
      <c r="E156" s="24">
        <v>1</v>
      </c>
      <c r="F156" s="25">
        <v>3.9</v>
      </c>
      <c r="G156" s="25">
        <v>3.9</v>
      </c>
      <c r="H156" s="26"/>
      <c r="I156" s="27"/>
      <c r="J156" s="28">
        <v>46036</v>
      </c>
      <c r="K156" s="29"/>
      <c r="L156" s="30">
        <f t="shared" si="49"/>
        <v>2.4611999999999998</v>
      </c>
      <c r="M156" s="30">
        <f>'Custos insumos'!L3</f>
        <v>0.73080000000000001</v>
      </c>
      <c r="N156" s="30">
        <f>'Custos insumos'!L18</f>
        <v>0.70799999999999996</v>
      </c>
      <c r="O156" s="18"/>
      <c r="P156" s="53"/>
      <c r="Q156" s="50"/>
      <c r="R156" s="50"/>
      <c r="S156" s="50"/>
      <c r="T156" s="18"/>
      <c r="U156" s="18"/>
      <c r="V156" s="18"/>
      <c r="W156" s="18"/>
      <c r="X156" s="18"/>
      <c r="Y156" s="18"/>
      <c r="Z156" s="18"/>
      <c r="AA156" s="18"/>
    </row>
    <row r="157" spans="1:27" ht="14.25" customHeight="1" x14ac:dyDescent="0.35">
      <c r="A157" s="18"/>
      <c r="B157" s="64" t="s">
        <v>217</v>
      </c>
      <c r="C157" s="32" t="s">
        <v>144</v>
      </c>
      <c r="D157" s="23"/>
      <c r="E157" s="24">
        <v>1</v>
      </c>
      <c r="F157" s="25">
        <v>0.45</v>
      </c>
      <c r="G157" s="25">
        <v>0.47250000000000003</v>
      </c>
      <c r="H157" s="26" t="s">
        <v>243</v>
      </c>
      <c r="I157" s="27">
        <f t="shared" ref="I157:I174" si="58">G157/E157</f>
        <v>0.47250000000000003</v>
      </c>
      <c r="J157" s="28">
        <v>46036</v>
      </c>
      <c r="K157" s="29"/>
      <c r="L157" s="30">
        <f t="shared" si="49"/>
        <v>0.47250000000000003</v>
      </c>
      <c r="M157" s="30">
        <f>IF(B157="Texion Textil",0,IF(C157="Malha",'Custos insumos'!$B$24,IF(C157="Dublagem Cretone",'Custos insumos'!$D$7,IF(C157="Dublagem Spun",'Custos insumos'!$D$4,IF(C157="Espelhamento",'Custos insumos'!$B$11,IF(C157="Espelhamento 2x",2*'Custos insumos'!$B$11,IF(C157="Esp. + Pel.",'Custos insumos'!$B$11,IF(C157="Pel. + Spun",'Custos insumos'!$D$4,IF(C157="Dublagem Cretone PES",'Custos insumos'!$D$7,IF(C157="Dublagem Barreira",'Custos insumos'!$D$11,IF(C157="Dublagem - MO + Filme",'Custos insumos'!$D$4,IF(C157="Dublagem Cretone HM50",'Custos insumos'!$D$26,IF(C157="Dublagem Cretone HM70",'Custos insumos'!$F$10,)))))))))))))</f>
        <v>0</v>
      </c>
      <c r="N157" s="30">
        <f>IF(B157="Texion Textil",0,IF(B157="Três Elos",0,IF(C157="Malha",0,IF(C157="Dublagem Cretone",'Custos insumos'!$D$23,IF(C157="Dublagem Spun",'Custos insumos'!$D$16,IF(C157="Espelhamento",0,IF(C157="Espelhamento 2x",0,IF(C157="Esp. + Pel.",0,IF(C157="Pel. + Spun",'Custos insumos'!$D$16,IF(C157="Dublagem Cretone PES",'Custos insumos'!$F$25,IF(C157="Dublagem Barreira",'Custos insumos'!$D$22,)))))))))))</f>
        <v>0</v>
      </c>
      <c r="O157" s="18"/>
      <c r="P157" s="53">
        <f t="shared" ref="P157:P174" si="59">(Q157-S157)/Q157</f>
        <v>0.11963201749425033</v>
      </c>
      <c r="Q157" s="50">
        <f t="shared" ref="Q157:Q174" si="60">G157*R157</f>
        <v>198.92250000000001</v>
      </c>
      <c r="R157" s="50" cm="1">
        <f t="array" ref="R157">_xlfn.IFS(C157="Calandra",(350),C157="Peletização",(421),C157="Dublagem Spun",(250),C157="Dublagem Cretone PES",(180),C157="Felpagem",(270/E157),C157="Emborrachamento",(200),C157="Espelhamento",(250),C157="Malha",(1),C157="Dublagem Cretone",(180),C157="Malha",(1),C157="Dublagem Spun - MO",250,C157="Dublagem Cretone - MO",180,C157="Dublagem Cretone PES - MO",180,C157="Espelhamento - MO",250,C157="Emborrachamento",100,C157="Malha",0,C157="Dublagem Barreira",100,C157="Pel. + Cal.",350,C157="Fel. + Pel. + Cal.",270,C157="Pel. + Spun",250,C157="Espelhamento - L: 1,45m",200,C157="Espelhamento - L: 1,65m",200,C157="Estampagem",100,C157="Fel. + Cal.",270,C157="Dublagem Juta",180,C157="Dublagem Cretone - MO (Juta)",180,C157="Dublagem Tapete",150,C157="Esp. + Pel.",200,C157="Espelhamento 2x",100)</f>
        <v>421</v>
      </c>
      <c r="S157" s="50">
        <f t="shared" ref="S157:S174" si="61">(T157*X157)+(U157*Y157)+(V157*Z157)+((M157+N157)*(R157))</f>
        <v>175.125</v>
      </c>
      <c r="T157" s="18" cm="1">
        <f t="array" ref="T157">_xlfn.IFS(C157="Calandra",0.4,C157="Felpagem",0.3,C157="Dublagem Spun",0.8,C157="Dublagem Cretone",0.8,C157="Dublagem Cretone PES",0.8,C157="Espelhamento",0.8,C157="Peletização",0.5,C157="Dublagem Spun - MO",0.8,C157="Dublagem Cretone - MO",0.8,C157="Dublagem Cretone PES - MO",0.8,C157="Espelhamento - MO",0.8,C157="Emborrachamento",1,C157="Malha",0,C157="Dublagem Barreira",1,C157="Pel. + Cal.",0.4,C157="Fel. + Pel. + Cal.",0.5,C157="Pel. + Spun",0.8,C157="Espelhamento - L: 1,45m",0.8,C157="Espelhamento - L: 1,65m",0.8,C157="Estampagem",1,C157="Fel. + Cal.",0.4,C157="Dublagem Juta",0.8,C157="Dublagem Cretone - MO (Juta)",0.8,C157="Dublagem Tapete",0.8,C157="Esp. + Pel.",0.8,C157="Espelhamento 2x",0.8)</f>
        <v>0.5</v>
      </c>
      <c r="U157" s="18">
        <v>1</v>
      </c>
      <c r="V157" s="18">
        <v>1</v>
      </c>
      <c r="W157" s="18"/>
      <c r="X157" s="18">
        <v>39.67</v>
      </c>
      <c r="Y157" s="18">
        <v>38.51</v>
      </c>
      <c r="Z157" s="18">
        <v>116.78</v>
      </c>
      <c r="AA157" s="18"/>
    </row>
    <row r="158" spans="1:27" ht="14.25" customHeight="1" x14ac:dyDescent="0.35">
      <c r="A158" s="18"/>
      <c r="B158" s="64" t="s">
        <v>217</v>
      </c>
      <c r="C158" s="23" t="s">
        <v>510</v>
      </c>
      <c r="D158" s="23" t="s">
        <v>317</v>
      </c>
      <c r="E158" s="24">
        <v>1</v>
      </c>
      <c r="F158" s="25">
        <v>1.35</v>
      </c>
      <c r="G158" s="25">
        <v>1.4175000000000002</v>
      </c>
      <c r="H158" s="26" t="s">
        <v>243</v>
      </c>
      <c r="I158" s="27">
        <f t="shared" si="58"/>
        <v>1.4175000000000002</v>
      </c>
      <c r="J158" s="28">
        <v>46036</v>
      </c>
      <c r="K158" s="29"/>
      <c r="L158" s="30">
        <f t="shared" si="49"/>
        <v>1.4175000000000002</v>
      </c>
      <c r="M158" s="30">
        <f>IF(B158="Texion Textil",0,IF(C158="Malha",'Custos insumos'!$B$24,IF(C158="Dublagem Cretone",'Custos insumos'!$D$7,IF(C158="Dublagem Spun",'Custos insumos'!$D$4,IF(C158="Espelhamento",'Custos insumos'!$B$11,IF(C158="Espelhamento 2x",2*'Custos insumos'!$B$11,IF(C158="Esp. + Pel.",'Custos insumos'!$B$11,IF(C158="Pel. + Spun",'Custos insumos'!$D$4,IF(C158="Dublagem Cretone PES",'Custos insumos'!$D$7,IF(C158="Dublagem Barreira",'Custos insumos'!$D$11,IF(C158="Dublagem - MO + Filme",'Custos insumos'!$D$4,IF(C158="Dublagem Cretone HM50",'Custos insumos'!$D$26,IF(C158="Dublagem Cretone HM70",'Custos insumos'!$F$10,)))))))))))))</f>
        <v>0</v>
      </c>
      <c r="N158" s="30">
        <f>IF(B158="Texion Textil",0,IF(B158="Três Elos",0,IF(C158="Malha",0,IF(C158="Dublagem Cretone",'Custos insumos'!$D$23,IF(C158="Dublagem Spun",'Custos insumos'!$D$16,IF(C158="Espelhamento",0,IF(C158="Espelhamento 2x",0,IF(C158="Esp. + Pel.",0,IF(C158="Pel. + Spun",'Custos insumos'!$D$16,IF(C158="Dublagem Cretone PES",'Custos insumos'!$F$25,IF(C158="Dublagem Barreira",'Custos insumos'!$D$22,)))))))))))</f>
        <v>0</v>
      </c>
      <c r="O158" s="18"/>
      <c r="P158" s="53" t="e">
        <f t="shared" si="59"/>
        <v>#N/A</v>
      </c>
      <c r="Q158" s="50" t="e">
        <f t="shared" si="60"/>
        <v>#N/A</v>
      </c>
      <c r="R158" s="50" t="e" cm="1">
        <f t="array" ref="R158">_xlfn.IFS(C158="Calandra",(350),C158="Peletização",(421),C158="Dublagem Spun",(250),C158="Dublagem Cretone PES",(180),C158="Felpagem",(270/E158),C158="Emborrachamento",(200),C158="Espelhamento",(250),C158="Malha",(1),C158="Dublagem Cretone",(180),C158="Malha",(1),C158="Dublagem Spun - MO",250,C158="Dublagem Cretone - MO",180,C158="Dublagem Cretone PES - MO",180,C158="Espelhamento - MO",250,C158="Emborrachamento",100,C158="Malha",0,C158="Dublagem Barreira",100,C158="Pel. + Cal.",350,C158="Fel. + Pel. + Cal.",270,C158="Pel. + Spun",250,C158="Espelhamento - L: 1,45m",200,C158="Espelhamento - L: 1,65m",200,C158="Estampagem",100,C158="Fel. + Cal.",270,C158="Dublagem Juta",180,C158="Dublagem Cretone - MO (Juta)",180,C158="Dublagem Tapete",150,C158="Esp. + Pel.",200,C158="Espelhamento 2x",100)</f>
        <v>#N/A</v>
      </c>
      <c r="S158" s="50" t="e">
        <f t="shared" si="61"/>
        <v>#N/A</v>
      </c>
      <c r="T158" s="18" t="e" cm="1">
        <f t="array" ref="T158">_xlfn.IFS(C158="Calandra",0.4,C158="Felpagem",0.3,C158="Dublagem Spun",0.8,C158="Dublagem Cretone",0.8,C158="Dublagem Cretone PES",0.8,C158="Espelhamento",0.8,C158="Peletização",0.5,C158="Dublagem Spun - MO",0.8,C158="Dublagem Cretone - MO",0.8,C158="Dublagem Cretone PES - MO",0.8,C158="Espelhamento - MO",0.8,C158="Emborrachamento",1,C158="Malha",0,C158="Dublagem Barreira",1,C158="Pel. + Cal.",0.4,C158="Fel. + Pel. + Cal.",0.5,C158="Pel. + Spun",0.8,C158="Espelhamento - L: 1,45m",0.8,C158="Espelhamento - L: 1,65m",0.8,C158="Estampagem",1,C158="Fel. + Cal.",0.4,C158="Dublagem Juta",0.8,C158="Dublagem Cretone - MO (Juta)",0.8,C158="Dublagem Tapete",0.8,C158="Esp. + Pel.",0.8,C158="Espelhamento 2x",0.8)</f>
        <v>#N/A</v>
      </c>
      <c r="U158" s="18">
        <v>1</v>
      </c>
      <c r="V158" s="18">
        <v>1</v>
      </c>
      <c r="W158" s="18"/>
      <c r="X158" s="18">
        <v>39.67</v>
      </c>
      <c r="Y158" s="18">
        <v>38.51</v>
      </c>
      <c r="Z158" s="18">
        <v>116.78</v>
      </c>
      <c r="AA158" s="18"/>
    </row>
    <row r="159" spans="1:27" ht="14.25" customHeight="1" x14ac:dyDescent="0.35">
      <c r="A159" s="18"/>
      <c r="B159" s="64" t="s">
        <v>217</v>
      </c>
      <c r="C159" s="23" t="s">
        <v>513</v>
      </c>
      <c r="D159" s="23" t="s">
        <v>521</v>
      </c>
      <c r="E159" s="24">
        <v>1</v>
      </c>
      <c r="F159" s="25">
        <v>0.65</v>
      </c>
      <c r="G159" s="25">
        <v>2</v>
      </c>
      <c r="H159" s="26" t="s">
        <v>243</v>
      </c>
      <c r="I159" s="27">
        <f t="shared" ref="I159" si="62">G159/E159</f>
        <v>2</v>
      </c>
      <c r="J159" s="28">
        <v>46036</v>
      </c>
      <c r="K159" s="29"/>
      <c r="L159" s="30">
        <f t="shared" ref="L159" si="63">G159-M159-N159</f>
        <v>2</v>
      </c>
      <c r="M159" s="30">
        <f>IF(B159="Texion Textil",0,IF(C159="Malha",'Custos insumos'!$B$24,IF(C159="Dublagem Cretone",'Custos insumos'!$D$7,IF(C159="Dublagem Spun",'Custos insumos'!$D$4,IF(C159="Espelhamento",'Custos insumos'!$B$11,IF(C159="Espelhamento 2x",2*'Custos insumos'!$B$11,IF(C159="Esp. + Pel.",'Custos insumos'!$B$11,IF(C159="Pel. + Spun",'Custos insumos'!$D$4,IF(C159="Dublagem Cretone PES",'Custos insumos'!$D$7,IF(C159="Dublagem Barreira",'Custos insumos'!$D$11,IF(C159="Dublagem - MO + Filme",'Custos insumos'!$D$4,IF(C159="Dublagem Cretone HM50",'Custos insumos'!$D$26,IF(C159="Dublagem Cretone HM70",'Custos insumos'!$F$10,)))))))))))))</f>
        <v>0</v>
      </c>
      <c r="N159" s="30">
        <f>IF(B159="Texion Textil",0,IF(B159="Três Elos",0,IF(C159="Malha",0,IF(C159="Dublagem Cretone",'Custos insumos'!$D$23,IF(C159="Dublagem Spun",'Custos insumos'!$D$16,IF(C159="Espelhamento",0,IF(C159="Espelhamento 2x",0,IF(C159="Esp. + Pel.",0,IF(C159="Pel. + Spun",'Custos insumos'!$D$16,IF(C159="Dublagem Cretone PES",'Custos insumos'!$F$25,IF(C159="Dublagem Barreira",'Custos insumos'!$D$22,)))))))))))</f>
        <v>0</v>
      </c>
      <c r="O159" s="18"/>
      <c r="P159" s="53" t="e">
        <f t="shared" ref="P159" si="64">(Q159-S159)/Q159</f>
        <v>#N/A</v>
      </c>
      <c r="Q159" s="50" t="e">
        <f t="shared" ref="Q159" si="65">G159*R159</f>
        <v>#N/A</v>
      </c>
      <c r="R159" s="50" t="e" cm="1">
        <f t="array" ref="R159">_xlfn.IFS(C159="Calandra",(350),C159="Peletização",(421),C159="Dublagem Spun",(250),C159="Dublagem Cretone PES",(180),C159="Felpagem",(270/E159),C159="Emborrachamento",(200),C159="Espelhamento",(250),C159="Malha",(1),C159="Dublagem Cretone",(180),C159="Malha",(1),C159="Dublagem Spun - MO",250,C159="Dublagem Cretone - MO",180,C159="Dublagem Cretone PES - MO",180,C159="Espelhamento - MO",250,C159="Emborrachamento",100,C159="Malha",0,C159="Dublagem Barreira",100,C159="Pel. + Cal.",350,C159="Fel. + Pel. + Cal.",270,C159="Pel. + Spun",250,C159="Espelhamento - L: 1,45m",200,C159="Espelhamento - L: 1,65m",200,C159="Estampagem",100,C159="Fel. + Cal.",270,C159="Dublagem Juta",180,C159="Dublagem Cretone - MO (Juta)",180,C159="Dublagem Tapete",150,C159="Esp. + Pel.",200,C159="Espelhamento 2x",100)</f>
        <v>#N/A</v>
      </c>
      <c r="S159" s="50" t="e">
        <f t="shared" ref="S159" si="66">(T159*X159)+(U159*Y159)+(V159*Z159)+((M159+N159)*(R159))</f>
        <v>#N/A</v>
      </c>
      <c r="T159" s="18" t="e" cm="1">
        <f t="array" ref="T159">_xlfn.IFS(C159="Calandra",0.4,C159="Felpagem",0.3,C159="Dublagem Spun",0.8,C159="Dublagem Cretone",0.8,C159="Dublagem Cretone PES",0.8,C159="Espelhamento",0.8,C159="Peletização",0.5,C159="Dublagem Spun - MO",0.8,C159="Dublagem Cretone - MO",0.8,C159="Dublagem Cretone PES - MO",0.8,C159="Espelhamento - MO",0.8,C159="Emborrachamento",1,C159="Malha",0,C159="Dublagem Barreira",1,C159="Pel. + Cal.",0.4,C159="Fel. + Pel. + Cal.",0.5,C159="Pel. + Spun",0.8,C159="Espelhamento - L: 1,45m",0.8,C159="Espelhamento - L: 1,65m",0.8,C159="Estampagem",1,C159="Fel. + Cal.",0.4,C159="Dublagem Juta",0.8,C159="Dublagem Cretone - MO (Juta)",0.8,C159="Dublagem Tapete",0.8,C159="Esp. + Pel.",0.8,C159="Espelhamento 2x",0.8)</f>
        <v>#N/A</v>
      </c>
      <c r="U159" s="18">
        <v>1</v>
      </c>
      <c r="V159" s="18">
        <v>1</v>
      </c>
      <c r="W159" s="18"/>
      <c r="X159" s="18">
        <v>39.67</v>
      </c>
      <c r="Y159" s="18">
        <v>38.51</v>
      </c>
      <c r="Z159" s="18">
        <v>116.78</v>
      </c>
      <c r="AA159" s="18"/>
    </row>
    <row r="160" spans="1:27" ht="14.25" customHeight="1" x14ac:dyDescent="0.35">
      <c r="A160" s="18"/>
      <c r="B160" s="64" t="s">
        <v>217</v>
      </c>
      <c r="C160" s="23" t="s">
        <v>142</v>
      </c>
      <c r="D160" s="23"/>
      <c r="E160" s="24">
        <v>1</v>
      </c>
      <c r="F160" s="25">
        <v>0.65</v>
      </c>
      <c r="G160" s="25">
        <v>0.68250000000000011</v>
      </c>
      <c r="H160" s="26" t="s">
        <v>243</v>
      </c>
      <c r="I160" s="27">
        <f t="shared" si="58"/>
        <v>0.68250000000000011</v>
      </c>
      <c r="J160" s="28">
        <v>46036</v>
      </c>
      <c r="K160" s="29"/>
      <c r="L160" s="30">
        <f t="shared" si="49"/>
        <v>0.68250000000000011</v>
      </c>
      <c r="M160" s="30">
        <f>IF(B160="Texion Textil",0,IF(C160="Malha",'Custos insumos'!$B$24,IF(C160="Dublagem Cretone",'Custos insumos'!$D$7,IF(C160="Dublagem Spun",'Custos insumos'!$D$4,IF(C160="Espelhamento",'Custos insumos'!$B$11,IF(C160="Espelhamento 2x",2*'Custos insumos'!$B$11,IF(C160="Esp. + Pel.",'Custos insumos'!$B$11,IF(C160="Pel. + Spun",'Custos insumos'!$D$4,IF(C160="Dublagem Cretone PES",'Custos insumos'!$D$7,IF(C160="Dublagem Barreira",'Custos insumos'!$D$11,IF(C160="Dublagem - MO + Filme",'Custos insumos'!$D$4,IF(C160="Dublagem Cretone HM50",'Custos insumos'!$D$26,IF(C160="Dublagem Cretone HM70",'Custos insumos'!$F$10,)))))))))))))</f>
        <v>0</v>
      </c>
      <c r="N160" s="30">
        <f>IF(B160="Texion Textil",0,IF(B160="Três Elos",0,IF(C160="Malha",0,IF(C160="Dublagem Cretone",'Custos insumos'!$D$23,IF(C160="Dublagem Spun",'Custos insumos'!$D$16,IF(C160="Espelhamento",0,IF(C160="Espelhamento 2x",0,IF(C160="Esp. + Pel.",0,IF(C160="Pel. + Spun",'Custos insumos'!$D$16,IF(C160="Dublagem Cretone PES",'Custos insumos'!$F$25,IF(C160="Dublagem Barreira",'Custos insumos'!$D$22,)))))))))))</f>
        <v>0</v>
      </c>
      <c r="O160" s="18"/>
      <c r="P160" s="53">
        <f t="shared" si="59"/>
        <v>0.28348299319727893</v>
      </c>
      <c r="Q160" s="50">
        <f t="shared" si="60"/>
        <v>238.87500000000003</v>
      </c>
      <c r="R160" s="50" cm="1">
        <f t="array" ref="R160">_xlfn.IFS(C160="Calandra",(350),C160="Peletização",(421),C160="Dublagem Spun",(250),C160="Dublagem Cretone PES",(180),C160="Felpagem",(270/E160),C160="Emborrachamento",(200),C160="Espelhamento",(250),C160="Malha",(1),C160="Dublagem Cretone",(180),C160="Malha",(1),C160="Dublagem Spun - MO",250,C160="Dublagem Cretone - MO",180,C160="Dublagem Cretone PES - MO",180,C160="Espelhamento - MO",250,C160="Emborrachamento",100,C160="Malha",0,C160="Dublagem Barreira",100,C160="Pel. + Cal.",350,C160="Fel. + Pel. + Cal.",270,C160="Pel. + Spun",250,C160="Espelhamento - L: 1,45m",200,C160="Espelhamento - L: 1,65m",200,C160="Estampagem",100,C160="Fel. + Cal.",270,C160="Dublagem Juta",180,C160="Dublagem Cretone - MO (Juta)",180,C160="Dublagem Tapete",150,C160="Esp. + Pel.",200,C160="Espelhamento 2x",100)</f>
        <v>350</v>
      </c>
      <c r="S160" s="50">
        <f t="shared" si="61"/>
        <v>171.15800000000002</v>
      </c>
      <c r="T160" s="18" cm="1">
        <f t="array" ref="T160">_xlfn.IFS(C160="Calandra",0.4,C160="Felpagem",0.3,C160="Dublagem Spun",0.8,C160="Dublagem Cretone",0.8,C160="Dublagem Cretone PES",0.8,C160="Espelhamento",0.8,C160="Peletização",0.5,C160="Dublagem Spun - MO",0.8,C160="Dublagem Cretone - MO",0.8,C160="Dublagem Cretone PES - MO",0.8,C160="Espelhamento - MO",0.8,C160="Emborrachamento",1,C160="Malha",0,C160="Dublagem Barreira",1,C160="Pel. + Cal.",0.4,C160="Fel. + Pel. + Cal.",0.5,C160="Pel. + Spun",0.8,C160="Espelhamento - L: 1,45m",0.8,C160="Espelhamento - L: 1,65m",0.8,C160="Estampagem",1,C160="Fel. + Cal.",0.4,C160="Dublagem Juta",0.8,C160="Dublagem Cretone - MO (Juta)",0.8,C160="Dublagem Tapete",0.8,C160="Esp. + Pel.",0.8,C160="Espelhamento 2x",0.8)</f>
        <v>0.4</v>
      </c>
      <c r="U160" s="18">
        <v>1</v>
      </c>
      <c r="V160" s="18">
        <v>1</v>
      </c>
      <c r="W160" s="18"/>
      <c r="X160" s="18">
        <v>39.67</v>
      </c>
      <c r="Y160" s="18">
        <v>38.51</v>
      </c>
      <c r="Z160" s="18">
        <v>116.78</v>
      </c>
      <c r="AA160" s="18"/>
    </row>
    <row r="161" spans="1:27" ht="14.25" customHeight="1" x14ac:dyDescent="0.35">
      <c r="A161" s="18"/>
      <c r="B161" s="64" t="s">
        <v>217</v>
      </c>
      <c r="C161" s="23" t="s">
        <v>251</v>
      </c>
      <c r="D161" s="23" t="s">
        <v>222</v>
      </c>
      <c r="E161" s="24">
        <v>1</v>
      </c>
      <c r="F161" s="25">
        <v>0.9</v>
      </c>
      <c r="G161" s="25">
        <v>0.94500000000000006</v>
      </c>
      <c r="H161" s="26" t="s">
        <v>243</v>
      </c>
      <c r="I161" s="27">
        <f t="shared" si="58"/>
        <v>0.94500000000000006</v>
      </c>
      <c r="J161" s="28">
        <v>46036</v>
      </c>
      <c r="K161" s="29"/>
      <c r="L161" s="30">
        <f t="shared" si="49"/>
        <v>0.94500000000000006</v>
      </c>
      <c r="M161" s="30">
        <f>IF(B161="Texion Textil",0,IF(C161="Malha",'Custos insumos'!$B$24,IF(C161="Dublagem Cretone",'Custos insumos'!$D$7,IF(C161="Dublagem Spun",'Custos insumos'!$D$4,IF(C161="Espelhamento",'Custos insumos'!$B$11,IF(C161="Espelhamento 2x",2*'Custos insumos'!$B$11,IF(C161="Esp. + Pel.",'Custos insumos'!$B$11,IF(C161="Pel. + Spun",'Custos insumos'!$D$4,IF(C161="Dublagem Cretone PES",'Custos insumos'!$D$7,IF(C161="Dublagem Barreira",'Custos insumos'!$D$11,IF(C161="Dublagem - MO + Filme",'Custos insumos'!$D$4,IF(C161="Dublagem Cretone HM50",'Custos insumos'!$D$26,IF(C161="Dublagem Cretone HM70",'Custos insumos'!$F$10,)))))))))))))</f>
        <v>0</v>
      </c>
      <c r="N161" s="30">
        <f>IF(B161="Texion Textil",0,IF(B161="Três Elos",0,IF(C161="Malha",0,IF(C161="Dublagem Cretone",'Custos insumos'!$D$23,IF(C161="Dublagem Spun",'Custos insumos'!$D$16,IF(C161="Espelhamento",0,IF(C161="Espelhamento 2x",0,IF(C161="Esp. + Pel.",0,IF(C161="Pel. + Spun",'Custos insumos'!$D$16,IF(C161="Dublagem Cretone PES",'Custos insumos'!$F$25,IF(C161="Dublagem Barreira",'Custos insumos'!$D$22,)))))))))))</f>
        <v>0</v>
      </c>
      <c r="O161" s="18"/>
      <c r="P161" s="53">
        <f t="shared" si="59"/>
        <v>-9.9506172839506093E-2</v>
      </c>
      <c r="Q161" s="50">
        <f t="shared" si="60"/>
        <v>170.10000000000002</v>
      </c>
      <c r="R161" s="50" cm="1">
        <f t="array" ref="R161">_xlfn.IFS(C161="Calandra",(350),C161="Peletização",(421),C161="Dublagem Spun",(250),C161="Dublagem Cretone PES",(180),C161="Felpagem",(270/E161),C161="Emborrachamento",(200),C161="Espelhamento",(250),C161="Malha",(1),C161="Dublagem Cretone",(180),C161="Malha",(1),C161="Dublagem Spun - MO",250,C161="Dublagem Cretone - MO",180,C161="Dublagem Cretone PES - MO",180,C161="Espelhamento - MO",250,C161="Emborrachamento",100,C161="Malha",0,C161="Dublagem Barreira",100,C161="Pel. + Cal.",350,C161="Fel. + Pel. + Cal.",270,C161="Pel. + Spun",250,C161="Espelhamento - L: 1,45m",200,C161="Espelhamento - L: 1,65m",200,C161="Estampagem",100,C161="Fel. + Cal.",270,C161="Dublagem Juta",180,C161="Dublagem Cretone - MO (Juta)",180,C161="Dublagem Tapete",150,C161="Esp. + Pel.",200,C161="Espelhamento 2x",100)</f>
        <v>180</v>
      </c>
      <c r="S161" s="50">
        <f t="shared" si="61"/>
        <v>187.02600000000001</v>
      </c>
      <c r="T161" s="18" cm="1">
        <f t="array" ref="T161">_xlfn.IFS(C161="Calandra",0.4,C161="Felpagem",0.3,C161="Dublagem Spun",0.8,C161="Dublagem Cretone",0.8,C161="Dublagem Cretone PES",0.8,C161="Espelhamento",0.8,C161="Peletização",0.5,C161="Dublagem Spun - MO",0.8,C161="Dublagem Cretone - MO",0.8,C161="Dublagem Cretone PES - MO",0.8,C161="Espelhamento - MO",0.8,C161="Emborrachamento",1,C161="Malha",0,C161="Dublagem Barreira",1,C161="Pel. + Cal.",0.4,C161="Fel. + Pel. + Cal.",0.5,C161="Pel. + Spun",0.8,C161="Espelhamento - L: 1,45m",0.8,C161="Espelhamento - L: 1,65m",0.8,C161="Estampagem",1,C161="Fel. + Cal.",0.4,C161="Dublagem Juta",0.8,C161="Dublagem Cretone - MO (Juta)",0.8,C161="Dublagem Tapete",0.8,C161="Esp. + Pel.",0.8,C161="Espelhamento 2x",0.8)</f>
        <v>0.8</v>
      </c>
      <c r="U161" s="18">
        <v>1</v>
      </c>
      <c r="V161" s="18">
        <v>1</v>
      </c>
      <c r="W161" s="18"/>
      <c r="X161" s="18">
        <v>39.67</v>
      </c>
      <c r="Y161" s="18">
        <v>38.51</v>
      </c>
      <c r="Z161" s="18">
        <v>116.78</v>
      </c>
      <c r="AA161" s="18"/>
    </row>
    <row r="162" spans="1:27" ht="14.25" customHeight="1" x14ac:dyDescent="0.35">
      <c r="A162" s="18"/>
      <c r="B162" s="64" t="s">
        <v>217</v>
      </c>
      <c r="C162" s="23" t="s">
        <v>249</v>
      </c>
      <c r="D162" s="23" t="s">
        <v>86</v>
      </c>
      <c r="E162" s="24">
        <v>1</v>
      </c>
      <c r="F162" s="25">
        <v>0.9</v>
      </c>
      <c r="G162" s="25">
        <v>0.94500000000000006</v>
      </c>
      <c r="H162" s="26" t="s">
        <v>243</v>
      </c>
      <c r="I162" s="27">
        <f t="shared" si="58"/>
        <v>0.94500000000000006</v>
      </c>
      <c r="J162" s="28">
        <v>46036</v>
      </c>
      <c r="K162" s="29"/>
      <c r="L162" s="30">
        <f t="shared" si="49"/>
        <v>0.94500000000000006</v>
      </c>
      <c r="M162" s="30">
        <f>IF(B162="Texion Textil",0,IF(C162="Malha",'Custos insumos'!$B$24,IF(C162="Dublagem Cretone",'Custos insumos'!$D$7,IF(C162="Dublagem Spun",'Custos insumos'!$D$4,IF(C162="Espelhamento",'Custos insumos'!$B$11,IF(C162="Espelhamento 2x",2*'Custos insumos'!$B$11,IF(C162="Esp. + Pel.",'Custos insumos'!$B$11,IF(C162="Pel. + Spun",'Custos insumos'!$D$4,IF(C162="Dublagem Cretone PES",'Custos insumos'!$D$7,IF(C162="Dublagem Barreira",'Custos insumos'!$D$11,IF(C162="Dublagem - MO + Filme",'Custos insumos'!$D$4,IF(C162="Dublagem Cretone HM50",'Custos insumos'!$D$26,IF(C162="Dublagem Cretone HM70",'Custos insumos'!$F$10,)))))))))))))</f>
        <v>0</v>
      </c>
      <c r="N162" s="30">
        <f>IF(B162="Texion Textil",0,IF(B162="Três Elos",0,IF(C162="Malha",0,IF(C162="Dublagem Cretone",'Custos insumos'!$D$23,IF(C162="Dublagem Spun",'Custos insumos'!$D$16,IF(C162="Espelhamento",0,IF(C162="Espelhamento 2x",0,IF(C162="Esp. + Pel.",0,IF(C162="Pel. + Spun",'Custos insumos'!$D$16,IF(C162="Dublagem Cretone PES",'Custos insumos'!$F$25,IF(C162="Dublagem Barreira",'Custos insumos'!$D$22,)))))))))))</f>
        <v>0</v>
      </c>
      <c r="O162" s="18"/>
      <c r="P162" s="53">
        <f t="shared" si="59"/>
        <v>0.2083555555555556</v>
      </c>
      <c r="Q162" s="50">
        <f t="shared" si="60"/>
        <v>236.25000000000003</v>
      </c>
      <c r="R162" s="50" cm="1">
        <f t="array" ref="R162">_xlfn.IFS(C162="Calandra",(350),C162="Peletização",(421),C162="Dublagem Spun",(250),C162="Dublagem Cretone PES",(180),C162="Felpagem",(270/E162),C162="Emborrachamento",(200),C162="Espelhamento",(250),C162="Malha",(1),C162="Dublagem Cretone",(180),C162="Malha",(1),C162="Dublagem Spun - MO",250,C162="Dublagem Cretone - MO",180,C162="Dublagem Cretone PES - MO",180,C162="Espelhamento - MO",250,C162="Emborrachamento",100,C162="Malha",0,C162="Dublagem Barreira",100,C162="Pel. + Cal.",350,C162="Fel. + Pel. + Cal.",270,C162="Pel. + Spun",250,C162="Espelhamento - L: 1,45m",200,C162="Espelhamento - L: 1,65m",200,C162="Estampagem",100,C162="Fel. + Cal.",270,C162="Dublagem Juta",180,C162="Dublagem Cretone - MO (Juta)",180,C162="Dublagem Tapete",150,C162="Esp. + Pel.",200,C162="Espelhamento 2x",100)</f>
        <v>250</v>
      </c>
      <c r="S162" s="50">
        <f t="shared" si="61"/>
        <v>187.02600000000001</v>
      </c>
      <c r="T162" s="18" cm="1">
        <f t="array" ref="T162">_xlfn.IFS(C162="Calandra",0.4,C162="Felpagem",0.3,C162="Dublagem Spun",0.8,C162="Dublagem Cretone",0.8,C162="Dublagem Cretone PES",0.8,C162="Espelhamento",0.8,C162="Peletização",0.5,C162="Dublagem Spun - MO",0.8,C162="Dublagem Cretone - MO",0.8,C162="Dublagem Cretone PES - MO",0.8,C162="Espelhamento - MO",0.8,C162="Emborrachamento",1,C162="Malha",0,C162="Dublagem Barreira",1,C162="Pel. + Cal.",0.4,C162="Fel. + Pel. + Cal.",0.5,C162="Pel. + Spun",0.8,C162="Espelhamento - L: 1,45m",0.8,C162="Espelhamento - L: 1,65m",0.8,C162="Estampagem",1,C162="Fel. + Cal.",0.4,C162="Dublagem Juta",0.8,C162="Dublagem Cretone - MO (Juta)",0.8,C162="Dublagem Tapete",0.8,C162="Esp. + Pel.",0.8,C162="Espelhamento 2x",0.8)</f>
        <v>0.8</v>
      </c>
      <c r="U162" s="18">
        <v>1</v>
      </c>
      <c r="V162" s="18">
        <v>1</v>
      </c>
      <c r="W162" s="18"/>
      <c r="X162" s="18">
        <v>39.67</v>
      </c>
      <c r="Y162" s="18">
        <v>38.51</v>
      </c>
      <c r="Z162" s="18">
        <v>116.78</v>
      </c>
      <c r="AA162" s="18"/>
    </row>
    <row r="163" spans="1:27" ht="14.25" customHeight="1" x14ac:dyDescent="0.35">
      <c r="A163" s="18"/>
      <c r="B163" s="64" t="s">
        <v>217</v>
      </c>
      <c r="C163" s="23" t="s">
        <v>106</v>
      </c>
      <c r="D163" s="23" t="s">
        <v>318</v>
      </c>
      <c r="E163" s="24">
        <v>1</v>
      </c>
      <c r="F163" s="25">
        <v>1</v>
      </c>
      <c r="G163" s="25">
        <v>1.05</v>
      </c>
      <c r="H163" s="26" t="s">
        <v>243</v>
      </c>
      <c r="I163" s="27">
        <f t="shared" si="58"/>
        <v>1.05</v>
      </c>
      <c r="J163" s="28">
        <v>46036</v>
      </c>
      <c r="K163" s="29"/>
      <c r="L163" s="30">
        <f t="shared" si="49"/>
        <v>1.05</v>
      </c>
      <c r="M163" s="30">
        <f>IF(B163="Texion Textil",0,IF(C163="Malha",'Custos insumos'!$B$24,IF(C163="Dublagem Cretone",'Custos insumos'!$D$7,IF(C163="Dublagem Spun",'Custos insumos'!$D$4,IF(C163="Espelhamento",'Custos insumos'!$B$11,IF(C163="Espelhamento 2x",2*'Custos insumos'!$B$11,IF(C163="Esp. + Pel.",'Custos insumos'!$B$11,IF(C163="Pel. + Spun",'Custos insumos'!$D$4,IF(C163="Dublagem Cretone PES",'Custos insumos'!$D$7,IF(C163="Dublagem Barreira",'Custos insumos'!$D$11,IF(C163="Dublagem - MO + Filme",'Custos insumos'!$D$4,IF(C163="Dublagem Cretone HM50",'Custos insumos'!$D$26,IF(C163="Dublagem Cretone HM70",'Custos insumos'!$F$10,)))))))))))))</f>
        <v>0</v>
      </c>
      <c r="N163" s="30">
        <f>IF(B163="Texion Textil",0,IF(B163="Três Elos",0,IF(C163="Malha",0,IF(C163="Dublagem Cretone",'Custos insumos'!$D$23,IF(C163="Dublagem Spun",'Custos insumos'!$D$16,IF(C163="Espelhamento",0,IF(C163="Espelhamento 2x",0,IF(C163="Esp. + Pel.",0,IF(C163="Pel. + Spun",'Custos insumos'!$D$16,IF(C163="Dublagem Cretone PES",'Custos insumos'!$F$25,IF(C163="Dublagem Barreira",'Custos insumos'!$D$22,)))))))))))</f>
        <v>0</v>
      </c>
      <c r="O163" s="18"/>
      <c r="P163" s="53">
        <f t="shared" si="59"/>
        <v>0.28751999999999994</v>
      </c>
      <c r="Q163" s="50">
        <f t="shared" si="60"/>
        <v>262.5</v>
      </c>
      <c r="R163" s="50" cm="1">
        <f t="array" ref="R163">_xlfn.IFS(C163="Calandra",(350),C163="Peletização",(421),C163="Dublagem Spun",(250),C163="Dublagem Cretone PES",(180),C163="Felpagem",(270/E163),C163="Emborrachamento",(200),C163="Espelhamento",(250),C163="Malha",(1),C163="Dublagem Cretone",(180),C163="Malha",(1),C163="Dublagem Spun - MO",250,C163="Dublagem Cretone - MO",180,C163="Dublagem Cretone PES - MO",180,C163="Espelhamento - MO",250,C163="Emborrachamento",100,C163="Malha",0,C163="Dublagem Barreira",100,C163="Pel. + Cal.",350,C163="Fel. + Pel. + Cal.",270,C163="Pel. + Spun",250,C163="Espelhamento - L: 1,45m",200,C163="Espelhamento - L: 1,65m",200,C163="Estampagem",100,C163="Fel. + Cal.",270,C163="Dublagem Juta",180,C163="Dublagem Cretone - MO (Juta)",180,C163="Dublagem Tapete",150,C163="Esp. + Pel.",200,C163="Espelhamento 2x",100)</f>
        <v>250</v>
      </c>
      <c r="S163" s="50">
        <f t="shared" si="61"/>
        <v>187.02600000000001</v>
      </c>
      <c r="T163" s="18" cm="1">
        <f t="array" ref="T163">_xlfn.IFS(C163="Calandra",0.4,C163="Felpagem",0.3,C163="Dublagem Spun",0.8,C163="Dublagem Cretone",0.8,C163="Dublagem Cretone PES",0.8,C163="Espelhamento",0.8,C163="Peletização",0.5,C163="Dublagem Spun - MO",0.8,C163="Dublagem Cretone - MO",0.8,C163="Dublagem Cretone PES - MO",0.8,C163="Espelhamento - MO",0.8,C163="Emborrachamento",1,C163="Malha",0,C163="Dublagem Barreira",1,C163="Pel. + Cal.",0.4,C163="Fel. + Pel. + Cal.",0.5,C163="Pel. + Spun",0.8,C163="Espelhamento - L: 1,45m",0.8,C163="Espelhamento - L: 1,65m",0.8,C163="Estampagem",1,C163="Fel. + Cal.",0.4,C163="Dublagem Juta",0.8,C163="Dublagem Cretone - MO (Juta)",0.8,C163="Dublagem Tapete",0.8,C163="Esp. + Pel.",0.8,C163="Espelhamento 2x",0.8)</f>
        <v>0.8</v>
      </c>
      <c r="U163" s="18">
        <v>1</v>
      </c>
      <c r="V163" s="18">
        <v>1</v>
      </c>
      <c r="W163" s="18"/>
      <c r="X163" s="18">
        <v>39.67</v>
      </c>
      <c r="Y163" s="18">
        <v>38.51</v>
      </c>
      <c r="Z163" s="18">
        <v>116.78</v>
      </c>
      <c r="AA163" s="18"/>
    </row>
    <row r="164" spans="1:27" ht="14.25" customHeight="1" x14ac:dyDescent="0.35">
      <c r="A164" s="18"/>
      <c r="B164" s="64" t="s">
        <v>217</v>
      </c>
      <c r="C164" s="23" t="s">
        <v>254</v>
      </c>
      <c r="D164" s="23"/>
      <c r="E164" s="24">
        <v>1</v>
      </c>
      <c r="F164" s="25">
        <v>0.4</v>
      </c>
      <c r="G164" s="25">
        <v>0.42000000000000004</v>
      </c>
      <c r="H164" s="26" t="s">
        <v>243</v>
      </c>
      <c r="I164" s="27">
        <f t="shared" si="58"/>
        <v>0.42000000000000004</v>
      </c>
      <c r="J164" s="28">
        <v>46036</v>
      </c>
      <c r="K164" s="29"/>
      <c r="L164" s="30">
        <f t="shared" si="49"/>
        <v>0.42000000000000004</v>
      </c>
      <c r="M164" s="30">
        <f>IF(B164="Texion Textil",0,IF(C164="Malha",'Custos insumos'!$B$24,IF(C164="Dublagem Cretone",'Custos insumos'!$D$7,IF(C164="Dublagem Spun",'Custos insumos'!$D$4,IF(C164="Espelhamento",'Custos insumos'!$B$11,IF(C164="Espelhamento 2x",2*'Custos insumos'!$B$11,IF(C164="Esp. + Pel.",'Custos insumos'!$B$11,IF(C164="Pel. + Spun",'Custos insumos'!$D$4,IF(C164="Dublagem Cretone PES",'Custos insumos'!$D$7,IF(C164="Dublagem Barreira",'Custos insumos'!$D$11,IF(C164="Dublagem - MO + Filme",'Custos insumos'!$D$4,IF(C164="Dublagem Cretone HM50",'Custos insumos'!$D$26,IF(C164="Dublagem Cretone HM70",'Custos insumos'!$F$10,)))))))))))))</f>
        <v>0</v>
      </c>
      <c r="N164" s="30">
        <f>IF(B164="Texion Textil",0,IF(B164="Três Elos",0,IF(C164="Malha",0,IF(C164="Dublagem Cretone",'Custos insumos'!$D$23,IF(C164="Dublagem Spun",'Custos insumos'!$D$16,IF(C164="Espelhamento",0,IF(C164="Espelhamento 2x",0,IF(C164="Esp. + Pel.",0,IF(C164="Pel. + Spun",'Custos insumos'!$D$16,IF(C164="Dublagem Cretone PES",'Custos insumos'!$F$25,IF(C164="Dublagem Barreira",'Custos insumos'!$D$22,)))))))))))</f>
        <v>0</v>
      </c>
      <c r="O164" s="18"/>
      <c r="P164" s="53">
        <f t="shared" si="59"/>
        <v>-0.47434744268077594</v>
      </c>
      <c r="Q164" s="50">
        <f t="shared" si="60"/>
        <v>113.4</v>
      </c>
      <c r="R164" s="50" cm="1">
        <f t="array" ref="R164">_xlfn.IFS(C164="Calandra",(350),C164="Peletização",(421),C164="Dublagem Spun",(250),C164="Dublagem Cretone PES",(180),C164="Felpagem",(270/E164),C164="Emborrachamento",(200),C164="Espelhamento",(250),C164="Malha",(1),C164="Dublagem Cretone",(180),C164="Malha",(1),C164="Dublagem Spun - MO",250,C164="Dublagem Cretone - MO",180,C164="Dublagem Cretone PES - MO",180,C164="Espelhamento - MO",250,C164="Emborrachamento",100,C164="Malha",0,C164="Dublagem Barreira",100,C164="Pel. + Cal.",350,C164="Fel. + Pel. + Cal.",270,C164="Pel. + Spun",250,C164="Espelhamento - L: 1,45m",200,C164="Espelhamento - L: 1,65m",200,C164="Estampagem",100,C164="Fel. + Cal.",270,C164="Dublagem Juta",180,C164="Dublagem Cretone - MO (Juta)",180,C164="Dublagem Tapete",150,C164="Esp. + Pel.",200,C164="Espelhamento 2x",100)</f>
        <v>270</v>
      </c>
      <c r="S164" s="50">
        <f t="shared" si="61"/>
        <v>167.191</v>
      </c>
      <c r="T164" s="18" cm="1">
        <f t="array" ref="T164">_xlfn.IFS(C164="Calandra",0.4,C164="Felpagem",0.3,C164="Dublagem Spun",0.8,C164="Dublagem Cretone",0.8,C164="Dublagem Cretone PES",0.8,C164="Espelhamento",0.8,C164="Peletização",0.5,C164="Dublagem Spun - MO",0.8,C164="Dublagem Cretone - MO",0.8,C164="Dublagem Cretone PES - MO",0.8,C164="Espelhamento - MO",0.8,C164="Emborrachamento",1,C164="Malha",0,C164="Dublagem Barreira",1,C164="Pel. + Cal.",0.4,C164="Fel. + Pel. + Cal.",0.5,C164="Pel. + Spun",0.8,C164="Espelhamento - L: 1,45m",0.8,C164="Espelhamento - L: 1,65m",0.8,C164="Estampagem",1,C164="Fel. + Cal.",0.4,C164="Dublagem Juta",0.8,C164="Dublagem Cretone - MO (Juta)",0.8,C164="Dublagem Tapete",0.8,C164="Esp. + Pel.",0.8,C164="Espelhamento 2x",0.8)</f>
        <v>0.3</v>
      </c>
      <c r="U164" s="18">
        <v>1</v>
      </c>
      <c r="V164" s="18">
        <v>1</v>
      </c>
      <c r="W164" s="18"/>
      <c r="X164" s="18">
        <v>39.67</v>
      </c>
      <c r="Y164" s="18">
        <v>38.51</v>
      </c>
      <c r="Z164" s="18">
        <v>116.78</v>
      </c>
      <c r="AA164" s="18"/>
    </row>
    <row r="165" spans="1:27" ht="14.25" customHeight="1" x14ac:dyDescent="0.35">
      <c r="A165" s="18"/>
      <c r="B165" s="64" t="s">
        <v>217</v>
      </c>
      <c r="C165" s="23" t="s">
        <v>511</v>
      </c>
      <c r="D165" s="23" t="s">
        <v>502</v>
      </c>
      <c r="E165" s="24">
        <v>1</v>
      </c>
      <c r="F165" s="25">
        <v>1.05</v>
      </c>
      <c r="G165" s="25">
        <v>1.1025</v>
      </c>
      <c r="H165" s="26" t="s">
        <v>243</v>
      </c>
      <c r="I165" s="27">
        <f t="shared" si="58"/>
        <v>1.1025</v>
      </c>
      <c r="J165" s="28">
        <v>46036</v>
      </c>
      <c r="K165" s="29" t="s">
        <v>109</v>
      </c>
      <c r="L165" s="30">
        <f t="shared" si="49"/>
        <v>1.1025</v>
      </c>
      <c r="M165" s="30">
        <f>IF(B165="Texion Textil",0,IF(C165="Malha",'Custos insumos'!$B$24,IF(C165="Dublagem Cretone",'Custos insumos'!$D$7,IF(C165="Dublagem Spun",'Custos insumos'!$D$4,IF(C165="Espelhamento",'Custos insumos'!$B$11,IF(C165="Espelhamento 2x",2*'Custos insumos'!$B$11,IF(C165="Esp. + Pel.",'Custos insumos'!$B$11,IF(C165="Pel. + Spun",'Custos insumos'!$D$4,IF(C165="Dublagem Cretone PES",'Custos insumos'!$D$7,IF(C165="Dublagem Barreira",'Custos insumos'!$D$11,IF(C165="Dublagem - MO + Filme",'Custos insumos'!$D$4,IF(C165="Dublagem Cretone HM50",'Custos insumos'!$D$26,IF(C165="Dublagem Cretone HM70",'Custos insumos'!$F$10,)))))))))))))</f>
        <v>0</v>
      </c>
      <c r="N165" s="30">
        <f>IF(B165="Texion Textil",0,IF(B165="Três Elos",0,IF(C165="Malha",0,IF(C165="Dublagem Cretone",'Custos insumos'!$D$23,IF(C165="Dublagem Spun",'Custos insumos'!$D$16,IF(C165="Espelhamento",0,IF(C165="Espelhamento 2x",0,IF(C165="Esp. + Pel.",0,IF(C165="Pel. + Spun",'Custos insumos'!$D$16,IF(C165="Dublagem Cretone PES",'Custos insumos'!$F$25,IF(C165="Dublagem Barreira",'Custos insumos'!$D$22,)))))))))))</f>
        <v>0</v>
      </c>
      <c r="O165" s="18"/>
      <c r="P165" s="53" t="e">
        <f t="shared" si="59"/>
        <v>#N/A</v>
      </c>
      <c r="Q165" s="50" t="e">
        <f t="shared" si="60"/>
        <v>#N/A</v>
      </c>
      <c r="R165" s="50" t="e" cm="1">
        <f t="array" ref="R165">_xlfn.IFS(C165="Calandra",(350),C165="Peletização",(421),C165="Dublagem Spun",(250),C165="Dublagem Cretone PES",(180),C165="Felpagem",(270/E165),C165="Emborrachamento",(200),C165="Espelhamento",(250),C165="Malha",(1),C165="Dublagem Cretone",(180),C165="Malha",(1),C165="Dublagem Spun - MO",250,C165="Dublagem Cretone - MO",180,C165="Dublagem Cretone PES - MO",180,C165="Espelhamento - MO",250,C165="Emborrachamento",100,C165="Malha",0,C165="Dublagem Barreira",100,C165="Pel. + Cal.",350,C165="Fel. + Pel. + Cal.",270,C165="Pel. + Spun",250,C165="Espelhamento - L: 1,45m",200,C165="Espelhamento - L: 1,65m",200,C165="Estampagem",100,C165="Fel. + Cal.",270,C165="Dublagem Juta",180,C165="Dublagem Cretone - MO (Juta)",180,C165="Dublagem Tapete",150,C165="Esp. + Pel.",200,C165="Espelhamento 2x",100)</f>
        <v>#N/A</v>
      </c>
      <c r="S165" s="50" t="e">
        <f t="shared" si="61"/>
        <v>#N/A</v>
      </c>
      <c r="T165" s="18" t="e" cm="1">
        <f t="array" ref="T165">_xlfn.IFS(C165="Calandra",0.4,C165="Felpagem",0.3,C165="Dublagem Spun",0.8,C165="Dublagem Cretone",0.8,C165="Dublagem Cretone PES",0.8,C165="Espelhamento",0.8,C165="Peletização",0.5,C165="Dublagem Spun - MO",0.8,C165="Dublagem Cretone - MO",0.8,C165="Dublagem Cretone PES - MO",0.8,C165="Espelhamento - MO",0.8,C165="Emborrachamento",1,C165="Malha",0,C165="Dublagem Barreira",1,C165="Pel. + Cal.",0.4,C165="Fel. + Pel. + Cal.",0.5,C165="Pel. + Spun",0.8,C165="Espelhamento - L: 1,45m",0.8,C165="Espelhamento - L: 1,65m",0.8,C165="Estampagem",1,C165="Fel. + Cal.",0.4,C165="Dublagem Juta",0.8,C165="Dublagem Cretone - MO (Juta)",0.8,C165="Dublagem Tapete",0.8,C165="Esp. + Pel.",0.8,C165="Espelhamento 2x",0.8)</f>
        <v>#N/A</v>
      </c>
      <c r="U165" s="18">
        <v>1</v>
      </c>
      <c r="V165" s="18">
        <v>1</v>
      </c>
      <c r="W165" s="18"/>
      <c r="X165" s="18">
        <v>39.67</v>
      </c>
      <c r="Y165" s="18">
        <v>38.51</v>
      </c>
      <c r="Z165" s="18">
        <v>116.78</v>
      </c>
      <c r="AA165" s="18"/>
    </row>
    <row r="166" spans="1:27" ht="14.25" customHeight="1" x14ac:dyDescent="0.35">
      <c r="A166" s="18"/>
      <c r="B166" s="64" t="s">
        <v>217</v>
      </c>
      <c r="C166" s="23" t="s">
        <v>319</v>
      </c>
      <c r="D166" s="23"/>
      <c r="E166" s="24">
        <v>1</v>
      </c>
      <c r="F166" s="25">
        <v>3.25</v>
      </c>
      <c r="G166" s="25">
        <v>3.4125000000000001</v>
      </c>
      <c r="H166" s="26" t="s">
        <v>243</v>
      </c>
      <c r="I166" s="27">
        <f t="shared" si="58"/>
        <v>3.4125000000000001</v>
      </c>
      <c r="J166" s="28">
        <v>46036</v>
      </c>
      <c r="K166" s="29"/>
      <c r="L166" s="30">
        <f t="shared" si="49"/>
        <v>3.4125000000000001</v>
      </c>
      <c r="M166" s="30">
        <f>IF(B166="Texion Textil",0,IF(C166="Malha",'Custos insumos'!$B$24,IF(C166="Dublagem Cretone",'Custos insumos'!$D$7,IF(C166="Dublagem Spun",'Custos insumos'!$D$4,IF(C166="Espelhamento",'Custos insumos'!$B$11,IF(C166="Espelhamento 2x",2*'Custos insumos'!$B$11,IF(C166="Esp. + Pel.",'Custos insumos'!$B$11,IF(C166="Pel. + Spun",'Custos insumos'!$D$4,IF(C166="Dublagem Cretone PES",'Custos insumos'!$D$7,IF(C166="Dublagem Barreira",'Custos insumos'!$D$11,IF(C166="Dublagem - MO + Filme",'Custos insumos'!$D$4,IF(C166="Dublagem Cretone HM50",'Custos insumos'!$D$26,IF(C166="Dublagem Cretone HM70",'Custos insumos'!$F$10,)))))))))))))</f>
        <v>0</v>
      </c>
      <c r="N166" s="30">
        <f>IF(B166="Texion Textil",0,IF(B166="Três Elos",0,IF(C166="Malha",0,IF(C166="Dublagem Cretone",'Custos insumos'!$D$23,IF(C166="Dublagem Spun",'Custos insumos'!$D$16,IF(C166="Espelhamento",0,IF(C166="Espelhamento 2x",0,IF(C166="Esp. + Pel.",0,IF(C166="Pel. + Spun",'Custos insumos'!$D$16,IF(C166="Dublagem Cretone PES",'Custos insumos'!$F$25,IF(C166="Dublagem Barreira",'Custos insumos'!$D$22,)))))))))))</f>
        <v>0</v>
      </c>
      <c r="O166" s="18"/>
      <c r="P166" s="53" t="e">
        <f t="shared" si="59"/>
        <v>#N/A</v>
      </c>
      <c r="Q166" s="50" t="e">
        <f t="shared" si="60"/>
        <v>#N/A</v>
      </c>
      <c r="R166" s="50" t="e" cm="1">
        <f t="array" ref="R166">_xlfn.IFS(C166="Calandra",(350),C166="Peletização",(421),C166="Dublagem Spun",(250),C166="Dublagem Cretone PES",(180),C166="Felpagem",(270/E166),C166="Emborrachamento",(200),C166="Espelhamento",(250),C166="Malha",(1),C166="Dublagem Cretone",(180),C166="Malha",(1),C166="Dublagem Spun - MO",250,C166="Dublagem Cretone - MO",180,C166="Dublagem Cretone PES - MO",180,C166="Espelhamento - MO",250,C166="Emborrachamento",100,C166="Malha",0,C166="Dublagem Barreira",100,C166="Pel. + Cal.",350,C166="Fel. + Pel. + Cal.",270,C166="Pel. + Spun",250,C166="Espelhamento - L: 1,45m",200,C166="Espelhamento - L: 1,65m",200,C166="Estampagem",100,C166="Fel. + Cal.",270,C166="Dublagem Juta",180,C166="Dublagem Cretone - MO (Juta)",180,C166="Dublagem Tapete",150,C166="Esp. + Pel.",200,C166="Espelhamento 2x",100)</f>
        <v>#N/A</v>
      </c>
      <c r="S166" s="50" t="e">
        <f t="shared" si="61"/>
        <v>#N/A</v>
      </c>
      <c r="T166" s="18" t="e" cm="1">
        <f t="array" ref="T166">_xlfn.IFS(C166="Calandra",0.4,C166="Felpagem",0.3,C166="Dublagem Spun",0.8,C166="Dublagem Cretone",0.8,C166="Dublagem Cretone PES",0.8,C166="Espelhamento",0.8,C166="Peletização",0.5,C166="Dublagem Spun - MO",0.8,C166="Dublagem Cretone - MO",0.8,C166="Dublagem Cretone PES - MO",0.8,C166="Espelhamento - MO",0.8,C166="Emborrachamento",1,C166="Malha",0,C166="Dublagem Barreira",1,C166="Pel. + Cal.",0.4,C166="Fel. + Pel. + Cal.",0.5,C166="Pel. + Spun",0.8,C166="Espelhamento - L: 1,45m",0.8,C166="Espelhamento - L: 1,65m",0.8,C166="Estampagem",1,C166="Fel. + Cal.",0.4,C166="Dublagem Juta",0.8,C166="Dublagem Cretone - MO (Juta)",0.8,C166="Dublagem Tapete",0.8,C166="Esp. + Pel.",0.8,C166="Espelhamento 2x",0.8)</f>
        <v>#N/A</v>
      </c>
      <c r="U166" s="18">
        <v>1</v>
      </c>
      <c r="V166" s="18">
        <v>1</v>
      </c>
      <c r="W166" s="18"/>
      <c r="X166" s="18">
        <v>39.67</v>
      </c>
      <c r="Y166" s="18">
        <v>38.51</v>
      </c>
      <c r="Z166" s="18">
        <v>116.78</v>
      </c>
      <c r="AA166" s="18"/>
    </row>
    <row r="167" spans="1:27" ht="14.25" customHeight="1" x14ac:dyDescent="0.35">
      <c r="A167" s="18"/>
      <c r="B167" s="64" t="s">
        <v>217</v>
      </c>
      <c r="C167" s="42" t="s">
        <v>512</v>
      </c>
      <c r="D167" s="23" t="s">
        <v>225</v>
      </c>
      <c r="E167" s="24">
        <v>1</v>
      </c>
      <c r="F167" s="25">
        <v>1.85</v>
      </c>
      <c r="G167" s="25">
        <v>1.9425000000000001</v>
      </c>
      <c r="H167" s="26" t="s">
        <v>243</v>
      </c>
      <c r="I167" s="27">
        <f t="shared" si="58"/>
        <v>1.9425000000000001</v>
      </c>
      <c r="J167" s="28">
        <v>46036</v>
      </c>
      <c r="K167" s="29"/>
      <c r="L167" s="30">
        <f t="shared" si="49"/>
        <v>1.9425000000000001</v>
      </c>
      <c r="M167" s="30">
        <f>IF(B167="Texion Textil",0,IF(C167="Malha",'Custos insumos'!$B$24,IF(C167="Dublagem Cretone",'Custos insumos'!$D$7,IF(C167="Dublagem Spun",'Custos insumos'!$D$4,IF(C167="Espelhamento",'Custos insumos'!$B$11,IF(C167="Espelhamento 2x",2*'Custos insumos'!$B$11,IF(C167="Esp. + Pel.",'Custos insumos'!$B$11,IF(C167="Pel. + Spun",'Custos insumos'!$D$4,IF(C167="Dublagem Cretone PES",'Custos insumos'!$D$7,IF(C167="Dublagem Barreira",'Custos insumos'!$D$11,IF(C167="Dublagem - MO + Filme",'Custos insumos'!$D$4,IF(C167="Dublagem Cretone HM50",'Custos insumos'!$D$26,IF(C167="Dublagem Cretone HM70",'Custos insumos'!$F$10,)))))))))))))</f>
        <v>0</v>
      </c>
      <c r="N167" s="30">
        <f>IF(B167="Texion Textil",0,IF(B167="Três Elos",0,IF(C167="Malha",0,IF(C167="Dublagem Cretone",'Custos insumos'!$D$23,IF(C167="Dublagem Spun",'Custos insumos'!$D$16,IF(C167="Espelhamento",0,IF(C167="Espelhamento 2x",0,IF(C167="Esp. + Pel.",0,IF(C167="Pel. + Spun",'Custos insumos'!$D$16,IF(C167="Dublagem Cretone PES",'Custos insumos'!$F$25,IF(C167="Dublagem Barreira",'Custos insumos'!$D$22,)))))))))))</f>
        <v>0</v>
      </c>
      <c r="O167" s="18"/>
      <c r="P167" s="53" t="e">
        <f t="shared" si="59"/>
        <v>#N/A</v>
      </c>
      <c r="Q167" s="50" t="e">
        <f t="shared" si="60"/>
        <v>#N/A</v>
      </c>
      <c r="R167" s="50" t="e" cm="1">
        <f t="array" ref="R167">_xlfn.IFS(C167="Calandra",(350),C167="Peletização",(421),C167="Dublagem Spun",(250),C167="Dublagem Cretone PES",(180),C167="Felpagem",(270/E167),C167="Emborrachamento",(200),C167="Espelhamento",(250),C167="Malha",(1),C167="Dublagem Cretone",(180),C167="Malha",(1),C167="Dublagem Spun - MO",250,C167="Dublagem Cretone - MO",180,C167="Dublagem Cretone PES - MO",180,C167="Espelhamento - MO",250,C167="Emborrachamento",100,C167="Malha",0,C167="Dublagem Barreira",100,C167="Pel. + Cal.",350,C167="Fel. + Pel. + Cal.",270,C167="Pel. + Spun",250,C167="Espelhamento - L: 1,45m",200,C167="Espelhamento - L: 1,65m",200,C167="Estampagem",100,C167="Fel. + Cal.",270,C167="Dublagem Juta",180,C167="Dublagem Cretone - MO (Juta)",180,C167="Dublagem Tapete",150,C167="Esp. + Pel.",200,C167="Espelhamento 2x",100)</f>
        <v>#N/A</v>
      </c>
      <c r="S167" s="50" t="e">
        <f t="shared" si="61"/>
        <v>#N/A</v>
      </c>
      <c r="T167" s="18" t="e" cm="1">
        <f t="array" ref="T167">_xlfn.IFS(C167="Calandra",0.4,C167="Felpagem",0.3,C167="Dublagem Spun",0.8,C167="Dublagem Cretone",0.8,C167="Dublagem Cretone PES",0.8,C167="Espelhamento",0.8,C167="Peletização",0.5,C167="Dublagem Spun - MO",0.8,C167="Dublagem Cretone - MO",0.8,C167="Dublagem Cretone PES - MO",0.8,C167="Espelhamento - MO",0.8,C167="Emborrachamento",1,C167="Malha",0,C167="Dublagem Barreira",1,C167="Pel. + Cal.",0.4,C167="Fel. + Pel. + Cal.",0.5,C167="Pel. + Spun",0.8,C167="Espelhamento - L: 1,45m",0.8,C167="Espelhamento - L: 1,65m",0.8,C167="Estampagem",1,C167="Fel. + Cal.",0.4,C167="Dublagem Juta",0.8,C167="Dublagem Cretone - MO (Juta)",0.8,C167="Dublagem Tapete",0.8,C167="Esp. + Pel.",0.8,C167="Espelhamento 2x",0.8)</f>
        <v>#N/A</v>
      </c>
      <c r="U167" s="18">
        <v>1</v>
      </c>
      <c r="V167" s="18">
        <v>1</v>
      </c>
      <c r="W167" s="18"/>
      <c r="X167" s="18">
        <v>39.67</v>
      </c>
      <c r="Y167" s="18">
        <v>38.51</v>
      </c>
      <c r="Z167" s="18">
        <v>116.78</v>
      </c>
      <c r="AA167" s="18"/>
    </row>
    <row r="168" spans="1:27" ht="14.25" customHeight="1" x14ac:dyDescent="0.35">
      <c r="A168" s="18"/>
      <c r="B168" s="64" t="s">
        <v>226</v>
      </c>
      <c r="C168" s="23" t="s">
        <v>254</v>
      </c>
      <c r="D168" s="23"/>
      <c r="E168" s="24">
        <v>1</v>
      </c>
      <c r="F168" s="25">
        <v>0.4</v>
      </c>
      <c r="G168" s="25">
        <v>0.5</v>
      </c>
      <c r="H168" s="26" t="s">
        <v>243</v>
      </c>
      <c r="I168" s="27">
        <f t="shared" si="58"/>
        <v>0.5</v>
      </c>
      <c r="J168" s="28">
        <v>46036</v>
      </c>
      <c r="K168" s="29"/>
      <c r="L168" s="30">
        <f t="shared" si="49"/>
        <v>0.5</v>
      </c>
      <c r="M168" s="30">
        <f>IF(B168="Texion Textil",0,IF(C168="Malha",'Custos insumos'!$B$24,IF(C168="Dublagem Cretone",'Custos insumos'!$D$7,IF(C168="Dublagem Spun",'Custos insumos'!$D$4,IF(C168="Espelhamento",'Custos insumos'!$B$11,IF(C168="Espelhamento 2x",2*'Custos insumos'!$B$11,IF(C168="Esp. + Pel.",'Custos insumos'!$B$11,IF(C168="Pel. + Spun",'Custos insumos'!$D$4,IF(C168="Dublagem Cretone PES",'Custos insumos'!$D$7,IF(C168="Dublagem Barreira",'Custos insumos'!$D$11,IF(C168="Dublagem - MO + Filme",'Custos insumos'!$D$4,IF(C168="Dublagem Cretone HM50",'Custos insumos'!$D$26,IF(C168="Dublagem Cretone HM70",'Custos insumos'!$F$10,)))))))))))))</f>
        <v>0</v>
      </c>
      <c r="N168" s="30">
        <f>IF(B168="Texion Textil",0,IF(B168="Três Elos",0,IF(C168="Malha",0,IF(C168="Dublagem Cretone",'Custos insumos'!$D$23,IF(C168="Dublagem Spun",'Custos insumos'!$D$16,IF(C168="Espelhamento",0,IF(C168="Espelhamento 2x",0,IF(C168="Esp. + Pel.",0,IF(C168="Pel. + Spun",'Custos insumos'!$D$16,IF(C168="Dublagem Cretone PES",'Custos insumos'!$F$25,IF(C168="Dublagem Barreira",'Custos insumos'!$D$22,)))))))))))</f>
        <v>0</v>
      </c>
      <c r="O168" s="18"/>
      <c r="P168" s="53">
        <f t="shared" si="59"/>
        <v>-0.23845185185185186</v>
      </c>
      <c r="Q168" s="50">
        <f t="shared" si="60"/>
        <v>135</v>
      </c>
      <c r="R168" s="50" cm="1">
        <f t="array" ref="R168">_xlfn.IFS(C168="Calandra",(350),C168="Peletização",(421),C168="Dublagem Spun",(250),C168="Dublagem Cretone PES",(180),C168="Felpagem",(270/E168),C168="Emborrachamento",(200),C168="Espelhamento",(250),C168="Malha",(1),C168="Dublagem Cretone",(180),C168="Malha",(1),C168="Dublagem Spun - MO",250,C168="Dublagem Cretone - MO",180,C168="Dublagem Cretone PES - MO",180,C168="Espelhamento - MO",250,C168="Emborrachamento",100,C168="Malha",0,C168="Dublagem Barreira",100,C168="Pel. + Cal.",350,C168="Fel. + Pel. + Cal.",270,C168="Pel. + Spun",250,C168="Espelhamento - L: 1,45m",200,C168="Espelhamento - L: 1,65m",200,C168="Estampagem",100,C168="Fel. + Cal.",270,C168="Dublagem Juta",180,C168="Dublagem Cretone - MO (Juta)",180,C168="Dublagem Tapete",150,C168="Esp. + Pel.",200,C168="Espelhamento 2x",100)</f>
        <v>270</v>
      </c>
      <c r="S168" s="50">
        <f t="shared" si="61"/>
        <v>167.191</v>
      </c>
      <c r="T168" s="18" cm="1">
        <f t="array" ref="T168">_xlfn.IFS(C168="Calandra",0.4,C168="Felpagem",0.3,C168="Dublagem Spun",0.8,C168="Dublagem Cretone",0.8,C168="Dublagem Cretone PES",0.8,C168="Espelhamento",0.8,C168="Peletização",0.5,C168="Dublagem Spun - MO",0.8,C168="Dublagem Cretone - MO",0.8,C168="Dublagem Cretone PES - MO",0.8,C168="Espelhamento - MO",0.8,C168="Emborrachamento",1,C168="Malha",0,C168="Dublagem Barreira",1,C168="Pel. + Cal.",0.4,C168="Fel. + Pel. + Cal.",0.5,C168="Pel. + Spun",0.8,C168="Espelhamento - L: 1,45m",0.8,C168="Espelhamento - L: 1,65m",0.8,C168="Estampagem",1,C168="Fel. + Cal.",0.4,C168="Dublagem Juta",0.8,C168="Dublagem Cretone - MO (Juta)",0.8,C168="Dublagem Tapete",0.8,C168="Esp. + Pel.",0.8,C168="Espelhamento 2x",0.8)</f>
        <v>0.3</v>
      </c>
      <c r="U168" s="18">
        <v>1</v>
      </c>
      <c r="V168" s="18">
        <v>1</v>
      </c>
      <c r="W168" s="18"/>
      <c r="X168" s="18">
        <v>39.67</v>
      </c>
      <c r="Y168" s="18">
        <v>38.51</v>
      </c>
      <c r="Z168" s="18">
        <v>116.78</v>
      </c>
      <c r="AA168" s="18"/>
    </row>
    <row r="169" spans="1:27" ht="14.25" customHeight="1" x14ac:dyDescent="0.35">
      <c r="A169" s="18"/>
      <c r="B169" s="64" t="s">
        <v>226</v>
      </c>
      <c r="C169" s="65" t="s">
        <v>144</v>
      </c>
      <c r="D169" s="23"/>
      <c r="E169" s="24">
        <v>1</v>
      </c>
      <c r="F169" s="25">
        <v>0.65</v>
      </c>
      <c r="G169" s="25">
        <v>0.7</v>
      </c>
      <c r="H169" s="26" t="s">
        <v>243</v>
      </c>
      <c r="I169" s="27">
        <f t="shared" ref="I169:I170" si="67">G169/E169</f>
        <v>0.7</v>
      </c>
      <c r="J169" s="28">
        <v>46036</v>
      </c>
      <c r="K169" s="29"/>
      <c r="L169" s="30">
        <f t="shared" ref="L169:L170" si="68">G169-M169-N169</f>
        <v>0.7</v>
      </c>
      <c r="M169" s="30">
        <f>IF(B169="Texion Textil",0,IF(C169="Malha",'Custos insumos'!$B$24,IF(C169="Dublagem Cretone",'Custos insumos'!$D$7,IF(C169="Dublagem Spun",'Custos insumos'!$D$4,IF(C169="Espelhamento",'Custos insumos'!$B$11,IF(C169="Espelhamento 2x",2*'Custos insumos'!$B$11,IF(C169="Esp. + Pel.",'Custos insumos'!$B$11,IF(C169="Pel. + Spun",'Custos insumos'!$D$4,IF(C169="Dublagem Cretone PES",'Custos insumos'!$D$7,IF(C169="Dublagem Barreira",'Custos insumos'!$D$11,IF(C169="Dublagem - MO + Filme",'Custos insumos'!$D$4,IF(C169="Dublagem Cretone HM50",'Custos insumos'!$D$26,IF(C169="Dublagem Cretone HM70",'Custos insumos'!$F$10,)))))))))))))</f>
        <v>0</v>
      </c>
      <c r="N169" s="30">
        <f>IF(B169="Texion Textil",0,IF(B169="Três Elos",0,IF(C169="Malha",0,IF(C169="Dublagem Cretone",'Custos insumos'!$D$23,IF(C169="Dublagem Spun",'Custos insumos'!$D$16,IF(C169="Espelhamento",0,IF(C169="Espelhamento 2x",0,IF(C169="Esp. + Pel.",0,IF(C169="Pel. + Spun",'Custos insumos'!$D$16,IF(C169="Dublagem Cretone PES",'Custos insumos'!$F$25,IF(C169="Dublagem Barreira",'Custos insumos'!$D$22,)))))))))))</f>
        <v>0</v>
      </c>
      <c r="O169" s="18"/>
      <c r="P169" s="53">
        <f t="shared" ref="P169:P170" si="69">(Q169-S169)/Q169</f>
        <v>0.40575161180861891</v>
      </c>
      <c r="Q169" s="50">
        <f t="shared" ref="Q169:Q170" si="70">G169*R169</f>
        <v>294.7</v>
      </c>
      <c r="R169" s="50" cm="1">
        <f t="array" ref="R169">_xlfn.IFS(C169="Calandra",(350),C169="Peletização",(421),C169="Dublagem Spun",(250),C169="Dublagem Cretone PES",(180),C169="Felpagem",(270/E169),C169="Emborrachamento",(200),C169="Espelhamento",(250),C169="Malha",(1),C169="Dublagem Cretone",(180),C169="Malha",(1),C169="Dublagem Spun - MO",250,C169="Dublagem Cretone - MO",180,C169="Dublagem Cretone PES - MO",180,C169="Espelhamento - MO",250,C169="Emborrachamento",100,C169="Malha",0,C169="Dublagem Barreira",100,C169="Pel. + Cal.",350,C169="Fel. + Pel. + Cal.",270,C169="Pel. + Spun",250,C169="Espelhamento - L: 1,45m",200,C169="Espelhamento - L: 1,65m",200,C169="Estampagem",100,C169="Fel. + Cal.",270,C169="Dublagem Juta",180,C169="Dublagem Cretone - MO (Juta)",180,C169="Dublagem Tapete",150,C169="Esp. + Pel.",200,C169="Espelhamento 2x",100)</f>
        <v>421</v>
      </c>
      <c r="S169" s="50">
        <f t="shared" ref="S169:S170" si="71">(T169*X169)+(U169*Y169)+(V169*Z169)+((M169+N169)*(R169))</f>
        <v>175.125</v>
      </c>
      <c r="T169" s="18" cm="1">
        <f t="array" ref="T169">_xlfn.IFS(C169="Calandra",0.4,C169="Felpagem",0.3,C169="Dublagem Spun",0.8,C169="Dublagem Cretone",0.8,C169="Dublagem Cretone PES",0.8,C169="Espelhamento",0.8,C169="Peletização",0.5,C169="Dublagem Spun - MO",0.8,C169="Dublagem Cretone - MO",0.8,C169="Dublagem Cretone PES - MO",0.8,C169="Espelhamento - MO",0.8,C169="Emborrachamento",1,C169="Malha",0,C169="Dublagem Barreira",1,C169="Pel. + Cal.",0.4,C169="Fel. + Pel. + Cal.",0.5,C169="Pel. + Spun",0.8,C169="Espelhamento - L: 1,45m",0.8,C169="Espelhamento - L: 1,65m",0.8,C169="Estampagem",1,C169="Fel. + Cal.",0.4,C169="Dublagem Juta",0.8,C169="Dublagem Cretone - MO (Juta)",0.8,C169="Dublagem Tapete",0.8,C169="Esp. + Pel.",0.8,C169="Espelhamento 2x",0.8)</f>
        <v>0.5</v>
      </c>
      <c r="U169" s="18">
        <v>1</v>
      </c>
      <c r="V169" s="18">
        <v>1</v>
      </c>
      <c r="W169" s="18"/>
      <c r="X169" s="18">
        <v>39.67</v>
      </c>
      <c r="Y169" s="18">
        <v>38.51</v>
      </c>
      <c r="Z169" s="18">
        <v>116.78</v>
      </c>
      <c r="AA169" s="18"/>
    </row>
    <row r="170" spans="1:27" ht="14.25" customHeight="1" x14ac:dyDescent="0.35">
      <c r="A170" s="18"/>
      <c r="B170" s="64" t="s">
        <v>226</v>
      </c>
      <c r="C170" s="65" t="s">
        <v>142</v>
      </c>
      <c r="D170" s="23"/>
      <c r="E170" s="24">
        <v>1</v>
      </c>
      <c r="F170" s="25">
        <v>0.65</v>
      </c>
      <c r="G170" s="25">
        <v>0.7</v>
      </c>
      <c r="H170" s="26" t="s">
        <v>243</v>
      </c>
      <c r="I170" s="27">
        <f t="shared" si="67"/>
        <v>0.7</v>
      </c>
      <c r="J170" s="28">
        <v>46036</v>
      </c>
      <c r="K170" s="29"/>
      <c r="L170" s="30">
        <f t="shared" si="68"/>
        <v>0.7</v>
      </c>
      <c r="M170" s="30">
        <f>IF(B170="Texion Textil",0,IF(C170="Malha",'Custos insumos'!$B$24,IF(C170="Dublagem Cretone",'Custos insumos'!$D$7,IF(C170="Dublagem Spun",'Custos insumos'!$D$4,IF(C170="Espelhamento",'Custos insumos'!$B$11,IF(C170="Espelhamento 2x",2*'Custos insumos'!$B$11,IF(C170="Esp. + Pel.",'Custos insumos'!$B$11,IF(C170="Pel. + Spun",'Custos insumos'!$D$4,IF(C170="Dublagem Cretone PES",'Custos insumos'!$D$7,IF(C170="Dublagem Barreira",'Custos insumos'!$D$11,IF(C170="Dublagem - MO + Filme",'Custos insumos'!$D$4,IF(C170="Dublagem Cretone HM50",'Custos insumos'!$D$26,IF(C170="Dublagem Cretone HM70",'Custos insumos'!$F$10,)))))))))))))</f>
        <v>0</v>
      </c>
      <c r="N170" s="30">
        <f>IF(B170="Texion Textil",0,IF(B170="Três Elos",0,IF(C170="Malha",0,IF(C170="Dublagem Cretone",'Custos insumos'!$D$23,IF(C170="Dublagem Spun",'Custos insumos'!$D$16,IF(C170="Espelhamento",0,IF(C170="Espelhamento 2x",0,IF(C170="Esp. + Pel.",0,IF(C170="Pel. + Spun",'Custos insumos'!$D$16,IF(C170="Dublagem Cretone PES",'Custos insumos'!$F$25,IF(C170="Dublagem Barreira",'Custos insumos'!$D$22,)))))))))))</f>
        <v>0</v>
      </c>
      <c r="O170" s="18"/>
      <c r="P170" s="53">
        <f t="shared" si="69"/>
        <v>0.3013959183673468</v>
      </c>
      <c r="Q170" s="50">
        <f t="shared" si="70"/>
        <v>244.99999999999997</v>
      </c>
      <c r="R170" s="50" cm="1">
        <f t="array" ref="R170">_xlfn.IFS(C170="Calandra",(350),C170="Peletização",(421),C170="Dublagem Spun",(250),C170="Dublagem Cretone PES",(180),C170="Felpagem",(270/E170),C170="Emborrachamento",(200),C170="Espelhamento",(250),C170="Malha",(1),C170="Dublagem Cretone",(180),C170="Malha",(1),C170="Dublagem Spun - MO",250,C170="Dublagem Cretone - MO",180,C170="Dublagem Cretone PES - MO",180,C170="Espelhamento - MO",250,C170="Emborrachamento",100,C170="Malha",0,C170="Dublagem Barreira",100,C170="Pel. + Cal.",350,C170="Fel. + Pel. + Cal.",270,C170="Pel. + Spun",250,C170="Espelhamento - L: 1,45m",200,C170="Espelhamento - L: 1,65m",200,C170="Estampagem",100,C170="Fel. + Cal.",270,C170="Dublagem Juta",180,C170="Dublagem Cretone - MO (Juta)",180,C170="Dublagem Tapete",150,C170="Esp. + Pel.",200,C170="Espelhamento 2x",100)</f>
        <v>350</v>
      </c>
      <c r="S170" s="50">
        <f t="shared" si="71"/>
        <v>171.15800000000002</v>
      </c>
      <c r="T170" s="18" cm="1">
        <f t="array" ref="T170">_xlfn.IFS(C170="Calandra",0.4,C170="Felpagem",0.3,C170="Dublagem Spun",0.8,C170="Dublagem Cretone",0.8,C170="Dublagem Cretone PES",0.8,C170="Espelhamento",0.8,C170="Peletização",0.5,C170="Dublagem Spun - MO",0.8,C170="Dublagem Cretone - MO",0.8,C170="Dublagem Cretone PES - MO",0.8,C170="Espelhamento - MO",0.8,C170="Emborrachamento",1,C170="Malha",0,C170="Dublagem Barreira",1,C170="Pel. + Cal.",0.4,C170="Fel. + Pel. + Cal.",0.5,C170="Pel. + Spun",0.8,C170="Espelhamento - L: 1,45m",0.8,C170="Espelhamento - L: 1,65m",0.8,C170="Estampagem",1,C170="Fel. + Cal.",0.4,C170="Dublagem Juta",0.8,C170="Dublagem Cretone - MO (Juta)",0.8,C170="Dublagem Tapete",0.8,C170="Esp. + Pel.",0.8,C170="Espelhamento 2x",0.8)</f>
        <v>0.4</v>
      </c>
      <c r="U170" s="18">
        <v>1</v>
      </c>
      <c r="V170" s="18">
        <v>1</v>
      </c>
      <c r="W170" s="18"/>
      <c r="X170" s="18">
        <v>39.67</v>
      </c>
      <c r="Y170" s="18">
        <v>38.51</v>
      </c>
      <c r="Z170" s="18">
        <v>116.78</v>
      </c>
      <c r="AA170" s="18"/>
    </row>
    <row r="171" spans="1:27" ht="14.25" customHeight="1" x14ac:dyDescent="0.35">
      <c r="A171" s="18"/>
      <c r="B171" s="64" t="s">
        <v>226</v>
      </c>
      <c r="C171" s="65" t="s">
        <v>83</v>
      </c>
      <c r="D171" s="23" t="s">
        <v>239</v>
      </c>
      <c r="E171" s="24">
        <v>1</v>
      </c>
      <c r="F171" s="25">
        <v>1.1499999999999999</v>
      </c>
      <c r="G171" s="25">
        <v>1.1499999999999999</v>
      </c>
      <c r="H171" s="26" t="s">
        <v>243</v>
      </c>
      <c r="I171" s="27">
        <f t="shared" si="58"/>
        <v>1.1499999999999999</v>
      </c>
      <c r="J171" s="28">
        <v>46036</v>
      </c>
      <c r="K171" s="29"/>
      <c r="L171" s="30">
        <f t="shared" si="49"/>
        <v>1.1499999999999999</v>
      </c>
      <c r="M171" s="30">
        <f>IF(B171="Texion Textil",0,IF(C171="Malha",'Custos insumos'!$B$24,IF(C171="Dublagem Cretone",'Custos insumos'!$D$7,IF(C171="Dublagem Spun",'Custos insumos'!$D$4,IF(C171="Espelhamento",'Custos insumos'!$B$11,IF(C171="Espelhamento 2x",2*'Custos insumos'!$B$11,IF(C171="Esp. + Pel.",'Custos insumos'!$B$11,IF(C171="Pel. + Spun",'Custos insumos'!$D$4,IF(C171="Dublagem Cretone PES",'Custos insumos'!$D$7,IF(C171="Dublagem Barreira",'Custos insumos'!$D$11,IF(C171="Dublagem - MO + Filme",'Custos insumos'!$D$4,IF(C171="Dublagem Cretone HM50",'Custos insumos'!$D$26,IF(C171="Dublagem Cretone HM70",'Custos insumos'!$F$10,)))))))))))))</f>
        <v>0</v>
      </c>
      <c r="N171" s="30">
        <f>IF(B171="Texion Textil",0,IF(B171="Três Elos",0,IF(C171="Malha",0,IF(C171="Dublagem Cretone",'Custos insumos'!$D$23,IF(C171="Dublagem Spun",'Custos insumos'!$D$16,IF(C171="Espelhamento",0,IF(C171="Espelhamento 2x",0,IF(C171="Esp. + Pel.",0,IF(C171="Pel. + Spun",'Custos insumos'!$D$16,IF(C171="Dublagem Cretone PES",'Custos insumos'!$F$25,IF(C171="Dublagem Barreira",'Custos insumos'!$D$22,)))))))))))</f>
        <v>0</v>
      </c>
      <c r="O171" s="18"/>
      <c r="P171" s="53" t="e">
        <f t="shared" si="59"/>
        <v>#N/A</v>
      </c>
      <c r="Q171" s="50" t="e">
        <f t="shared" si="60"/>
        <v>#N/A</v>
      </c>
      <c r="R171" s="50" t="e" cm="1">
        <f t="array" ref="R171">_xlfn.IFS(C171="Calandra",(350),C171="Peletização",(421),C171="Dublagem Spun",(250),C171="Dublagem Cretone PES",(180),C171="Felpagem",(270/E171),C171="Emborrachamento",(200),C171="Espelhamento",(250),C171="Malha",(1),C171="Dublagem Cretone",(180),C171="Malha",(1),C171="Dublagem Spun - MO",250,C171="Dublagem Cretone - MO",180,C171="Dublagem Cretone PES - MO",180,C171="Espelhamento - MO",250,C171="Emborrachamento",100,C171="Malha",0,C171="Dublagem Barreira",100,C171="Pel. + Cal.",350,C171="Fel. + Pel. + Cal.",270,C171="Pel. + Spun",250,C171="Espelhamento - L: 1,45m",200,C171="Espelhamento - L: 1,65m",200,C171="Estampagem",100,C171="Fel. + Cal.",270,C171="Dublagem Juta",180,C171="Dublagem Cretone - MO (Juta)",180,C171="Dublagem Tapete",150,C171="Esp. + Pel.",200,C171="Espelhamento 2x",100)</f>
        <v>#N/A</v>
      </c>
      <c r="S171" s="50" t="e">
        <f t="shared" si="61"/>
        <v>#N/A</v>
      </c>
      <c r="T171" s="18" t="e" cm="1">
        <f t="array" ref="T171">_xlfn.IFS(C171="Calandra",0.4,C171="Felpagem",0.3,C171="Dublagem Spun",0.8,C171="Dublagem Cretone",0.8,C171="Dublagem Cretone PES",0.8,C171="Espelhamento",0.8,C171="Peletização",0.5,C171="Dublagem Spun - MO",0.8,C171="Dublagem Cretone - MO",0.8,C171="Dublagem Cretone PES - MO",0.8,C171="Espelhamento - MO",0.8,C171="Emborrachamento",1,C171="Malha",0,C171="Dublagem Barreira",1,C171="Pel. + Cal.",0.4,C171="Fel. + Pel. + Cal.",0.5,C171="Pel. + Spun",0.8,C171="Espelhamento - L: 1,45m",0.8,C171="Espelhamento - L: 1,65m",0.8,C171="Estampagem",1,C171="Fel. + Cal.",0.4,C171="Dublagem Juta",0.8,C171="Dublagem Cretone - MO (Juta)",0.8,C171="Dublagem Tapete",0.8,C171="Esp. + Pel.",0.8,C171="Espelhamento 2x",0.8)</f>
        <v>#N/A</v>
      </c>
      <c r="U171" s="18">
        <v>1</v>
      </c>
      <c r="V171" s="18">
        <v>1</v>
      </c>
      <c r="W171" s="18"/>
      <c r="X171" s="18">
        <v>39.67</v>
      </c>
      <c r="Y171" s="18">
        <v>38.51</v>
      </c>
      <c r="Z171" s="18">
        <v>116.78</v>
      </c>
      <c r="AA171" s="18"/>
    </row>
    <row r="172" spans="1:27" ht="14.25" customHeight="1" x14ac:dyDescent="0.35">
      <c r="A172" s="18"/>
      <c r="B172" s="22" t="s">
        <v>321</v>
      </c>
      <c r="C172" s="23" t="s">
        <v>322</v>
      </c>
      <c r="D172" s="23"/>
      <c r="E172" s="24">
        <v>1</v>
      </c>
      <c r="F172" s="25">
        <v>9.6999999999999993</v>
      </c>
      <c r="G172" s="25">
        <v>9.6999999999999993</v>
      </c>
      <c r="H172" s="26" t="s">
        <v>243</v>
      </c>
      <c r="I172" s="27">
        <f t="shared" si="58"/>
        <v>9.6999999999999993</v>
      </c>
      <c r="J172" s="28">
        <v>46036</v>
      </c>
      <c r="K172" s="29" t="s">
        <v>248</v>
      </c>
      <c r="L172" s="30">
        <f t="shared" si="49"/>
        <v>6.1497996521739129</v>
      </c>
      <c r="M172" s="30">
        <f>IF(B172="Texion Textil",0,IF(C172="Malha",'Custos insumos'!$B$24,IF(C172="Dublagem Cretone",'Custos insumos'!$D$7,IF(C172="Dublagem Spun",'Custos insumos'!$D$4,IF(C172="Espelhamento",'Custos insumos'!$B$11,IF(C172="Espelhamento 2x",2*'Custos insumos'!$B$11,IF(C172="Esp. + Pel.",'Custos insumos'!$B$11,IF(C172="Pel. + Spun",'Custos insumos'!$D$4,IF(C172="Dublagem Cretone PES",'Custos insumos'!$D$7,IF(C172="Dublagem Barreira",'Custos insumos'!$D$11,IF(C172="Dublagem - MO + Filme",'Custos insumos'!$D$4,IF(C172="Dublagem Cretone HM50",'Custos insumos'!$D$26,IF(C172="Dublagem Cretone HM70",'Custos insumos'!$F$10,)))))))))))))</f>
        <v>1.270200347826087</v>
      </c>
      <c r="N172" s="30">
        <f>IF(B172="Texion Textil",0,IF(B172="Três Elos",0,IF(C172="Malha",0,IF(C172="Dublagem Cretone",'Custos insumos'!$D$23,IF(C172="Dublagem Spun",'Custos insumos'!$D$16,IF(C172="Espelhamento",0,IF(C172="Espelhamento 2x",0,IF(C172="Esp. + Pel.",0,IF(C172="Pel. + Spun",'Custos insumos'!$D$16,IF(C172="Dublagem Cretone PES",'Custos insumos'!$F$25,IF(C172="Dublagem Barreira",'Custos insumos'!$D$22,)))))))))))</f>
        <v>2.2799999999999998</v>
      </c>
      <c r="O172" s="18"/>
      <c r="P172" s="53">
        <f t="shared" si="59"/>
        <v>0.43301027341999104</v>
      </c>
      <c r="Q172" s="50">
        <f t="shared" si="60"/>
        <v>969.99999999999989</v>
      </c>
      <c r="R172" s="50" cm="1">
        <f t="array" ref="R172">_xlfn.IFS(C172="Calandra",(350),C172="Peletização",(421),C172="Dublagem Spun",(250),C172="Dublagem Cretone PES",(180),C172="Felpagem",(270/E172),C172="Emborrachamento",(200),C172="Espelhamento",(250),C172="Malha",(1),C172="Dublagem Cretone",(180),C172="Malha",(1),C172="Dublagem Spun - MO",250,C172="Dublagem Cretone - MO",180,C172="Dublagem Cretone PES - MO",180,C172="Espelhamento - MO",250,C172="Emborrachamento",100,C172="Malha",0,C172="Dublagem Barreira",100,C172="Pel. + Cal.",350,C172="Fel. + Pel. + Cal.",270,C172="Pel. + Spun",250,C172="Espelhamento - L: 1,45m",200,C172="Espelhamento - L: 1,65m",200,C172="Estampagem",100,C172="Fel. + Cal.",270,C172="Dublagem Juta",180,C172="Dublagem Cretone - MO (Juta)",180,C172="Dublagem Tapete",150,C172="Esp. + Pel.",200,C172="Espelhamento 2x",100)</f>
        <v>100</v>
      </c>
      <c r="S172" s="50">
        <f t="shared" si="61"/>
        <v>549.98003478260864</v>
      </c>
      <c r="T172" s="18" cm="1">
        <f t="array" ref="T172">_xlfn.IFS(C172="Calandra",0.4,C172="Felpagem",0.3,C172="Dublagem Spun",0.8,C172="Dublagem Cretone",0.8,C172="Dublagem Cretone PES",0.8,C172="Espelhamento",0.8,C172="Peletização",0.5,C172="Dublagem Spun - MO",0.8,C172="Dublagem Cretone - MO",0.8,C172="Dublagem Cretone PES - MO",0.8,C172="Espelhamento - MO",0.8,C172="Emborrachamento",1,C172="Malha",0,C172="Dublagem Barreira",1,C172="Pel. + Cal.",0.4,C172="Fel. + Pel. + Cal.",0.5,C172="Pel. + Spun",0.8,C172="Espelhamento - L: 1,45m",0.8,C172="Espelhamento - L: 1,65m",0.8,C172="Estampagem",1,C172="Fel. + Cal.",0.4,C172="Dublagem Juta",0.8,C172="Dublagem Cretone - MO (Juta)",0.8,C172="Dublagem Tapete",0.8,C172="Esp. + Pel.",0.8,C172="Espelhamento 2x",0.8)</f>
        <v>1</v>
      </c>
      <c r="U172" s="18">
        <v>1</v>
      </c>
      <c r="V172" s="18">
        <v>1</v>
      </c>
      <c r="W172" s="18"/>
      <c r="X172" s="18">
        <v>39.67</v>
      </c>
      <c r="Y172" s="18">
        <v>38.51</v>
      </c>
      <c r="Z172" s="18">
        <v>116.78</v>
      </c>
      <c r="AA172" s="18"/>
    </row>
    <row r="173" spans="1:27" ht="14.25" customHeight="1" x14ac:dyDescent="0.35">
      <c r="A173" s="18"/>
      <c r="B173" s="22" t="s">
        <v>323</v>
      </c>
      <c r="C173" s="23" t="s">
        <v>144</v>
      </c>
      <c r="D173" s="23"/>
      <c r="E173" s="24">
        <v>1</v>
      </c>
      <c r="F173" s="25">
        <v>0.65</v>
      </c>
      <c r="G173" s="25">
        <v>0.55000000000000004</v>
      </c>
      <c r="H173" s="26" t="s">
        <v>243</v>
      </c>
      <c r="I173" s="27">
        <f t="shared" si="58"/>
        <v>0.55000000000000004</v>
      </c>
      <c r="J173" s="28">
        <v>46036</v>
      </c>
      <c r="K173" s="29"/>
      <c r="L173" s="30">
        <f t="shared" si="49"/>
        <v>0.55000000000000004</v>
      </c>
      <c r="M173" s="30">
        <f>IF(B173="Texion Textil",0,IF(C173="Malha",'Custos insumos'!$B$24,IF(C173="Dublagem Cretone",'Custos insumos'!$D$7,IF(C173="Dublagem Spun",'Custos insumos'!$D$4,IF(C173="Espelhamento",'Custos insumos'!$B$11,IF(C173="Espelhamento 2x",2*'Custos insumos'!$B$11,IF(C173="Esp. + Pel.",'Custos insumos'!$B$11,IF(C173="Pel. + Spun",'Custos insumos'!$D$4,IF(C173="Dublagem Cretone PES",'Custos insumos'!$D$7,IF(C173="Dublagem Barreira",'Custos insumos'!$D$11,IF(C173="Dublagem - MO + Filme",'Custos insumos'!$D$4,IF(C173="Dublagem Cretone HM50",'Custos insumos'!$D$26,IF(C173="Dublagem Cretone HM70",'Custos insumos'!$F$10,)))))))))))))</f>
        <v>0</v>
      </c>
      <c r="N173" s="30">
        <f>IF(B173="Texion Textil",0,IF(B173="Três Elos",0,IF(C173="Malha",0,IF(C173="Dublagem Cretone",'Custos insumos'!$D$23,IF(C173="Dublagem Spun",'Custos insumos'!$D$16,IF(C173="Espelhamento",0,IF(C173="Espelhamento 2x",0,IF(C173="Esp. + Pel.",0,IF(C173="Pel. + Spun",'Custos insumos'!$D$16,IF(C173="Dublagem Cretone PES",'Custos insumos'!$F$25,IF(C173="Dublagem Barreira",'Custos insumos'!$D$22,)))))))))))</f>
        <v>0</v>
      </c>
      <c r="O173" s="18"/>
      <c r="P173" s="53">
        <f t="shared" si="59"/>
        <v>0.24368386957460594</v>
      </c>
      <c r="Q173" s="50">
        <f t="shared" si="60"/>
        <v>231.55</v>
      </c>
      <c r="R173" s="50" cm="1">
        <f t="array" ref="R173">_xlfn.IFS(C173="Calandra",(350),C173="Peletização",(421),C173="Dublagem Spun",(250),C173="Dublagem Cretone PES",(180),C173="Felpagem",(270/E173),C173="Emborrachamento",(200),C173="Espelhamento",(250),C173="Malha",(1),C173="Dublagem Cretone",(180),C173="Malha",(1),C173="Dublagem Spun - MO",250,C173="Dublagem Cretone - MO",180,C173="Dublagem Cretone PES - MO",180,C173="Espelhamento - MO",250,C173="Emborrachamento",100,C173="Malha",0,C173="Dublagem Barreira",100,C173="Pel. + Cal.",350,C173="Fel. + Pel. + Cal.",270,C173="Pel. + Spun",250,C173="Espelhamento - L: 1,45m",200,C173="Espelhamento - L: 1,65m",200,C173="Estampagem",100,C173="Fel. + Cal.",270,C173="Dublagem Juta",180,C173="Dublagem Cretone - MO (Juta)",180,C173="Dublagem Tapete",150,C173="Esp. + Pel.",200,C173="Espelhamento 2x",100)</f>
        <v>421</v>
      </c>
      <c r="S173" s="50">
        <f t="shared" si="61"/>
        <v>175.125</v>
      </c>
      <c r="T173" s="18" cm="1">
        <f t="array" ref="T173">_xlfn.IFS(C173="Calandra",0.4,C173="Felpagem",0.3,C173="Dublagem Spun",0.8,C173="Dublagem Cretone",0.8,C173="Dublagem Cretone PES",0.8,C173="Espelhamento",0.8,C173="Peletização",0.5,C173="Dublagem Spun - MO",0.8,C173="Dublagem Cretone - MO",0.8,C173="Dublagem Cretone PES - MO",0.8,C173="Espelhamento - MO",0.8,C173="Emborrachamento",1,C173="Malha",0,C173="Dublagem Barreira",1,C173="Pel. + Cal.",0.4,C173="Fel. + Pel. + Cal.",0.5,C173="Pel. + Spun",0.8,C173="Espelhamento - L: 1,45m",0.8,C173="Espelhamento - L: 1,65m",0.8,C173="Estampagem",1,C173="Fel. + Cal.",0.4,C173="Dublagem Juta",0.8,C173="Dublagem Cretone - MO (Juta)",0.8,C173="Dublagem Tapete",0.8,C173="Esp. + Pel.",0.8,C173="Espelhamento 2x",0.8)</f>
        <v>0.5</v>
      </c>
      <c r="U173" s="18">
        <v>1</v>
      </c>
      <c r="V173" s="18">
        <v>1</v>
      </c>
      <c r="W173" s="18"/>
      <c r="X173" s="18">
        <v>39.67</v>
      </c>
      <c r="Y173" s="18">
        <v>38.51</v>
      </c>
      <c r="Z173" s="18">
        <v>116.78</v>
      </c>
      <c r="AA173" s="18"/>
    </row>
    <row r="174" spans="1:27" ht="14.25" customHeight="1" x14ac:dyDescent="0.35">
      <c r="A174" s="18"/>
      <c r="B174" s="22" t="s">
        <v>323</v>
      </c>
      <c r="C174" s="23" t="s">
        <v>142</v>
      </c>
      <c r="D174" s="23"/>
      <c r="E174" s="24">
        <v>1</v>
      </c>
      <c r="F174" s="25">
        <v>0.65</v>
      </c>
      <c r="G174" s="25">
        <v>0.7</v>
      </c>
      <c r="H174" s="26" t="s">
        <v>243</v>
      </c>
      <c r="I174" s="27">
        <f t="shared" si="58"/>
        <v>0.7</v>
      </c>
      <c r="J174" s="28">
        <v>46036</v>
      </c>
      <c r="K174" s="29"/>
      <c r="L174" s="30">
        <f t="shared" si="49"/>
        <v>0.7</v>
      </c>
      <c r="M174" s="30">
        <f>IF(B174="Texion Textil",0,IF(C174="Malha",'Custos insumos'!$B$24,IF(C174="Dublagem Cretone",'Custos insumos'!$D$7,IF(C174="Dublagem Spun",'Custos insumos'!$D$4,IF(C174="Espelhamento",'Custos insumos'!$B$11,IF(C174="Espelhamento 2x",2*'Custos insumos'!$B$11,IF(C174="Esp. + Pel.",'Custos insumos'!$B$11,IF(C174="Pel. + Spun",'Custos insumos'!$D$4,IF(C174="Dublagem Cretone PES",'Custos insumos'!$D$7,IF(C174="Dublagem Barreira",'Custos insumos'!$D$11,IF(C174="Dublagem - MO + Filme",'Custos insumos'!$D$4,IF(C174="Dublagem Cretone HM50",'Custos insumos'!$D$26,IF(C174="Dublagem Cretone HM70",'Custos insumos'!$F$10,)))))))))))))</f>
        <v>0</v>
      </c>
      <c r="N174" s="30">
        <f>IF(B174="Texion Textil",0,IF(B174="Três Elos",0,IF(C174="Malha",0,IF(C174="Dublagem Cretone",'Custos insumos'!$D$23,IF(C174="Dublagem Spun",'Custos insumos'!$D$16,IF(C174="Espelhamento",0,IF(C174="Espelhamento 2x",0,IF(C174="Esp. + Pel.",0,IF(C174="Pel. + Spun",'Custos insumos'!$D$16,IF(C174="Dublagem Cretone PES",'Custos insumos'!$F$25,IF(C174="Dublagem Barreira",'Custos insumos'!$D$22,)))))))))))</f>
        <v>0</v>
      </c>
      <c r="O174" s="18"/>
      <c r="P174" s="53">
        <f t="shared" si="59"/>
        <v>0.3013959183673468</v>
      </c>
      <c r="Q174" s="50">
        <f t="shared" si="60"/>
        <v>244.99999999999997</v>
      </c>
      <c r="R174" s="50" cm="1">
        <f t="array" ref="R174">_xlfn.IFS(C174="Calandra",(350),C174="Peletização",(421),C174="Dublagem Spun",(250),C174="Dublagem Cretone PES",(180),C174="Felpagem",(270/E174),C174="Emborrachamento",(200),C174="Espelhamento",(250),C174="Malha",(1),C174="Dublagem Cretone",(180),C174="Malha",(1),C174="Dublagem Spun - MO",250,C174="Dublagem Cretone - MO",180,C174="Dublagem Cretone PES - MO",180,C174="Espelhamento - MO",250,C174="Emborrachamento",100,C174="Malha",0,C174="Dublagem Barreira",100,C174="Pel. + Cal.",350,C174="Fel. + Pel. + Cal.",270,C174="Pel. + Spun",250,C174="Espelhamento - L: 1,45m",200,C174="Espelhamento - L: 1,65m",200,C174="Estampagem",100,C174="Fel. + Cal.",270,C174="Dublagem Juta",180,C174="Dublagem Cretone - MO (Juta)",180,C174="Dublagem Tapete",150,C174="Esp. + Pel.",200,C174="Espelhamento 2x",100)</f>
        <v>350</v>
      </c>
      <c r="S174" s="50">
        <f t="shared" si="61"/>
        <v>171.15800000000002</v>
      </c>
      <c r="T174" s="18" cm="1">
        <f t="array" ref="T174">_xlfn.IFS(C174="Calandra",0.4,C174="Felpagem",0.3,C174="Dublagem Spun",0.8,C174="Dublagem Cretone",0.8,C174="Dublagem Cretone PES",0.8,C174="Espelhamento",0.8,C174="Peletização",0.5,C174="Dublagem Spun - MO",0.8,C174="Dublagem Cretone - MO",0.8,C174="Dublagem Cretone PES - MO",0.8,C174="Espelhamento - MO",0.8,C174="Emborrachamento",1,C174="Malha",0,C174="Dublagem Barreira",1,C174="Pel. + Cal.",0.4,C174="Fel. + Pel. + Cal.",0.5,C174="Pel. + Spun",0.8,C174="Espelhamento - L: 1,45m",0.8,C174="Espelhamento - L: 1,65m",0.8,C174="Estampagem",1,C174="Fel. + Cal.",0.4,C174="Dublagem Juta",0.8,C174="Dublagem Cretone - MO (Juta)",0.8,C174="Dublagem Tapete",0.8,C174="Esp. + Pel.",0.8,C174="Espelhamento 2x",0.8)</f>
        <v>0.4</v>
      </c>
      <c r="U174" s="18">
        <v>1</v>
      </c>
      <c r="V174" s="18">
        <v>1</v>
      </c>
      <c r="W174" s="18"/>
      <c r="X174" s="18">
        <v>39.67</v>
      </c>
      <c r="Y174" s="18">
        <v>38.51</v>
      </c>
      <c r="Z174" s="18">
        <v>116.78</v>
      </c>
      <c r="AA174" s="18"/>
    </row>
    <row r="175" spans="1:27" ht="14.25" customHeight="1" x14ac:dyDescent="0.35">
      <c r="A175" s="18"/>
      <c r="B175" s="22" t="s">
        <v>467</v>
      </c>
      <c r="C175" s="23" t="s">
        <v>144</v>
      </c>
      <c r="D175" s="23"/>
      <c r="E175" s="24">
        <v>1</v>
      </c>
      <c r="F175" s="25">
        <v>0.65</v>
      </c>
      <c r="G175" s="25">
        <v>0.7</v>
      </c>
      <c r="H175" s="26"/>
      <c r="I175" s="27"/>
      <c r="J175" s="28">
        <v>46036</v>
      </c>
      <c r="K175" s="29"/>
      <c r="L175" s="30">
        <f t="shared" si="49"/>
        <v>0.7</v>
      </c>
      <c r="M175" s="30"/>
      <c r="N175" s="30"/>
      <c r="O175" s="18"/>
      <c r="P175" s="53"/>
      <c r="Q175" s="50"/>
      <c r="R175" s="50"/>
      <c r="S175" s="50"/>
      <c r="T175" s="18" cm="1">
        <f t="array" ref="T175">_xlfn.IFS(C175="Calandra",0.4,C175="Felpagem",0.3,C175="Dublagem Spun",0.8,C175="Dublagem Cretone",0.8,C175="Dublagem Cretone PES",0.8,C175="Espelhamento",0.8,C175="Peletização",0.5,C175="Dublagem Spun - MO",0.8,C175="Dublagem Cretone - MO",0.8,C175="Dublagem Cretone PES - MO",0.8,C175="Espelhamento - MO",0.8,C175="Emborrachamento",1,C175="Malha",0,C175="Dublagem Barreira",1,C175="Pel. + Cal.",0.4,C175="Fel. + Pel. + Cal.",0.5,C175="Pel. + Spun",0.8,C175="Espelhamento - L: 1,45m",0.8,C175="Espelhamento - L: 1,65m",0.8,C175="Estampagem",1,C175="Fel. + Cal.",0.4,C175="Dublagem Juta",0.8,C175="Dublagem Cretone - MO (Juta)",0.8,C175="Dublagem Tapete",0.8,C175="Esp. + Pel.",0.8,C175="Espelhamento 2x",0.8)</f>
        <v>0.5</v>
      </c>
      <c r="U175" s="18"/>
      <c r="V175" s="18"/>
      <c r="W175" s="18"/>
      <c r="X175" s="18"/>
      <c r="Y175" s="18"/>
      <c r="Z175" s="18"/>
      <c r="AA175" s="18"/>
    </row>
    <row r="176" spans="1:27" ht="14.25" customHeight="1" x14ac:dyDescent="0.35">
      <c r="A176" s="18"/>
      <c r="B176" s="22" t="s">
        <v>467</v>
      </c>
      <c r="C176" s="23" t="s">
        <v>254</v>
      </c>
      <c r="D176" s="23"/>
      <c r="E176" s="24">
        <v>1</v>
      </c>
      <c r="F176" s="25">
        <v>0.75</v>
      </c>
      <c r="G176" s="25">
        <v>0.75</v>
      </c>
      <c r="H176" s="26"/>
      <c r="I176" s="27"/>
      <c r="J176" s="28">
        <v>46036</v>
      </c>
      <c r="K176" s="29"/>
      <c r="L176" s="30">
        <f t="shared" si="49"/>
        <v>0.75</v>
      </c>
      <c r="M176" s="30"/>
      <c r="N176" s="30"/>
      <c r="O176" s="18"/>
      <c r="P176" s="53"/>
      <c r="Q176" s="50"/>
      <c r="R176" s="50"/>
      <c r="S176" s="50"/>
      <c r="T176" s="18" cm="1">
        <f t="array" ref="T176">_xlfn.IFS(C176="Calandra",0.4,C176="Felpagem",0.3,C176="Dublagem Spun",0.8,C176="Dublagem Cretone",0.8,C176="Dublagem Cretone PES",0.8,C176="Espelhamento",0.8,C176="Peletização",0.5,C176="Dublagem Spun - MO",0.8,C176="Dublagem Cretone - MO",0.8,C176="Dublagem Cretone PES - MO",0.8,C176="Espelhamento - MO",0.8,C176="Emborrachamento",1,C176="Malha",0,C176="Dublagem Barreira",1,C176="Pel. + Cal.",0.4,C176="Fel. + Pel. + Cal.",0.5,C176="Pel. + Spun",0.8,C176="Espelhamento - L: 1,45m",0.8,C176="Espelhamento - L: 1,65m",0.8,C176="Estampagem",1,C176="Fel. + Cal.",0.4,C176="Dublagem Juta",0.8,C176="Dublagem Cretone - MO (Juta)",0.8,C176="Dublagem Tapete",0.8,C176="Esp. + Pel.",0.8,C176="Espelhamento 2x",0.8)</f>
        <v>0.3</v>
      </c>
      <c r="U176" s="18"/>
      <c r="V176" s="18"/>
      <c r="W176" s="18"/>
      <c r="X176" s="18"/>
      <c r="Y176" s="18"/>
      <c r="Z176" s="18"/>
      <c r="AA176" s="18"/>
    </row>
    <row r="177" spans="1:27" ht="13.5" customHeight="1" x14ac:dyDescent="0.35">
      <c r="A177" s="18"/>
      <c r="B177" s="64" t="s">
        <v>228</v>
      </c>
      <c r="C177" s="23" t="s">
        <v>144</v>
      </c>
      <c r="D177" s="23"/>
      <c r="E177" s="24">
        <v>1</v>
      </c>
      <c r="F177" s="25">
        <v>0.5</v>
      </c>
      <c r="G177" s="25">
        <v>0.52500000000000002</v>
      </c>
      <c r="H177" s="26" t="s">
        <v>243</v>
      </c>
      <c r="I177" s="27">
        <f t="shared" ref="I177:I184" si="72">G177/E177</f>
        <v>0.52500000000000002</v>
      </c>
      <c r="J177" s="28">
        <v>46036</v>
      </c>
      <c r="K177" s="29"/>
      <c r="L177" s="30">
        <f t="shared" si="49"/>
        <v>0.52500000000000002</v>
      </c>
      <c r="M177" s="30">
        <f>IF(B177="Texion Textil",0,IF(C177="Malha",'Custos insumos'!$B$24,IF(C177="Dublagem Cretone",'Custos insumos'!$D$7,IF(C177="Dublagem Spun",'Custos insumos'!$D$4,IF(C177="Espelhamento",'Custos insumos'!$B$11,IF(C177="Espelhamento 2x",2*'Custos insumos'!$B$11,IF(C177="Esp. + Pel.",'Custos insumos'!$B$11,IF(C177="Pel. + Spun",'Custos insumos'!$D$4,IF(C177="Dublagem Cretone PES",'Custos insumos'!$D$7,IF(C177="Dublagem Barreira",'Custos insumos'!$D$11,IF(C177="Dublagem - MO + Filme",'Custos insumos'!$D$4,IF(C177="Dublagem Cretone HM50",'Custos insumos'!$D$26,IF(C177="Dublagem Cretone HM70",'Custos insumos'!$F$10,)))))))))))))</f>
        <v>0</v>
      </c>
      <c r="N177" s="30">
        <f>IF(B177="Texion Textil",0,IF(B177="Três Elos",0,IF(C177="Malha",0,IF(C177="Dublagem Cretone",'Custos insumos'!$D$23,IF(C177="Dublagem Spun",'Custos insumos'!$D$16,IF(C177="Espelhamento",0,IF(C177="Espelhamento 2x",0,IF(C177="Esp. + Pel.",0,IF(C177="Pel. + Spun",'Custos insumos'!$D$16,IF(C177="Dublagem Cretone PES",'Custos insumos'!$F$25,IF(C177="Dublagem Barreira",'Custos insumos'!$D$22,)))))))))))</f>
        <v>0</v>
      </c>
      <c r="O177" s="18"/>
      <c r="P177" s="53">
        <f t="shared" ref="P177:P183" si="73">(Q177-S177)/Q177</f>
        <v>0.20766881574482526</v>
      </c>
      <c r="Q177" s="50">
        <f t="shared" ref="Q177:Q184" si="74">G177*R177</f>
        <v>221.02500000000001</v>
      </c>
      <c r="R177" s="50" cm="1">
        <f t="array" ref="R177">_xlfn.IFS(C177="Calandra",(350),C177="Peletização",(421),C177="Dublagem Spun",(250),C177="Dublagem Cretone PES",(180),C177="Felpagem",(270/E177),C177="Emborrachamento",(200),C177="Espelhamento",(250),C177="Malha",(1),C177="Dublagem Cretone",(180),C177="Malha",(1),C177="Dublagem Spun - MO",250,C177="Dublagem Cretone - MO",180,C177="Dublagem Cretone PES - MO",180,C177="Espelhamento - MO",250,C177="Emborrachamento",100,C177="Malha",0,C177="Dublagem Barreira",100,C177="Pel. + Cal.",350,C177="Fel. + Pel. + Cal.",270,C177="Pel. + Spun",250,C177="Espelhamento - L: 1,45m",200,C177="Espelhamento - L: 1,65m",200,C177="Estampagem",100,C177="Fel. + Cal.",270,C177="Dublagem Juta",180,C177="Dublagem Cretone - MO (Juta)",180,C177="Dublagem Tapete",150,C177="Esp. + Pel.",200,C177="Espelhamento 2x",100)</f>
        <v>421</v>
      </c>
      <c r="S177" s="50">
        <f t="shared" ref="S177:S183" si="75">(T177*X177)+(U177*Y177)+(V177*Z177)+((M177+N177)*(R177))</f>
        <v>175.125</v>
      </c>
      <c r="T177" s="18" cm="1">
        <f t="array" ref="T177">_xlfn.IFS(C177="Calandra",0.4,C177="Felpagem",0.3,C177="Dublagem Spun",0.8,C177="Dublagem Cretone",0.8,C177="Dublagem Cretone PES",0.8,C177="Espelhamento",0.8,C177="Peletização",0.5,C177="Dublagem Spun - MO",0.8,C177="Dublagem Cretone - MO",0.8,C177="Dublagem Cretone PES - MO",0.8,C177="Espelhamento - MO",0.8,C177="Emborrachamento",1,C177="Malha",0,C177="Dublagem Barreira",1,C177="Pel. + Cal.",0.4,C177="Fel. + Pel. + Cal.",0.5,C177="Pel. + Spun",0.8,C177="Espelhamento - L: 1,45m",0.8,C177="Espelhamento - L: 1,65m",0.8,C177="Estampagem",1,C177="Fel. + Cal.",0.4,C177="Dublagem Juta",0.8,C177="Dublagem Cretone - MO (Juta)",0.8,C177="Dublagem Tapete",0.8,C177="Esp. + Pel.",0.8,C177="Espelhamento 2x",0.8)</f>
        <v>0.5</v>
      </c>
      <c r="U177" s="18">
        <v>1</v>
      </c>
      <c r="V177" s="18">
        <v>1</v>
      </c>
      <c r="W177" s="18"/>
      <c r="X177" s="18">
        <v>39.67</v>
      </c>
      <c r="Y177" s="18">
        <v>38.51</v>
      </c>
      <c r="Z177" s="18">
        <v>116.78</v>
      </c>
      <c r="AA177" s="18"/>
    </row>
    <row r="178" spans="1:27" ht="14.25" customHeight="1" x14ac:dyDescent="0.35">
      <c r="A178" s="18"/>
      <c r="B178" s="64" t="s">
        <v>228</v>
      </c>
      <c r="C178" s="23" t="s">
        <v>142</v>
      </c>
      <c r="D178" s="23"/>
      <c r="E178" s="24">
        <v>1</v>
      </c>
      <c r="F178" s="25">
        <v>0.65</v>
      </c>
      <c r="G178" s="25">
        <v>0.68250000000000011</v>
      </c>
      <c r="H178" s="26" t="s">
        <v>243</v>
      </c>
      <c r="I178" s="27">
        <f t="shared" si="72"/>
        <v>0.68250000000000011</v>
      </c>
      <c r="J178" s="28">
        <v>46036</v>
      </c>
      <c r="K178" s="29"/>
      <c r="L178" s="30">
        <f t="shared" si="49"/>
        <v>0.68250000000000011</v>
      </c>
      <c r="M178" s="30">
        <f>IF(B178="Texion Textil",0,IF(C178="Malha",'Custos insumos'!$B$24,IF(C178="Dublagem Cretone",'Custos insumos'!$D$7,IF(C178="Dublagem Spun",'Custos insumos'!$D$4,IF(C178="Espelhamento",'Custos insumos'!$B$11,IF(C178="Espelhamento 2x",2*'Custos insumos'!$B$11,IF(C178="Esp. + Pel.",'Custos insumos'!$B$11,IF(C178="Pel. + Spun",'Custos insumos'!$D$4,IF(C178="Dublagem Cretone PES",'Custos insumos'!$D$7,IF(C178="Dublagem Barreira",'Custos insumos'!$D$11,IF(C178="Dublagem - MO + Filme",'Custos insumos'!$D$4,IF(C178="Dublagem Cretone HM50",'Custos insumos'!$D$26,IF(C178="Dublagem Cretone HM70",'Custos insumos'!$F$10,)))))))))))))</f>
        <v>0</v>
      </c>
      <c r="N178" s="30">
        <f>IF(B178="Texion Textil",0,IF(B178="Três Elos",0,IF(C178="Malha",0,IF(C178="Dublagem Cretone",'Custos insumos'!$D$23,IF(C178="Dublagem Spun",'Custos insumos'!$D$16,IF(C178="Espelhamento",0,IF(C178="Espelhamento 2x",0,IF(C178="Esp. + Pel.",0,IF(C178="Pel. + Spun",'Custos insumos'!$D$16,IF(C178="Dublagem Cretone PES",'Custos insumos'!$F$25,IF(C178="Dublagem Barreira",'Custos insumos'!$D$22,)))))))))))</f>
        <v>0</v>
      </c>
      <c r="O178" s="18"/>
      <c r="P178" s="53">
        <f t="shared" si="73"/>
        <v>0.28348299319727893</v>
      </c>
      <c r="Q178" s="50">
        <f t="shared" si="74"/>
        <v>238.87500000000003</v>
      </c>
      <c r="R178" s="50" cm="1">
        <f t="array" ref="R178">_xlfn.IFS(C178="Calandra",(350),C178="Peletização",(421),C178="Dublagem Spun",(250),C178="Dublagem Cretone PES",(180),C178="Felpagem",(270/E178),C178="Emborrachamento",(200),C178="Espelhamento",(250),C178="Malha",(1),C178="Dublagem Cretone",(180),C178="Malha",(1),C178="Dublagem Spun - MO",250,C178="Dublagem Cretone - MO",180,C178="Dublagem Cretone PES - MO",180,C178="Espelhamento - MO",250,C178="Emborrachamento",100,C178="Malha",0,C178="Dublagem Barreira",100,C178="Pel. + Cal.",350,C178="Fel. + Pel. + Cal.",270,C178="Pel. + Spun",250,C178="Espelhamento - L: 1,45m",200,C178="Espelhamento - L: 1,65m",200,C178="Estampagem",100,C178="Fel. + Cal.",270,C178="Dublagem Juta",180,C178="Dublagem Cretone - MO (Juta)",180,C178="Dublagem Tapete",150,C178="Esp. + Pel.",200,C178="Espelhamento 2x",100)</f>
        <v>350</v>
      </c>
      <c r="S178" s="50">
        <f t="shared" si="75"/>
        <v>171.15800000000002</v>
      </c>
      <c r="T178" s="18" cm="1">
        <f t="array" ref="T178">_xlfn.IFS(C178="Calandra",0.4,C178="Felpagem",0.3,C178="Dublagem Spun",0.8,C178="Dublagem Cretone",0.8,C178="Dublagem Cretone PES",0.8,C178="Espelhamento",0.8,C178="Peletização",0.5,C178="Dublagem Spun - MO",0.8,C178="Dublagem Cretone - MO",0.8,C178="Dublagem Cretone PES - MO",0.8,C178="Espelhamento - MO",0.8,C178="Emborrachamento",1,C178="Malha",0,C178="Dublagem Barreira",1,C178="Pel. + Cal.",0.4,C178="Fel. + Pel. + Cal.",0.5,C178="Pel. + Spun",0.8,C178="Espelhamento - L: 1,45m",0.8,C178="Espelhamento - L: 1,65m",0.8,C178="Estampagem",1,C178="Fel. + Cal.",0.4,C178="Dublagem Juta",0.8,C178="Dublagem Cretone - MO (Juta)",0.8,C178="Dublagem Tapete",0.8,C178="Esp. + Pel.",0.8,C178="Espelhamento 2x",0.8)</f>
        <v>0.4</v>
      </c>
      <c r="U178" s="18">
        <v>1</v>
      </c>
      <c r="V178" s="18">
        <v>1</v>
      </c>
      <c r="W178" s="18"/>
      <c r="X178" s="18">
        <v>39.67</v>
      </c>
      <c r="Y178" s="18">
        <v>38.51</v>
      </c>
      <c r="Z178" s="18">
        <v>116.78</v>
      </c>
      <c r="AA178" s="18"/>
    </row>
    <row r="179" spans="1:27" ht="14.25" customHeight="1" x14ac:dyDescent="0.35">
      <c r="A179" s="18"/>
      <c r="B179" s="64" t="s">
        <v>228</v>
      </c>
      <c r="C179" s="23" t="s">
        <v>98</v>
      </c>
      <c r="D179" s="23" t="s">
        <v>239</v>
      </c>
      <c r="E179" s="24">
        <v>1</v>
      </c>
      <c r="F179" s="25">
        <v>2.75</v>
      </c>
      <c r="G179" s="25">
        <v>1.05</v>
      </c>
      <c r="H179" s="26" t="s">
        <v>243</v>
      </c>
      <c r="I179" s="27">
        <f t="shared" ref="I179" si="76">G179/E179</f>
        <v>1.05</v>
      </c>
      <c r="J179" s="28">
        <v>46036</v>
      </c>
      <c r="K179" s="29" t="s">
        <v>324</v>
      </c>
      <c r="L179" s="30">
        <f t="shared" si="49"/>
        <v>1.05</v>
      </c>
      <c r="M179" s="30">
        <v>0</v>
      </c>
      <c r="N179" s="30">
        <f>'Custos insumos'!L16</f>
        <v>0</v>
      </c>
      <c r="O179" s="18"/>
      <c r="P179" s="53" t="e">
        <f t="shared" ref="P179" si="77">(Q179-S179)/Q179</f>
        <v>#N/A</v>
      </c>
      <c r="Q179" s="50" t="e">
        <f t="shared" ref="Q179" si="78">G179*R179</f>
        <v>#N/A</v>
      </c>
      <c r="R179" s="50" t="e" cm="1">
        <f t="array" ref="R179">_xlfn.IFS(C179="Calandra",(350),C179="Peletização",(421),C179="Dublagem Spun",(250),C179="Dublagem Cretone PES",(180),C179="Felpagem",(270/E179),C179="Emborrachamento",(200),C179="Espelhamento",(250),C179="Malha",(1),C179="Dublagem Cretone",(180),C179="Malha",(1),C179="Dublagem Spun - MO",250,C179="Dublagem Cretone - MO",180,C179="Dublagem Cretone PES - MO",180,C179="Espelhamento - MO",250,C179="Emborrachamento",100,C179="Malha",0,C179="Dublagem Barreira",100,C179="Pel. + Cal.",350,C179="Fel. + Pel. + Cal.",270,C179="Pel. + Spun",250,C179="Espelhamento - L: 1,45m",200,C179="Espelhamento - L: 1,65m",200,C179="Estampagem",100,C179="Fel. + Cal.",270,C179="Dublagem Juta",180,C179="Dublagem Cretone - MO (Juta)",180,C179="Dublagem Tapete",150,C179="Esp. + Pel.",200,C179="Espelhamento 2x",100)</f>
        <v>#N/A</v>
      </c>
      <c r="S179" s="50" t="e">
        <f t="shared" ref="S179" si="79">(T179*X179)+(U179*Y179)+(V179*Z179)+((M179+N179)*(R179))</f>
        <v>#N/A</v>
      </c>
      <c r="T179" s="18" t="e" cm="1">
        <f t="array" ref="T179">_xlfn.IFS(C179="Calandra",0.4,C179="Felpagem",0.3,C179="Dublagem Spun",0.8,C179="Dublagem Cretone",0.8,C179="Dublagem Cretone PES",0.8,C179="Espelhamento",0.8,C179="Peletização",0.5,C179="Dublagem Spun - MO",0.8,C179="Dublagem Cretone - MO",0.8,C179="Dublagem Cretone PES - MO",0.8,C179="Espelhamento - MO",0.8,C179="Emborrachamento",1,C179="Malha",0,C179="Dublagem Barreira",1,C179="Pel. + Cal.",0.4,C179="Fel. + Pel. + Cal.",0.5,C179="Pel. + Spun",0.8,C179="Espelhamento - L: 1,45m",0.8,C179="Espelhamento - L: 1,65m",0.8,C179="Estampagem",1,C179="Fel. + Cal.",0.4,C179="Dublagem Juta",0.8,C179="Dublagem Cretone - MO (Juta)",0.8,C179="Dublagem Tapete",0.8,C179="Esp. + Pel.",0.8,C179="Espelhamento 2x",0.8)</f>
        <v>#N/A</v>
      </c>
      <c r="U179" s="18">
        <v>1</v>
      </c>
      <c r="V179" s="18">
        <v>1</v>
      </c>
      <c r="W179" s="18"/>
      <c r="X179" s="18">
        <v>39.67</v>
      </c>
      <c r="Y179" s="18">
        <v>38.51</v>
      </c>
      <c r="Z179" s="18">
        <v>116.78</v>
      </c>
      <c r="AA179" s="18"/>
    </row>
    <row r="180" spans="1:27" ht="14.25" customHeight="1" x14ac:dyDescent="0.35">
      <c r="A180" s="18"/>
      <c r="B180" s="64" t="s">
        <v>228</v>
      </c>
      <c r="C180" s="23" t="s">
        <v>98</v>
      </c>
      <c r="D180" s="23" t="s">
        <v>482</v>
      </c>
      <c r="E180" s="24">
        <v>1</v>
      </c>
      <c r="F180" s="25">
        <v>2.75</v>
      </c>
      <c r="G180" s="25">
        <v>2.75</v>
      </c>
      <c r="H180" s="26" t="s">
        <v>243</v>
      </c>
      <c r="I180" s="27">
        <f t="shared" si="72"/>
        <v>2.75</v>
      </c>
      <c r="J180" s="28">
        <v>46036</v>
      </c>
      <c r="K180" s="29" t="s">
        <v>324</v>
      </c>
      <c r="L180" s="30">
        <f t="shared" si="49"/>
        <v>1.3579999999999999</v>
      </c>
      <c r="M180" s="30">
        <f>'Custos insumos'!N4</f>
        <v>0.68399999999999994</v>
      </c>
      <c r="N180" s="30">
        <f>'Custos insumos'!L18</f>
        <v>0.70799999999999996</v>
      </c>
      <c r="O180" s="18"/>
      <c r="P180" s="53" t="e">
        <f t="shared" si="73"/>
        <v>#N/A</v>
      </c>
      <c r="Q180" s="50" t="e">
        <f t="shared" si="74"/>
        <v>#N/A</v>
      </c>
      <c r="R180" s="50" t="e" cm="1">
        <f t="array" ref="R180">_xlfn.IFS(C180="Calandra",(350),C180="Peletização",(421),C180="Dublagem Spun",(250),C180="Dublagem Cretone PES",(180),C180="Felpagem",(270/E180),C180="Emborrachamento",(200),C180="Espelhamento",(250),C180="Malha",(1),C180="Dublagem Cretone",(180),C180="Malha",(1),C180="Dublagem Spun - MO",250,C180="Dublagem Cretone - MO",180,C180="Dublagem Cretone PES - MO",180,C180="Espelhamento - MO",250,C180="Emborrachamento",100,C180="Malha",0,C180="Dublagem Barreira",100,C180="Pel. + Cal.",350,C180="Fel. + Pel. + Cal.",270,C180="Pel. + Spun",250,C180="Espelhamento - L: 1,45m",200,C180="Espelhamento - L: 1,65m",200,C180="Estampagem",100,C180="Fel. + Cal.",270,C180="Dublagem Juta",180,C180="Dublagem Cretone - MO (Juta)",180,C180="Dublagem Tapete",150,C180="Esp. + Pel.",200,C180="Espelhamento 2x",100)</f>
        <v>#N/A</v>
      </c>
      <c r="S180" s="50" t="e">
        <f t="shared" si="75"/>
        <v>#N/A</v>
      </c>
      <c r="T180" s="18" t="e" cm="1">
        <f t="array" ref="T180">_xlfn.IFS(C180="Calandra",0.4,C180="Felpagem",0.3,C180="Dublagem Spun",0.8,C180="Dublagem Cretone",0.8,C180="Dublagem Cretone PES",0.8,C180="Espelhamento",0.8,C180="Peletização",0.5,C180="Dublagem Spun - MO",0.8,C180="Dublagem Cretone - MO",0.8,C180="Dublagem Cretone PES - MO",0.8,C180="Espelhamento - MO",0.8,C180="Emborrachamento",1,C180="Malha",0,C180="Dublagem Barreira",1,C180="Pel. + Cal.",0.4,C180="Fel. + Pel. + Cal.",0.5,C180="Pel. + Spun",0.8,C180="Espelhamento - L: 1,45m",0.8,C180="Espelhamento - L: 1,65m",0.8,C180="Estampagem",1,C180="Fel. + Cal.",0.4,C180="Dublagem Juta",0.8,C180="Dublagem Cretone - MO (Juta)",0.8,C180="Dublagem Tapete",0.8,C180="Esp. + Pel.",0.8,C180="Espelhamento 2x",0.8)</f>
        <v>#N/A</v>
      </c>
      <c r="U180" s="18">
        <v>1</v>
      </c>
      <c r="V180" s="18">
        <v>1</v>
      </c>
      <c r="W180" s="18"/>
      <c r="X180" s="18">
        <v>39.67</v>
      </c>
      <c r="Y180" s="18">
        <v>38.51</v>
      </c>
      <c r="Z180" s="18">
        <v>116.78</v>
      </c>
      <c r="AA180" s="18"/>
    </row>
    <row r="181" spans="1:27" ht="14.25" customHeight="1" x14ac:dyDescent="0.35">
      <c r="A181" s="18"/>
      <c r="B181" s="64" t="s">
        <v>228</v>
      </c>
      <c r="C181" s="23" t="s">
        <v>106</v>
      </c>
      <c r="D181" s="23" t="s">
        <v>483</v>
      </c>
      <c r="E181" s="24">
        <v>1</v>
      </c>
      <c r="F181" s="25">
        <v>2.35</v>
      </c>
      <c r="G181" s="25">
        <v>2.35</v>
      </c>
      <c r="H181" s="26" t="s">
        <v>243</v>
      </c>
      <c r="I181" s="27">
        <f t="shared" si="72"/>
        <v>2.35</v>
      </c>
      <c r="J181" s="28">
        <v>46036</v>
      </c>
      <c r="K181" s="29" t="s">
        <v>324</v>
      </c>
      <c r="L181" s="30">
        <f t="shared" si="49"/>
        <v>1.0276000000000003</v>
      </c>
      <c r="M181" s="30">
        <f>'Custos insumos'!L11</f>
        <v>1.3223999999999998</v>
      </c>
      <c r="N181" s="30"/>
      <c r="O181" s="18"/>
      <c r="P181" s="53">
        <f t="shared" si="73"/>
        <v>0.11893446808510642</v>
      </c>
      <c r="Q181" s="50">
        <f t="shared" si="74"/>
        <v>587.5</v>
      </c>
      <c r="R181" s="50" cm="1">
        <f t="array" ref="R181">_xlfn.IFS(C181="Calandra",(350),C181="Peletização",(421),C181="Dublagem Spun",(250),C181="Dublagem Cretone PES",(180),C181="Felpagem",(270/E181),C181="Emborrachamento",(200),C181="Espelhamento",(250),C181="Malha",(1),C181="Dublagem Cretone",(180),C181="Malha",(1),C181="Dublagem Spun - MO",250,C181="Dublagem Cretone - MO",180,C181="Dublagem Cretone PES - MO",180,C181="Espelhamento - MO",250,C181="Emborrachamento",100,C181="Malha",0,C181="Dublagem Barreira",100,C181="Pel. + Cal.",350,C181="Fel. + Pel. + Cal.",270,C181="Pel. + Spun",250,C181="Espelhamento - L: 1,45m",200,C181="Espelhamento - L: 1,65m",200,C181="Estampagem",100,C181="Fel. + Cal.",270,C181="Dublagem Juta",180,C181="Dublagem Cretone - MO (Juta)",180,C181="Dublagem Tapete",150,C181="Esp. + Pel.",200,C181="Espelhamento 2x",100)</f>
        <v>250</v>
      </c>
      <c r="S181" s="50">
        <f t="shared" si="75"/>
        <v>517.62599999999998</v>
      </c>
      <c r="T181" s="18" cm="1">
        <f t="array" ref="T181">_xlfn.IFS(C181="Calandra",0.4,C181="Felpagem",0.3,C181="Dublagem Spun",0.8,C181="Dublagem Cretone",0.8,C181="Dublagem Cretone PES",0.8,C181="Espelhamento",0.8,C181="Peletização",0.5,C181="Dublagem Spun - MO",0.8,C181="Dublagem Cretone - MO",0.8,C181="Dublagem Cretone PES - MO",0.8,C181="Espelhamento - MO",0.8,C181="Emborrachamento",1,C181="Malha",0,C181="Dublagem Barreira",1,C181="Pel. + Cal.",0.4,C181="Fel. + Pel. + Cal.",0.5,C181="Pel. + Spun",0.8,C181="Espelhamento - L: 1,45m",0.8,C181="Espelhamento - L: 1,65m",0.8,C181="Estampagem",1,C181="Fel. + Cal.",0.4,C181="Dublagem Juta",0.8,C181="Dublagem Cretone - MO (Juta)",0.8,C181="Dublagem Tapete",0.8,C181="Esp. + Pel.",0.8,C181="Espelhamento 2x",0.8)</f>
        <v>0.8</v>
      </c>
      <c r="U181" s="18">
        <v>1</v>
      </c>
      <c r="V181" s="18">
        <v>1</v>
      </c>
      <c r="W181" s="18"/>
      <c r="X181" s="18">
        <v>39.67</v>
      </c>
      <c r="Y181" s="18">
        <v>38.51</v>
      </c>
      <c r="Z181" s="18">
        <v>116.78</v>
      </c>
      <c r="AA181" s="18"/>
    </row>
    <row r="182" spans="1:27" ht="14.25" customHeight="1" x14ac:dyDescent="0.35">
      <c r="A182" s="18"/>
      <c r="B182" s="22" t="s">
        <v>229</v>
      </c>
      <c r="C182" s="23" t="s">
        <v>144</v>
      </c>
      <c r="D182" s="23"/>
      <c r="E182" s="24">
        <v>1</v>
      </c>
      <c r="F182" s="25">
        <v>0.55000000000000004</v>
      </c>
      <c r="G182" s="25">
        <v>0.7</v>
      </c>
      <c r="H182" s="26" t="s">
        <v>243</v>
      </c>
      <c r="I182" s="27">
        <f t="shared" si="72"/>
        <v>0.7</v>
      </c>
      <c r="J182" s="28">
        <v>46036</v>
      </c>
      <c r="K182" s="29"/>
      <c r="L182" s="30">
        <f t="shared" ref="L182:L184" si="80">G182-M182-N182</f>
        <v>0.7</v>
      </c>
      <c r="M182" s="30">
        <f>IF(B182="Texion Textil",0,IF(C182="Malha",'Custos insumos'!$B$24,IF(C182="Dublagem Cretone",'Custos insumos'!$D$7,IF(C182="Dublagem Spun",'Custos insumos'!$D$4,IF(C182="Espelhamento",'Custos insumos'!$B$11,IF(C182="Espelhamento 2x",2*'Custos insumos'!$B$11,IF(C182="Esp. + Pel.",'Custos insumos'!$B$11,IF(C182="Pel. + Spun",'Custos insumos'!$D$4,IF(C182="Dublagem Cretone PES",'Custos insumos'!$D$7,IF(C182="Dublagem Barreira",'Custos insumos'!$D$11,IF(C182="Dublagem - MO + Filme",'Custos insumos'!$D$4,IF(C182="Dublagem Cretone HM50",'Custos insumos'!$D$26,IF(C182="Dublagem Cretone HM70",'Custos insumos'!$F$10,)))))))))))))</f>
        <v>0</v>
      </c>
      <c r="N182" s="30">
        <f>IF(B182="Texion Textil",0,IF(B182="Três Elos",0,IF(C182="Malha",0,IF(C182="Dublagem Cretone",'Custos insumos'!$D$23,IF(C182="Dublagem Spun",'Custos insumos'!$D$16,IF(C182="Espelhamento",0,IF(C182="Espelhamento 2x",0,IF(C182="Esp. + Pel.",0,IF(C182="Pel. + Spun",'Custos insumos'!$D$16,IF(C182="Dublagem Cretone PES",'Custos insumos'!$F$25,IF(C182="Dublagem Barreira",'Custos insumos'!$D$22,)))))))))))</f>
        <v>0</v>
      </c>
      <c r="O182" s="18"/>
      <c r="P182" s="53">
        <f t="shared" si="73"/>
        <v>0.40575161180861891</v>
      </c>
      <c r="Q182" s="50">
        <f t="shared" si="74"/>
        <v>294.7</v>
      </c>
      <c r="R182" s="50" cm="1">
        <f t="array" ref="R182">_xlfn.IFS(C182="Calandra",(350),C182="Peletização",(421),C182="Dublagem Spun",(250),C182="Dublagem Cretone PES",(180),C182="Felpagem",(270/E182),C182="Emborrachamento",(200),C182="Espelhamento",(250),C182="Malha",(1),C182="Dublagem Cretone",(180),C182="Malha",(1),C182="Dublagem Spun - MO",250,C182="Dublagem Cretone - MO",180,C182="Dublagem Cretone PES - MO",180,C182="Espelhamento - MO",250,C182="Emborrachamento",100,C182="Malha",0,C182="Dublagem Barreira",100,C182="Pel. + Cal.",350,C182="Fel. + Pel. + Cal.",270,C182="Pel. + Spun",250,C182="Espelhamento - L: 1,45m",200,C182="Espelhamento - L: 1,65m",200,C182="Estampagem",100,C182="Fel. + Cal.",270,C182="Dublagem Juta",180,C182="Dublagem Cretone - MO (Juta)",180,C182="Dublagem Tapete",150,C182="Esp. + Pel.",200,C182="Espelhamento 2x",100)</f>
        <v>421</v>
      </c>
      <c r="S182" s="50">
        <f t="shared" si="75"/>
        <v>175.125</v>
      </c>
      <c r="T182" s="18" cm="1">
        <f t="array" ref="T182">_xlfn.IFS(C182="Calandra",0.4,C182="Felpagem",0.3,C182="Dublagem Spun",0.8,C182="Dublagem Cretone",0.8,C182="Dublagem Cretone PES",0.8,C182="Espelhamento",0.8,C182="Peletização",0.5,C182="Dublagem Spun - MO",0.8,C182="Dublagem Cretone - MO",0.8,C182="Dublagem Cretone PES - MO",0.8,C182="Espelhamento - MO",0.8,C182="Emborrachamento",1,C182="Malha",0,C182="Dublagem Barreira",1,C182="Pel. + Cal.",0.4,C182="Fel. + Pel. + Cal.",0.5,C182="Pel. + Spun",0.8,C182="Espelhamento - L: 1,45m",0.8,C182="Espelhamento - L: 1,65m",0.8,C182="Estampagem",1,C182="Fel. + Cal.",0.4,C182="Dublagem Juta",0.8,C182="Dublagem Cretone - MO (Juta)",0.8,C182="Dublagem Tapete",0.8,C182="Esp. + Pel.",0.8,C182="Espelhamento 2x",0.8)</f>
        <v>0.5</v>
      </c>
      <c r="U182" s="18">
        <v>1</v>
      </c>
      <c r="V182" s="18">
        <v>1</v>
      </c>
      <c r="W182" s="18"/>
      <c r="X182" s="18">
        <v>39.67</v>
      </c>
      <c r="Y182" s="18">
        <v>38.51</v>
      </c>
      <c r="Z182" s="18">
        <v>116.78</v>
      </c>
      <c r="AA182" s="18"/>
    </row>
    <row r="183" spans="1:27" ht="14.25" customHeight="1" x14ac:dyDescent="0.35">
      <c r="A183" s="18"/>
      <c r="B183" s="22" t="s">
        <v>229</v>
      </c>
      <c r="C183" s="23" t="s">
        <v>254</v>
      </c>
      <c r="D183" s="23"/>
      <c r="E183" s="24">
        <v>3</v>
      </c>
      <c r="F183" s="25">
        <v>1.1000000000000001</v>
      </c>
      <c r="G183" s="25">
        <v>1.1000000000000001</v>
      </c>
      <c r="H183" s="26" t="s">
        <v>243</v>
      </c>
      <c r="I183" s="27">
        <f t="shared" si="72"/>
        <v>0.3666666666666667</v>
      </c>
      <c r="J183" s="28">
        <v>46036</v>
      </c>
      <c r="K183" s="29"/>
      <c r="L183" s="30">
        <f t="shared" si="80"/>
        <v>1.1000000000000001</v>
      </c>
      <c r="M183" s="30">
        <f>IF(B183="Texion Textil",0,IF(C183="Malha",'Custos insumos'!$B$24,IF(C183="Dublagem Cretone",'Custos insumos'!$D$7,IF(C183="Dublagem Spun",'Custos insumos'!$D$4,IF(C183="Espelhamento",'Custos insumos'!$B$11,IF(C183="Espelhamento 2x",2*'Custos insumos'!$B$11,IF(C183="Esp. + Pel.",'Custos insumos'!$B$11,IF(C183="Pel. + Spun",'Custos insumos'!$D$4,IF(C183="Dublagem Cretone PES",'Custos insumos'!$D$7,IF(C183="Dublagem Barreira",'Custos insumos'!$D$11,IF(C183="Dublagem - MO + Filme",'Custos insumos'!$D$4,IF(C183="Dublagem Cretone HM50",'Custos insumos'!$D$26,IF(C183="Dublagem Cretone HM70",'Custos insumos'!$F$10,)))))))))))))</f>
        <v>0</v>
      </c>
      <c r="N183" s="30">
        <f>IF(B183="Texion Textil",0,IF(B183="Três Elos",0,IF(C183="Malha",0,IF(C183="Dublagem Cretone",'Custos insumos'!$D$23,IF(C183="Dublagem Spun",'Custos insumos'!$D$16,IF(C183="Espelhamento",0,IF(C183="Espelhamento 2x",0,IF(C183="Esp. + Pel.",0,IF(C183="Pel. + Spun",'Custos insumos'!$D$16,IF(C183="Dublagem Cretone PES",'Custos insumos'!$F$25,IF(C183="Dublagem Barreira",'Custos insumos'!$D$22,)))))))))))</f>
        <v>0</v>
      </c>
      <c r="O183" s="18"/>
      <c r="P183" s="53">
        <f t="shared" si="73"/>
        <v>-0.68879797979797963</v>
      </c>
      <c r="Q183" s="50">
        <f t="shared" si="74"/>
        <v>99.000000000000014</v>
      </c>
      <c r="R183" s="50" cm="1">
        <f t="array" ref="R183">_xlfn.IFS(C183="Calandra",(350),C183="Peletização",(421),C183="Dublagem Spun",(250),C183="Dublagem Cretone PES",(180),C183="Felpagem",(270/E183),C183="Emborrachamento",(200),C183="Espelhamento",(250),C183="Malha",(1),C183="Dublagem Cretone",(180),C183="Malha",(1),C183="Dublagem Spun - MO",250,C183="Dublagem Cretone - MO",180,C183="Dublagem Cretone PES - MO",180,C183="Espelhamento - MO",250,C183="Emborrachamento",100,C183="Malha",0,C183="Dublagem Barreira",100,C183="Pel. + Cal.",350,C183="Fel. + Pel. + Cal.",270,C183="Pel. + Spun",250,C183="Espelhamento - L: 1,45m",200,C183="Espelhamento - L: 1,65m",200,C183="Estampagem",100,C183="Fel. + Cal.",270,C183="Dublagem Juta",180,C183="Dublagem Cretone - MO (Juta)",180,C183="Dublagem Tapete",150,C183="Esp. + Pel.",200,C183="Espelhamento 2x",100)</f>
        <v>90</v>
      </c>
      <c r="S183" s="50">
        <f t="shared" si="75"/>
        <v>167.191</v>
      </c>
      <c r="T183" s="18" cm="1">
        <f t="array" ref="T183">_xlfn.IFS(C183="Calandra",0.4,C183="Felpagem",0.3,C183="Dublagem Spun",0.8,C183="Dublagem Cretone",0.8,C183="Dublagem Cretone PES",0.8,C183="Espelhamento",0.8,C183="Peletização",0.5,C183="Dublagem Spun - MO",0.8,C183="Dublagem Cretone - MO",0.8,C183="Dublagem Cretone PES - MO",0.8,C183="Espelhamento - MO",0.8,C183="Emborrachamento",1,C183="Malha",0,C183="Dublagem Barreira",1,C183="Pel. + Cal.",0.4,C183="Fel. + Pel. + Cal.",0.5,C183="Pel. + Spun",0.8,C183="Espelhamento - L: 1,45m",0.8,C183="Espelhamento - L: 1,65m",0.8,C183="Estampagem",1,C183="Fel. + Cal.",0.4,C183="Dublagem Juta",0.8,C183="Dublagem Cretone - MO (Juta)",0.8,C183="Dublagem Tapete",0.8,C183="Esp. + Pel.",0.8,C183="Espelhamento 2x",0.8)</f>
        <v>0.3</v>
      </c>
      <c r="U183" s="18">
        <v>1</v>
      </c>
      <c r="V183" s="18">
        <v>1</v>
      </c>
      <c r="W183" s="18"/>
      <c r="X183" s="18">
        <v>39.67</v>
      </c>
      <c r="Y183" s="18">
        <v>38.51</v>
      </c>
      <c r="Z183" s="18">
        <v>116.78</v>
      </c>
      <c r="AA183" s="18"/>
    </row>
    <row r="184" spans="1:27" ht="14.25" customHeight="1" x14ac:dyDescent="0.35">
      <c r="A184" s="18"/>
      <c r="B184" s="22" t="s">
        <v>445</v>
      </c>
      <c r="C184" s="23" t="s">
        <v>446</v>
      </c>
      <c r="D184" s="23" t="s">
        <v>494</v>
      </c>
      <c r="E184" s="24">
        <v>1</v>
      </c>
      <c r="F184" s="25">
        <v>2.1535199999999999</v>
      </c>
      <c r="G184" s="25">
        <v>2.75</v>
      </c>
      <c r="H184" s="26"/>
      <c r="I184" s="27">
        <f t="shared" si="72"/>
        <v>2.75</v>
      </c>
      <c r="J184" s="28">
        <v>46036</v>
      </c>
      <c r="K184" s="29"/>
      <c r="L184" s="30">
        <f t="shared" si="80"/>
        <v>1.73648</v>
      </c>
      <c r="M184" s="30">
        <f>'Custos insumos'!N3</f>
        <v>0.6611999999999999</v>
      </c>
      <c r="N184" s="30">
        <f>'Custos insumos'!N14</f>
        <v>0.35232000000000002</v>
      </c>
      <c r="O184" s="18"/>
      <c r="P184" s="53"/>
      <c r="Q184" s="50" t="e">
        <f t="shared" si="74"/>
        <v>#N/A</v>
      </c>
      <c r="R184" s="50" t="e" cm="1">
        <f t="array" ref="R184">_xlfn.IFS(C184="Calandra",(350),C184="Peletização",(421),C184="Dublagem Spun",(250),C184="Dublagem Cretone PES",(180),C184="Felpagem",(270/E184),C184="Emborrachamento",(200),C184="Espelhamento",(250),C184="Malha",(1),C184="Dublagem Cretone",(180),C184="Malha",(1),C184="Dublagem Spun - MO",250,C184="Dublagem Cretone - MO",180,C184="Dublagem Cretone PES - MO",180,C184="Espelhamento - MO",250,C184="Emborrachamento",100,C184="Malha",0,C184="Dublagem Barreira",100,C184="Pel. + Cal.",350,C184="Fel. + Pel. + Cal.",270,C184="Pel. + Spun",250,C184="Espelhamento - L: 1,45m",200,C184="Espelhamento - L: 1,65m",200,C184="Estampagem",100,C184="Fel. + Cal.",270,C184="Dublagem Juta",180,C184="Dublagem Cretone - MO (Juta)",180,C184="Dublagem Tapete",150,C184="Esp. + Pel.",200,C184="Espelhamento 2x",100)</f>
        <v>#N/A</v>
      </c>
      <c r="S184" s="50"/>
      <c r="T184" s="18" t="e" cm="1">
        <f t="array" ref="T184">_xlfn.IFS(C184="Calandra",0.4,C184="Felpagem",0.3,C184="Dublagem Spun",0.8,C184="Dublagem Cretone",0.8,C184="Dublagem Cretone PES",0.8,C184="Espelhamento",0.8,C184="Peletização",0.5,C184="Dublagem Spun - MO",0.8,C184="Dublagem Cretone - MO",0.8,C184="Dublagem Cretone PES - MO",0.8,C184="Espelhamento - MO",0.8,C184="Emborrachamento",1,C184="Malha",0,C184="Dublagem Barreira",1,C184="Pel. + Cal.",0.4,C184="Fel. + Pel. + Cal.",0.5,C184="Pel. + Spun",0.8,C184="Espelhamento - L: 1,45m",0.8,C184="Espelhamento - L: 1,65m",0.8,C184="Estampagem",1,C184="Fel. + Cal.",0.4,C184="Dublagem Juta",0.8,C184="Dublagem Cretone - MO (Juta)",0.8,C184="Dublagem Tapete",0.8,C184="Esp. + Pel.",0.8,C184="Espelhamento 2x",0.8)</f>
        <v>#N/A</v>
      </c>
      <c r="U184" s="18"/>
      <c r="V184" s="18"/>
      <c r="W184" s="18"/>
      <c r="X184" s="18"/>
      <c r="Y184" s="18"/>
      <c r="Z184" s="18"/>
      <c r="AA184" s="18"/>
    </row>
    <row r="185" spans="1:27" ht="15" customHeight="1" x14ac:dyDescent="0.35">
      <c r="A185" s="18"/>
      <c r="B185" s="22" t="s">
        <v>230</v>
      </c>
      <c r="C185" s="23" t="s">
        <v>68</v>
      </c>
      <c r="D185" s="23"/>
      <c r="E185" s="24">
        <v>1</v>
      </c>
      <c r="F185" s="25">
        <v>22.9</v>
      </c>
      <c r="G185" s="25">
        <v>22.9</v>
      </c>
      <c r="H185" s="26" t="s">
        <v>246</v>
      </c>
      <c r="I185" s="27">
        <f t="shared" ref="I185:I195" si="81">G185/E185</f>
        <v>22.9</v>
      </c>
      <c r="J185" s="28">
        <v>46036</v>
      </c>
      <c r="K185" s="29"/>
      <c r="L185" s="30">
        <f t="shared" ref="L185:L209" si="82">G185-M185-N185</f>
        <v>10.399999999999999</v>
      </c>
      <c r="M185" s="30">
        <f>IF(B185="Texion Textil",0,IF(C185="Malha",'Custos insumos'!$B$24,IF(C185="Dublagem Cretone",'Custos insumos'!$D$7,IF(C185="Dublagem Spun",'Custos insumos'!$D$4,IF(C185="Espelhamento",'Custos insumos'!$B$11,IF(C185="Espelhamento 2x",2*'Custos insumos'!$B$11,IF(C185="Esp. + Pel.",'Custos insumos'!$B$11,IF(C185="Pel. + Spun",'Custos insumos'!$D$4,IF(C185="Dublagem Cretone PES",'Custos insumos'!$D$7,IF(C185="Dublagem Barreira",'Custos insumos'!$D$11,IF(C185="Dublagem - MO + Filme",'Custos insumos'!$D$4,IF(C185="Dublagem Cretone HM50",'Custos insumos'!$D$26,IF(C185="Dublagem Cretone HM70",'Custos insumos'!$F$10,)))))))))))))</f>
        <v>12.5</v>
      </c>
      <c r="N185" s="30">
        <f>IF(B185="Texion Textil",0,IF(B185="Três Elos",0,IF(C185="Malha",0,IF(C185="Dublagem Cretone",'Custos insumos'!$D$23,IF(C185="Dublagem Spun",'Custos insumos'!$D$16,IF(C185="Espelhamento",0,IF(C185="Espelhamento 2x",0,IF(C185="Esp. + Pel.",0,IF(C185="Pel. + Spun",'Custos insumos'!$D$16,IF(C185="Dublagem Cretone PES",'Custos insumos'!$F$25,IF(C185="Dublagem Barreira",'Custos insumos'!$D$22,)))))))))))</f>
        <v>0</v>
      </c>
      <c r="O185" s="18"/>
      <c r="P185" s="53">
        <f t="shared" ref="P185:P205" si="83">(Q185-S185)/Q185</f>
        <v>-6.32707423580786</v>
      </c>
      <c r="Q185" s="50">
        <f t="shared" ref="Q185:Q213" si="84">G185*R185</f>
        <v>22.9</v>
      </c>
      <c r="R185" s="50" cm="1">
        <f t="array" ref="R185">_xlfn.IFS(C185="Calandra",(350),C185="Peletização",(421),C185="Dublagem Spun",(250),C185="Dublagem Cretone PES",(180),C185="Felpagem",(270/E185),C185="Emborrachamento",(200),C185="Espelhamento",(250),C185="Malha",(1),C185="Dublagem Cretone",(180),C185="Malha",(1),C185="Dublagem Spun - MO",250,C185="Dublagem Cretone - MO",180,C185="Dublagem Cretone PES - MO",180,C185="Espelhamento - MO",250,C185="Emborrachamento",100,C185="Malha",0,C185="Dublagem Barreira",100,C185="Pel. + Cal.",350,C185="Fel. + Pel. + Cal.",270,C185="Pel. + Spun",250,C185="Espelhamento - L: 1,45m",200,C185="Espelhamento - L: 1,65m",200,C185="Estampagem",100,C185="Fel. + Cal.",270,C185="Dublagem Juta",180,C185="Dublagem Cretone - MO (Juta)",180,C185="Dublagem Tapete",150,C185="Esp. + Pel.",200,C185="Espelhamento 2x",100)</f>
        <v>1</v>
      </c>
      <c r="S185" s="50">
        <f t="shared" ref="S185:S205" si="85">(T185*X185)+(U185*Y185)+(V185*Z185)+((M185+N185)*(R185))</f>
        <v>167.79</v>
      </c>
      <c r="T185" s="18" cm="1">
        <f t="array" ref="T185">_xlfn.IFS(C185="Calandra",0.4,C185="Felpagem",0.3,C185="Dublagem Spun",0.8,C185="Dublagem Cretone",0.8,C185="Dublagem Cretone PES",0.8,C185="Espelhamento",0.8,C185="Peletização",0.5,C185="Dublagem Spun - MO",0.8,C185="Dublagem Cretone - MO",0.8,C185="Dublagem Cretone PES - MO",0.8,C185="Espelhamento - MO",0.8,C185="Emborrachamento",1,C185="Malha",0,C185="Dublagem Barreira",1,C185="Pel. + Cal.",0.4,C185="Fel. + Pel. + Cal.",0.5,C185="Pel. + Spun",0.8,C185="Espelhamento - L: 1,45m",0.8,C185="Espelhamento - L: 1,65m",0.8,C185="Estampagem",1,C185="Fel. + Cal.",0.4,C185="Dublagem Juta",0.8,C185="Dublagem Cretone - MO (Juta)",0.8,C185="Dublagem Tapete",0.8,C185="Esp. + Pel.",0.8,C185="Espelhamento 2x",0.8)</f>
        <v>0</v>
      </c>
      <c r="U185" s="18">
        <v>1</v>
      </c>
      <c r="V185" s="18">
        <v>1</v>
      </c>
      <c r="W185" s="18"/>
      <c r="X185" s="18">
        <v>39.67</v>
      </c>
      <c r="Y185" s="18">
        <v>38.51</v>
      </c>
      <c r="Z185" s="18">
        <v>116.78</v>
      </c>
      <c r="AA185" s="18"/>
    </row>
    <row r="186" spans="1:27" ht="14.25" customHeight="1" x14ac:dyDescent="0.35">
      <c r="A186" s="18"/>
      <c r="B186" s="22" t="s">
        <v>328</v>
      </c>
      <c r="C186" s="23" t="s">
        <v>106</v>
      </c>
      <c r="D186" s="23"/>
      <c r="E186" s="24">
        <v>1</v>
      </c>
      <c r="F186" s="25">
        <v>2.4</v>
      </c>
      <c r="G186" s="25">
        <v>2.4</v>
      </c>
      <c r="H186" s="26" t="s">
        <v>243</v>
      </c>
      <c r="I186" s="27">
        <f t="shared" si="81"/>
        <v>2.4</v>
      </c>
      <c r="J186" s="28">
        <v>46036</v>
      </c>
      <c r="K186" s="29" t="s">
        <v>331</v>
      </c>
      <c r="L186" s="30">
        <f t="shared" si="82"/>
        <v>1.3414997101449273</v>
      </c>
      <c r="M186" s="30">
        <f>IF(B186="Texion Textil",0,IF(C186="Malha",'Custos insumos'!$B$24,IF(C186="Dublagem Cretone",'Custos insumos'!$D$7,IF(C186="Dublagem Spun",'Custos insumos'!$D$4,IF(C186="Espelhamento",'Custos insumos'!$B$11,IF(C186="Espelhamento 2x",2*'Custos insumos'!$B$11,IF(C186="Esp. + Pel.",'Custos insumos'!$B$11,IF(C186="Pel. + Spun",'Custos insumos'!$D$4,IF(C186="Dublagem Cretone PES",'Custos insumos'!$D$7,IF(C186="Dublagem Barreira",'Custos insumos'!$D$11,IF(C186="Dublagem - MO + Filme",'Custos insumos'!$D$4,IF(C186="Dublagem Cretone HM50",'Custos insumos'!$D$26,IF(C186="Dublagem Cretone HM70",'Custos insumos'!$F$10,)))))))))))))</f>
        <v>1.0585002898550726</v>
      </c>
      <c r="N186" s="30">
        <f>IF(B186="Texion Textil",0,IF(B186="Três Elos",0,IF(C186="Malha",0,IF(C186="Dublagem Cretone",'Custos insumos'!$D$23,IF(C186="Dublagem Spun",'Custos insumos'!$D$16,IF(C186="Espelhamento",0,IF(C186="Espelhamento 2x",0,IF(C186="Esp. + Pel.",0,IF(C186="Pel. + Spun",'Custos insumos'!$D$16,IF(C186="Dublagem Cretone PES",'Custos insumos'!$F$25,IF(C186="Dublagem Barreira",'Custos insumos'!$D$22,)))))))))))</f>
        <v>0</v>
      </c>
      <c r="O186" s="18"/>
      <c r="P186" s="53">
        <f t="shared" si="83"/>
        <v>0.24724821256038637</v>
      </c>
      <c r="Q186" s="50">
        <f t="shared" si="84"/>
        <v>600</v>
      </c>
      <c r="R186" s="50" cm="1">
        <f t="array" ref="R186">_xlfn.IFS(C186="Calandra",(350),C186="Peletização",(421),C186="Dublagem Spun",(250),C186="Dublagem Cretone PES",(180),C186="Felpagem",(270/E186),C186="Emborrachamento",(200),C186="Espelhamento",(250),C186="Malha",(1),C186="Dublagem Cretone",(180),C186="Malha",(1),C186="Dublagem Spun - MO",250,C186="Dublagem Cretone - MO",180,C186="Dublagem Cretone PES - MO",180,C186="Espelhamento - MO",250,C186="Emborrachamento",100,C186="Malha",0,C186="Dublagem Barreira",100,C186="Pel. + Cal.",350,C186="Fel. + Pel. + Cal.",270,C186="Pel. + Spun",250,C186="Espelhamento - L: 1,45m",200,C186="Espelhamento - L: 1,65m",200,C186="Estampagem",100,C186="Fel. + Cal.",270,C186="Dublagem Juta",180,C186="Dublagem Cretone - MO (Juta)",180,C186="Dublagem Tapete",150,C186="Esp. + Pel.",200,C186="Espelhamento 2x",100)</f>
        <v>250</v>
      </c>
      <c r="S186" s="50">
        <f t="shared" si="85"/>
        <v>451.65107246376817</v>
      </c>
      <c r="T186" s="18" cm="1">
        <f t="array" ref="T186">_xlfn.IFS(C186="Calandra",0.4,C186="Felpagem",0.3,C186="Dublagem Spun",0.8,C186="Dublagem Cretone",0.8,C186="Dublagem Cretone PES",0.8,C186="Espelhamento",0.8,C186="Peletização",0.5,C186="Dublagem Spun - MO",0.8,C186="Dublagem Cretone - MO",0.8,C186="Dublagem Cretone PES - MO",0.8,C186="Espelhamento - MO",0.8,C186="Emborrachamento",1,C186="Malha",0,C186="Dublagem Barreira",1,C186="Pel. + Cal.",0.4,C186="Fel. + Pel. + Cal.",0.5,C186="Pel. + Spun",0.8,C186="Espelhamento - L: 1,45m",0.8,C186="Espelhamento - L: 1,65m",0.8,C186="Estampagem",1,C186="Fel. + Cal.",0.4,C186="Dublagem Juta",0.8,C186="Dublagem Cretone - MO (Juta)",0.8,C186="Dublagem Tapete",0.8,C186="Esp. + Pel.",0.8,C186="Espelhamento 2x",0.8)</f>
        <v>0.8</v>
      </c>
      <c r="U186" s="18">
        <v>1</v>
      </c>
      <c r="V186" s="18">
        <v>1</v>
      </c>
      <c r="W186" s="18"/>
      <c r="X186" s="18">
        <v>39.67</v>
      </c>
      <c r="Y186" s="18">
        <v>38.51</v>
      </c>
      <c r="Z186" s="18">
        <v>116.78</v>
      </c>
      <c r="AA186" s="18"/>
    </row>
    <row r="187" spans="1:27" ht="14.25" customHeight="1" x14ac:dyDescent="0.35">
      <c r="A187" s="18"/>
      <c r="B187" s="22" t="s">
        <v>328</v>
      </c>
      <c r="C187" s="23" t="s">
        <v>251</v>
      </c>
      <c r="D187" s="23" t="s">
        <v>503</v>
      </c>
      <c r="E187" s="24">
        <v>1</v>
      </c>
      <c r="F187" s="25">
        <v>5.56</v>
      </c>
      <c r="G187" s="25">
        <v>5.56</v>
      </c>
      <c r="H187" s="26" t="s">
        <v>243</v>
      </c>
      <c r="I187" s="27">
        <f t="shared" si="81"/>
        <v>5.56</v>
      </c>
      <c r="J187" s="28">
        <v>46036</v>
      </c>
      <c r="K187" s="29" t="s">
        <v>331</v>
      </c>
      <c r="L187" s="30">
        <f t="shared" si="82"/>
        <v>3.5979999999999999</v>
      </c>
      <c r="M187" s="30">
        <f>IF(B187="Texion Textil",0,IF(C187="Malha",'Custos insumos'!$B$24,IF(C187="Dublagem Cretone",'Custos insumos'!$D$7,IF(C187="Dublagem Spun",'Custos insumos'!$D$4,IF(C187="Espelhamento",'Custos insumos'!$B$11,IF(C187="Espelhamento 2x",2*'Custos insumos'!$B$11,IF(C187="Esp. + Pel.",'Custos insumos'!$B$11,IF(C187="Pel. + Spun",'Custos insumos'!$D$4,IF(C187="Dublagem Cretone PES",'Custos insumos'!$D$7,IF(C187="Dublagem Barreira",'Custos insumos'!$D$11,IF(C187="Dublagem - MO + Filme",'Custos insumos'!$D$4,IF(C187="Dublagem Cretone HM50",'Custos insumos'!$D$26,IF(C187="Dublagem Cretone HM70",'Custos insumos'!$F$10,)))))))))))))</f>
        <v>1.962</v>
      </c>
      <c r="N187" s="30">
        <f>IF(B187="Texion Textil",0,IF(B187="Três Elos",0,IF(C187="Malha",0,IF(C187="Dublagem Cretone",'Custos insumos'!$D$23,IF(C187="Dublagem Spun",'Custos insumos'!$D$16,IF(C187="Espelhamento",0,IF(C187="Espelhamento 2x",0,IF(C187="Esp. + Pel.",0,IF(C187="Pel. + Spun",'Custos insumos'!$D$16,IF(C187="Dublagem Cretone PES",'Custos insumos'!$F$25,IF(C187="Dublagem Barreira",'Custos insumos'!$D$22,)))))))))))</f>
        <v>0</v>
      </c>
      <c r="O187" s="18"/>
      <c r="P187" s="53">
        <f t="shared" si="83"/>
        <v>0.46024580335731419</v>
      </c>
      <c r="Q187" s="50">
        <f t="shared" si="84"/>
        <v>1000.8</v>
      </c>
      <c r="R187" s="50" cm="1">
        <f t="array" ref="R187">_xlfn.IFS(C187="Calandra",(350),C187="Peletização",(421),C187="Dublagem Spun",(250),C187="Dublagem Cretone PES",(180),C187="Felpagem",(270/E187),C187="Emborrachamento",(200),C187="Espelhamento",(250),C187="Malha",(1),C187="Dublagem Cretone",(180),C187="Malha",(1),C187="Dublagem Spun - MO",250,C187="Dublagem Cretone - MO",180,C187="Dublagem Cretone PES - MO",180,C187="Espelhamento - MO",250,C187="Emborrachamento",100,C187="Malha",0,C187="Dublagem Barreira",100,C187="Pel. + Cal.",350,C187="Fel. + Pel. + Cal.",270,C187="Pel. + Spun",250,C187="Espelhamento - L: 1,45m",200,C187="Espelhamento - L: 1,65m",200,C187="Estampagem",100,C187="Fel. + Cal.",270,C187="Dublagem Juta",180,C187="Dublagem Cretone - MO (Juta)",180,C187="Dublagem Tapete",150,C187="Esp. + Pel.",200,C187="Espelhamento 2x",100)</f>
        <v>180</v>
      </c>
      <c r="S187" s="50">
        <f t="shared" si="85"/>
        <v>540.18599999999992</v>
      </c>
      <c r="T187" s="18" cm="1">
        <f t="array" ref="T187">_xlfn.IFS(C187="Calandra",0.4,C187="Felpagem",0.3,C187="Dublagem Spun",0.8,C187="Dublagem Cretone",0.8,C187="Dublagem Cretone PES",0.8,C187="Espelhamento",0.8,C187="Peletização",0.5,C187="Dublagem Spun - MO",0.8,C187="Dublagem Cretone - MO",0.8,C187="Dublagem Cretone PES - MO",0.8,C187="Espelhamento - MO",0.8,C187="Emborrachamento",1,C187="Malha",0,C187="Dublagem Barreira",1,C187="Pel. + Cal.",0.4,C187="Fel. + Pel. + Cal.",0.5,C187="Pel. + Spun",0.8,C187="Espelhamento - L: 1,45m",0.8,C187="Espelhamento - L: 1,65m",0.8,C187="Estampagem",1,C187="Fel. + Cal.",0.4,C187="Dublagem Juta",0.8,C187="Dublagem Cretone - MO (Juta)",0.8,C187="Dublagem Tapete",0.8,C187="Esp. + Pel.",0.8,C187="Espelhamento 2x",0.8)</f>
        <v>0.8</v>
      </c>
      <c r="U187" s="18">
        <v>1</v>
      </c>
      <c r="V187" s="18">
        <v>1</v>
      </c>
      <c r="W187" s="18"/>
      <c r="X187" s="18">
        <v>39.67</v>
      </c>
      <c r="Y187" s="18">
        <v>38.51</v>
      </c>
      <c r="Z187" s="18">
        <v>116.78</v>
      </c>
      <c r="AA187" s="18"/>
    </row>
    <row r="188" spans="1:27" ht="14.25" customHeight="1" x14ac:dyDescent="0.35">
      <c r="A188" s="18"/>
      <c r="B188" s="22" t="s">
        <v>328</v>
      </c>
      <c r="C188" s="23" t="s">
        <v>251</v>
      </c>
      <c r="D188" s="23" t="s">
        <v>477</v>
      </c>
      <c r="E188" s="24">
        <v>1</v>
      </c>
      <c r="F188" s="25">
        <v>3.83</v>
      </c>
      <c r="G188" s="25">
        <v>4.0199999999999996</v>
      </c>
      <c r="H188" s="26" t="s">
        <v>243</v>
      </c>
      <c r="I188" s="27">
        <f t="shared" si="81"/>
        <v>4.0199999999999996</v>
      </c>
      <c r="J188" s="28">
        <v>46036</v>
      </c>
      <c r="K188" s="29" t="s">
        <v>334</v>
      </c>
      <c r="L188" s="30">
        <f t="shared" si="82"/>
        <v>2.0599999999999996</v>
      </c>
      <c r="M188" s="30">
        <v>1.96</v>
      </c>
      <c r="N188" s="30">
        <f>IF(B188="Texion Textil",0,IF(B188="Três Elos",0,IF(C188="Malha",0,IF(C188="Dublagem Cretone",'Custos insumos'!$D$23,IF(C188="Dublagem Spun",'Custos insumos'!$D$16,IF(C188="Espelhamento",0,IF(C188="Espelhamento 2x",0,IF(C188="Esp. + Pel.",0,IF(C188="Pel. + Spun",'Custos insumos'!$D$16,IF(C188="Dublagem Cretone PES",'Custos insumos'!$F$25,IF(C188="Dublagem Barreira",'Custos insumos'!$D$22,)))))))))))</f>
        <v>0</v>
      </c>
      <c r="O188" s="18"/>
      <c r="P188" s="53">
        <f t="shared" si="83"/>
        <v>0.25397180762852395</v>
      </c>
      <c r="Q188" s="50">
        <f t="shared" si="84"/>
        <v>723.59999999999991</v>
      </c>
      <c r="R188" s="50" cm="1">
        <f t="array" ref="R188">_xlfn.IFS(C188="Calandra",(350),C188="Peletização",(421),C188="Dublagem Spun",(250),C188="Dublagem Cretone PES",(180),C188="Felpagem",(270/E188),C188="Emborrachamento",(200),C188="Espelhamento",(250),C188="Malha",(1),C188="Dublagem Cretone",(180),C188="Malha",(1),C188="Dublagem Spun - MO",250,C188="Dublagem Cretone - MO",180,C188="Dublagem Cretone PES - MO",180,C188="Espelhamento - MO",250,C188="Emborrachamento",100,C188="Malha",0,C188="Dublagem Barreira",100,C188="Pel. + Cal.",350,C188="Fel. + Pel. + Cal.",270,C188="Pel. + Spun",250,C188="Espelhamento - L: 1,45m",200,C188="Espelhamento - L: 1,65m",200,C188="Estampagem",100,C188="Fel. + Cal.",270,C188="Dublagem Juta",180,C188="Dublagem Cretone - MO (Juta)",180,C188="Dublagem Tapete",150,C188="Esp. + Pel.",200,C188="Espelhamento 2x",100)</f>
        <v>180</v>
      </c>
      <c r="S188" s="50">
        <f t="shared" si="85"/>
        <v>539.82600000000002</v>
      </c>
      <c r="T188" s="18" cm="1">
        <f t="array" ref="T188">_xlfn.IFS(C188="Calandra",0.4,C188="Felpagem",0.3,C188="Dublagem Spun",0.8,C188="Dublagem Cretone",0.8,C188="Dublagem Cretone PES",0.8,C188="Espelhamento",0.8,C188="Peletização",0.5,C188="Dublagem Spun - MO",0.8,C188="Dublagem Cretone - MO",0.8,C188="Dublagem Cretone PES - MO",0.8,C188="Espelhamento - MO",0.8,C188="Emborrachamento",1,C188="Malha",0,C188="Dublagem Barreira",1,C188="Pel. + Cal.",0.4,C188="Fel. + Pel. + Cal.",0.5,C188="Pel. + Spun",0.8,C188="Espelhamento - L: 1,45m",0.8,C188="Espelhamento - L: 1,65m",0.8,C188="Estampagem",1,C188="Fel. + Cal.",0.4,C188="Dublagem Juta",0.8,C188="Dublagem Cretone - MO (Juta)",0.8,C188="Dublagem Tapete",0.8,C188="Esp. + Pel.",0.8,C188="Espelhamento 2x",0.8)</f>
        <v>0.8</v>
      </c>
      <c r="U188" s="18">
        <v>1</v>
      </c>
      <c r="V188" s="18">
        <v>1</v>
      </c>
      <c r="W188" s="18"/>
      <c r="X188" s="18">
        <v>39.67</v>
      </c>
      <c r="Y188" s="18">
        <v>38.51</v>
      </c>
      <c r="Z188" s="18">
        <v>116.78</v>
      </c>
      <c r="AA188" s="18"/>
    </row>
    <row r="189" spans="1:27" ht="14.25" customHeight="1" x14ac:dyDescent="0.35">
      <c r="A189" s="18"/>
      <c r="B189" s="22" t="s">
        <v>328</v>
      </c>
      <c r="C189" s="23" t="s">
        <v>251</v>
      </c>
      <c r="D189" s="23" t="s">
        <v>504</v>
      </c>
      <c r="E189" s="24">
        <v>1</v>
      </c>
      <c r="F189" s="25">
        <v>3.95</v>
      </c>
      <c r="G189" s="25">
        <v>3.95</v>
      </c>
      <c r="H189" s="26" t="s">
        <v>243</v>
      </c>
      <c r="I189" s="27">
        <f t="shared" si="81"/>
        <v>3.95</v>
      </c>
      <c r="J189" s="28">
        <v>46036</v>
      </c>
      <c r="K189" s="29" t="s">
        <v>334</v>
      </c>
      <c r="L189" s="30">
        <f t="shared" si="82"/>
        <v>1.9880000000000002</v>
      </c>
      <c r="M189" s="30">
        <f>IF(B189="Texion Textil",0,IF(C189="Malha",'Custos insumos'!$B$24,IF(C189="Dublagem Cretone",'Custos insumos'!$D$7,IF(C189="Dublagem Spun",'Custos insumos'!$D$4,IF(C189="Espelhamento",'Custos insumos'!$B$11,IF(C189="Espelhamento 2x",2*'Custos insumos'!$B$11,IF(C189="Esp. + Pel.",'Custos insumos'!$B$11,IF(C189="Pel. + Spun",'Custos insumos'!$D$4,IF(C189="Dublagem Cretone PES",'Custos insumos'!$D$7,IF(C189="Dublagem Barreira",'Custos insumos'!$D$11,IF(C189="Dublagem - MO + Filme",'Custos insumos'!$D$4,IF(C189="Dublagem Cretone HM50",'Custos insumos'!$F$9,IF(C189="Dublagem Cretone HM70",'Custos insumos'!$F$10,)))))))))))))</f>
        <v>1.962</v>
      </c>
      <c r="N189" s="30">
        <f>IF(B189="Texion Textil",0,IF(B189="Três Elos",0,IF(C189="Malha",0,IF(C189="Dublagem Cretone",'Custos insumos'!$D$23,IF(C189="Dublagem Spun",'Custos insumos'!$D$16,IF(C189="Espelhamento",0,IF(C189="Espelhamento 2x",0,IF(C189="Esp. + Pel.",0,IF(C189="Pel. + Spun",'Custos insumos'!$D$16,IF(C189="Dublagem Cretone PES",'Custos insumos'!$F$25,IF(C189="Dublagem Barreira",'Custos insumos'!$D$22,)))))))))))</f>
        <v>0</v>
      </c>
      <c r="O189" s="18"/>
      <c r="P189" s="53">
        <f t="shared" si="83"/>
        <v>0.24024472573839672</v>
      </c>
      <c r="Q189" s="50">
        <f t="shared" si="84"/>
        <v>711</v>
      </c>
      <c r="R189" s="50" cm="1">
        <f t="array" ref="R189">_xlfn.IFS(C189="Calandra",(350),C189="Peletização",(421),C189="Dublagem Spun",(250),C189="Dublagem Cretone PES",(180),C189="Felpagem",(270/E189),C189="Emborrachamento",(200),C189="Espelhamento",(250),C189="Malha",(1),C189="Dublagem Cretone",(180),C189="Malha",(1),C189="Dublagem Spun - MO",250,C189="Dublagem Cretone - MO",180,C189="Dublagem Cretone PES - MO",180,C189="Espelhamento - MO",250,C189="Emborrachamento",100,C189="Malha",0,C189="Dublagem Barreira",100,C189="Pel. + Cal.",350,C189="Fel. + Pel. + Cal.",270,C189="Pel. + Spun",250,C189="Espelhamento - L: 1,45m",200,C189="Espelhamento - L: 1,65m",200,C189="Estampagem",100,C189="Fel. + Cal.",270,C189="Dublagem Juta",180,C189="Dublagem Cretone - MO (Juta)",180,C189="Dublagem Tapete",150,C189="Esp. + Pel.",200,C189="Espelhamento 2x",100)</f>
        <v>180</v>
      </c>
      <c r="S189" s="50">
        <f t="shared" si="85"/>
        <v>540.18599999999992</v>
      </c>
      <c r="T189" s="18" cm="1">
        <f t="array" ref="T189">_xlfn.IFS(C189="Calandra",0.4,C189="Felpagem",0.3,C189="Dublagem Spun",0.8,C189="Dublagem Cretone",0.8,C189="Dublagem Cretone PES",0.8,C189="Espelhamento",0.8,C189="Peletização",0.5,C189="Dublagem Spun - MO",0.8,C189="Dublagem Cretone - MO",0.8,C189="Dublagem Cretone PES - MO",0.8,C189="Espelhamento - MO",0.8,C189="Emborrachamento",1,C189="Malha",0,C189="Dublagem Barreira",1,C189="Pel. + Cal.",0.4,C189="Fel. + Pel. + Cal.",0.5,C189="Pel. + Spun",0.8,C189="Espelhamento - L: 1,45m",0.8,C189="Espelhamento - L: 1,65m",0.8,C189="Estampagem",1,C189="Fel. + Cal.",0.4,C189="Dublagem Juta",0.8,C189="Dublagem Cretone - MO (Juta)",0.8,C189="Dublagem Tapete",0.8,C189="Esp. + Pel.",0.8,C189="Espelhamento 2x",0.8)</f>
        <v>0.8</v>
      </c>
      <c r="U189" s="18">
        <v>1</v>
      </c>
      <c r="V189" s="18">
        <v>1</v>
      </c>
      <c r="W189" s="18"/>
      <c r="X189" s="18">
        <v>39.67</v>
      </c>
      <c r="Y189" s="18">
        <v>38.51</v>
      </c>
      <c r="Z189" s="18">
        <v>116.78</v>
      </c>
      <c r="AA189" s="18"/>
    </row>
    <row r="190" spans="1:27" ht="14.25" customHeight="1" x14ac:dyDescent="0.35">
      <c r="A190" s="18"/>
      <c r="B190" s="22" t="s">
        <v>370</v>
      </c>
      <c r="C190" s="23" t="s">
        <v>286</v>
      </c>
      <c r="D190" s="23" t="s">
        <v>482</v>
      </c>
      <c r="E190" s="24">
        <v>1</v>
      </c>
      <c r="F190" s="25">
        <v>2.37</v>
      </c>
      <c r="G190" s="25">
        <v>2.37</v>
      </c>
      <c r="H190" s="26" t="s">
        <v>243</v>
      </c>
      <c r="I190" s="27">
        <f t="shared" si="81"/>
        <v>2.37</v>
      </c>
      <c r="J190" s="28">
        <v>46036</v>
      </c>
      <c r="K190" s="29" t="s">
        <v>371</v>
      </c>
      <c r="L190" s="30">
        <f t="shared" si="82"/>
        <v>1.0008000000000001</v>
      </c>
      <c r="M190" s="30">
        <f>'Custos insumos'!N3</f>
        <v>0.6611999999999999</v>
      </c>
      <c r="N190" s="30">
        <f>'Custos insumos'!L18</f>
        <v>0.70799999999999996</v>
      </c>
      <c r="O190" s="18"/>
      <c r="P190" s="53">
        <f t="shared" si="83"/>
        <v>0.4222784810126583</v>
      </c>
      <c r="Q190" s="50">
        <f t="shared" si="84"/>
        <v>355.5</v>
      </c>
      <c r="R190" s="50" cm="1">
        <f t="array" ref="R190">_xlfn.IFS(C190="Calandra",(350),C190="Peletização",(421),C190="Dublagem Spun",(250),C190="Dublagem Cretone PES",(180),C190="Felpagem",(270/E190),C190="Emborrachamento",(200),C190="Espelhamento",(250),C190="Malha",(1),C190="Dublagem Cretone",(180),C190="Malha",(1),C190="Dublagem Spun - MO",250,C190="Dublagem Cretone - MO",180,C190="Dublagem Cretone PES - MO",180,C190="Espelhamento - MO",250,C190="Emborrachamento",100,C190="Malha",0,C190="Dublagem Barreira",100,C190="Pel. + Cal.",350,C190="Fel. + Pel. + Cal.",270,C190="Pel. + Spun",250,C190="Espelhamento - L: 1,45m",200,C190="Espelhamento - L: 1,65m",200,C190="Estampagem",100,C190="Fel. + Cal.",270,C190="Dublagem Juta",180,C190="Dublagem Cretone - MO (Juta)",180,C190="Dublagem Tapete",150,C190="Esp. + Pel.",200,C190="Espelhamento 2x",100)</f>
        <v>150</v>
      </c>
      <c r="S190" s="50">
        <f t="shared" si="85"/>
        <v>205.37999999999997</v>
      </c>
      <c r="T190" s="18" cm="1">
        <f t="array" ref="T190">_xlfn.IFS(C190="Calandra",0.4,C190="Felpagem",0.3,C190="Dublagem Spun",0.8,C190="Dublagem Cretone",0.8,C190="Dublagem Cretone PES",0.8,C190="Espelhamento",0.8,C190="Peletização",0.5,C190="Dublagem Spun - MO",0.8,C190="Dublagem Cretone - MO",0.8,C190="Dublagem Cretone PES - MO",0.8,C190="Espelhamento - MO",0.8,C190="Emborrachamento",1,C190="Malha",0,C190="Dublagem Barreira",1,C190="Pel. + Cal.",0.4,C190="Fel. + Pel. + Cal.",0.5,C190="Pel. + Spun",0.8,C190="Espelhamento - L: 1,45m",0.8,C190="Espelhamento - L: 1,65m",0.8,C190="Estampagem",1,C190="Fel. + Cal.",0.4,C190="Dublagem Juta",0.8,C190="Dublagem Cretone - MO (Juta)",0.8,C190="Dublagem Tapete",0.8,C190="Esp. + Pel.",0.8,C190="Espelhamento 2x",0.8)</f>
        <v>0.8</v>
      </c>
      <c r="U190" s="18"/>
      <c r="V190" s="18"/>
      <c r="W190" s="18"/>
      <c r="X190" s="18"/>
      <c r="Y190" s="18"/>
      <c r="Z190" s="18"/>
      <c r="AA190" s="18"/>
    </row>
    <row r="191" spans="1:27" ht="14.25" customHeight="1" x14ac:dyDescent="0.35">
      <c r="A191" s="18"/>
      <c r="B191" s="22" t="s">
        <v>370</v>
      </c>
      <c r="C191" s="23" t="s">
        <v>286</v>
      </c>
      <c r="D191" s="23" t="s">
        <v>484</v>
      </c>
      <c r="E191" s="24">
        <v>1</v>
      </c>
      <c r="F191" s="25">
        <v>1.73</v>
      </c>
      <c r="G191" s="25">
        <v>1.73</v>
      </c>
      <c r="H191" s="26" t="s">
        <v>243</v>
      </c>
      <c r="I191" s="27">
        <f t="shared" si="81"/>
        <v>1.73</v>
      </c>
      <c r="J191" s="28">
        <v>46036</v>
      </c>
      <c r="K191" s="29" t="s">
        <v>371</v>
      </c>
      <c r="L191" s="30">
        <f t="shared" si="82"/>
        <v>1.046</v>
      </c>
      <c r="M191" s="30">
        <f>'Custos insumos'!N4</f>
        <v>0.68399999999999994</v>
      </c>
      <c r="N191" s="30">
        <f>IF(B191="Texion Textil",0,IF(B191="Três Elos",0,IF(C191="Malha",0,IF(C191="Dublagem Cretone",'Custos insumos'!$D$23,IF(C191="Dublagem Spun",'Custos insumos'!$D$16,IF(C191="Espelhamento",0,IF(C191="Espelhamento 2x",0,IF(C191="Esp. + Pel.",0,IF(C191="Pel. + Spun",'Custos insumos'!$D$16,IF(C191="Dublagem Cretone PES",'Custos insumos'!$F$25,IF(C191="Dublagem Barreira",'Custos insumos'!$D$22,)))))))))))</f>
        <v>0</v>
      </c>
      <c r="O191" s="18"/>
      <c r="P191" s="53">
        <f t="shared" si="83"/>
        <v>0.60462427745664737</v>
      </c>
      <c r="Q191" s="50">
        <f t="shared" si="84"/>
        <v>259.5</v>
      </c>
      <c r="R191" s="50" cm="1">
        <f t="array" ref="R191">_xlfn.IFS(C191="Calandra",(350),C191="Peletização",(421),C191="Dublagem Spun",(250),C191="Dublagem Cretone PES",(180),C191="Felpagem",(270/E191),C191="Emborrachamento",(200),C191="Espelhamento",(250),C191="Malha",(1),C191="Dublagem Cretone",(180),C191="Malha",(1),C191="Dublagem Spun - MO",250,C191="Dublagem Cretone - MO",180,C191="Dublagem Cretone PES - MO",180,C191="Espelhamento - MO",250,C191="Emborrachamento",100,C191="Malha",0,C191="Dublagem Barreira",100,C191="Pel. + Cal.",350,C191="Fel. + Pel. + Cal.",270,C191="Pel. + Spun",250,C191="Espelhamento - L: 1,45m",200,C191="Espelhamento - L: 1,65m",200,C191="Estampagem",100,C191="Fel. + Cal.",270,C191="Dublagem Juta",180,C191="Dublagem Cretone - MO (Juta)",180,C191="Dublagem Tapete",150,C191="Esp. + Pel.",200,C191="Espelhamento 2x",100)</f>
        <v>150</v>
      </c>
      <c r="S191" s="50">
        <f t="shared" si="85"/>
        <v>102.6</v>
      </c>
      <c r="T191" s="18" cm="1">
        <f t="array" ref="T191">_xlfn.IFS(C191="Calandra",0.4,C191="Felpagem",0.3,C191="Dublagem Spun",0.8,C191="Dublagem Cretone",0.8,C191="Dublagem Cretone PES",0.8,C191="Espelhamento",0.8,C191="Peletização",0.5,C191="Dublagem Spun - MO",0.8,C191="Dublagem Cretone - MO",0.8,C191="Dublagem Cretone PES - MO",0.8,C191="Espelhamento - MO",0.8,C191="Emborrachamento",1,C191="Malha",0,C191="Dublagem Barreira",1,C191="Pel. + Cal.",0.4,C191="Fel. + Pel. + Cal.",0.5,C191="Pel. + Spun",0.8,C191="Espelhamento - L: 1,45m",0.8,C191="Espelhamento - L: 1,65m",0.8,C191="Estampagem",1,C191="Fel. + Cal.",0.4,C191="Dublagem Juta",0.8,C191="Dublagem Cretone - MO (Juta)",0.8,C191="Dublagem Tapete",0.8,C191="Esp. + Pel.",0.8,C191="Espelhamento 2x",0.8)</f>
        <v>0.8</v>
      </c>
      <c r="U191" s="18"/>
      <c r="V191" s="18"/>
      <c r="W191" s="18"/>
      <c r="X191" s="18"/>
      <c r="Y191" s="18"/>
      <c r="Z191" s="18"/>
      <c r="AA191" s="18"/>
    </row>
    <row r="192" spans="1:27" ht="14.25" customHeight="1" x14ac:dyDescent="0.35">
      <c r="A192" s="18"/>
      <c r="B192" s="22" t="s">
        <v>370</v>
      </c>
      <c r="C192" s="23" t="s">
        <v>244</v>
      </c>
      <c r="D192" s="23" t="s">
        <v>239</v>
      </c>
      <c r="E192" s="24">
        <v>1</v>
      </c>
      <c r="F192" s="25">
        <v>1.3</v>
      </c>
      <c r="G192" s="25">
        <v>1.3</v>
      </c>
      <c r="H192" s="26" t="s">
        <v>243</v>
      </c>
      <c r="I192" s="27">
        <f t="shared" si="81"/>
        <v>1.3</v>
      </c>
      <c r="J192" s="28">
        <v>46036</v>
      </c>
      <c r="K192" s="29" t="s">
        <v>371</v>
      </c>
      <c r="L192" s="30">
        <f t="shared" si="82"/>
        <v>1.3</v>
      </c>
      <c r="M192" s="30">
        <f>'Custos insumos'!H25</f>
        <v>0</v>
      </c>
      <c r="N192" s="30">
        <f>IF(B192="Texion Textil",0,IF(B192="Três Elos",0,IF(C192="Malha",0,IF(C192="Dublagem Cretone",'Custos insumos'!$D$23,IF(C192="Dublagem Spun",'Custos insumos'!$D$16,IF(C192="Espelhamento",0,IF(C192="Espelhamento 2x",0,IF(C192="Esp. + Pel.",0,IF(C192="Pel. + Spun",'Custos insumos'!$D$16,IF(C192="Dublagem Cretone PES",'Custos insumos'!$F$25,IF(C192="Dublagem Barreira",'Custos insumos'!$D$22,)))))))))))</f>
        <v>0</v>
      </c>
      <c r="O192" s="18"/>
      <c r="P192" s="53">
        <f t="shared" si="83"/>
        <v>1</v>
      </c>
      <c r="Q192" s="50">
        <f t="shared" si="84"/>
        <v>260</v>
      </c>
      <c r="R192" s="50" cm="1">
        <f t="array" ref="R192">_xlfn.IFS(C192="Calandra",(350),C192="Peletização",(421),C192="Dublagem Spun",(250),C192="Dublagem Cretone PES",(180),C192="Felpagem",(270/E192),C192="Emborrachamento",(200),C192="Espelhamento",(250),C192="Malha",(1),C192="Dublagem Cretone",(180),C192="Malha",(1),C192="Dublagem Spun - MO",250,C192="Dublagem Cretone - MO",180,C192="Dublagem Cretone PES - MO",180,C192="Espelhamento - MO",250,C192="Emborrachamento",100,C192="Malha",0,C192="Dublagem Barreira",100,C192="Pel. + Cal.",350,C192="Fel. + Pel. + Cal.",270,C192="Pel. + Spun",250,C192="Espelhamento - L: 1,45m",200,C192="Espelhamento - L: 1,65m",200,C192="Estampagem",100,C192="Fel. + Cal.",270,C192="Dublagem Juta",180,C192="Dublagem Cretone - MO (Juta)",180,C192="Dublagem Tapete",150,C192="Esp. + Pel.",200,C192="Espelhamento 2x",100)</f>
        <v>200</v>
      </c>
      <c r="S192" s="50">
        <f t="shared" si="85"/>
        <v>0</v>
      </c>
      <c r="T192" s="18" cm="1">
        <f t="array" ref="T192">_xlfn.IFS(C192="Calandra",0.4,C192="Felpagem",0.3,C192="Dublagem Spun",0.8,C192="Dublagem Cretone",0.8,C192="Dublagem Cretone PES",0.8,C192="Espelhamento",0.8,C192="Peletização",0.5,C192="Dublagem Spun - MO",0.8,C192="Dublagem Cretone - MO",0.8,C192="Dublagem Cretone PES - MO",0.8,C192="Espelhamento - MO",0.8,C192="Emborrachamento",1,C192="Malha",0,C192="Dublagem Barreira",1,C192="Pel. + Cal.",0.4,C192="Fel. + Pel. + Cal.",0.5,C192="Pel. + Spun",0.8,C192="Espelhamento - L: 1,45m",0.8,C192="Espelhamento - L: 1,65m",0.8,C192="Estampagem",1,C192="Fel. + Cal.",0.4,C192="Dublagem Juta",0.8,C192="Dublagem Cretone - MO (Juta)",0.8,C192="Dublagem Tapete",0.8,C192="Esp. + Pel.",0.8,C192="Espelhamento 2x",0.8)</f>
        <v>1</v>
      </c>
      <c r="U192" s="18"/>
      <c r="V192" s="18"/>
      <c r="W192" s="18"/>
      <c r="X192" s="18"/>
      <c r="Y192" s="18"/>
      <c r="Z192" s="18"/>
      <c r="AA192" s="18"/>
    </row>
    <row r="193" spans="1:27" ht="14.25" customHeight="1" x14ac:dyDescent="0.35">
      <c r="A193" s="18"/>
      <c r="B193" s="22" t="s">
        <v>370</v>
      </c>
      <c r="C193" s="23" t="s">
        <v>471</v>
      </c>
      <c r="D193" s="23" t="s">
        <v>505</v>
      </c>
      <c r="E193" s="24">
        <v>1</v>
      </c>
      <c r="F193" s="25">
        <v>6.1</v>
      </c>
      <c r="G193" s="25">
        <v>6.1</v>
      </c>
      <c r="H193" s="26" t="s">
        <v>243</v>
      </c>
      <c r="I193" s="27">
        <f t="shared" si="81"/>
        <v>6.1</v>
      </c>
      <c r="J193" s="28">
        <v>46036</v>
      </c>
      <c r="K193" s="29" t="s">
        <v>371</v>
      </c>
      <c r="L193" s="30">
        <f t="shared" si="82"/>
        <v>1.6222399999999999</v>
      </c>
      <c r="M193" s="30">
        <f>'Custos insumos'!J31+'Custos insumos'!N3</f>
        <v>3.7697599999999998</v>
      </c>
      <c r="N193" s="30">
        <f>'Custos insumos'!L18</f>
        <v>0.70799999999999996</v>
      </c>
      <c r="O193" s="18"/>
      <c r="P193" s="53" t="e">
        <f t="shared" si="83"/>
        <v>#N/A</v>
      </c>
      <c r="Q193" s="50" t="e">
        <f t="shared" si="84"/>
        <v>#N/A</v>
      </c>
      <c r="R193" s="50" t="e" cm="1">
        <f t="array" ref="R193">_xlfn.IFS(C193="Calandra",(350),C193="Peletização",(421),C193="Dublagem Spun",(250),C193="Dublagem Cretone PES",(180),C193="Felpagem",(270/E193),C193="Emborrachamento",(200),C193="Espelhamento",(250),C193="Malha",(1),C193="Dublagem Cretone",(180),C193="Malha",(1),C193="Dublagem Spun - MO",250,C193="Dublagem Cretone - MO",180,C193="Dublagem Cretone PES - MO",180,C193="Espelhamento - MO",250,C193="Emborrachamento",100,C193="Malha",0,C193="Dublagem Barreira",100,C193="Pel. + Cal.",350,C193="Fel. + Pel. + Cal.",270,C193="Pel. + Spun",250,C193="Espelhamento - L: 1,45m",200,C193="Espelhamento - L: 1,65m",200,C193="Estampagem",100,C193="Fel. + Cal.",270,C193="Dublagem Juta",180,C193="Dublagem Cretone - MO (Juta)",180,C193="Dublagem Tapete",150,C193="Esp. + Pel.",200,C193="Espelhamento 2x",100)</f>
        <v>#N/A</v>
      </c>
      <c r="S193" s="50" t="e">
        <f t="shared" si="85"/>
        <v>#N/A</v>
      </c>
      <c r="T193" s="18" t="e" cm="1">
        <f t="array" ref="T193">_xlfn.IFS(C193="Calandra",0.4,C193="Felpagem",0.3,C193="Dublagem Spun",0.8,C193="Dublagem Cretone",0.8,C193="Dublagem Cretone PES",0.8,C193="Espelhamento",0.8,C193="Peletização",0.5,C193="Dublagem Spun - MO",0.8,C193="Dublagem Cretone - MO",0.8,C193="Dublagem Cretone PES - MO",0.8,C193="Espelhamento - MO",0.8,C193="Emborrachamento",1,C193="Malha",0,C193="Dublagem Barreira",1,C193="Pel. + Cal.",0.4,C193="Fel. + Pel. + Cal.",0.5,C193="Pel. + Spun",0.8,C193="Espelhamento - L: 1,45m",0.8,C193="Espelhamento - L: 1,65m",0.8,C193="Estampagem",1,C193="Fel. + Cal.",0.4,C193="Dublagem Juta",0.8,C193="Dublagem Cretone - MO (Juta)",0.8,C193="Dublagem Tapete",0.8,C193="Esp. + Pel.",0.8,C193="Espelhamento 2x",0.8)</f>
        <v>#N/A</v>
      </c>
      <c r="U193" s="18"/>
      <c r="V193" s="18"/>
      <c r="W193" s="18"/>
      <c r="X193" s="18"/>
      <c r="Y193" s="18"/>
      <c r="Z193" s="18"/>
      <c r="AA193" s="18"/>
    </row>
    <row r="194" spans="1:27" ht="14.25" customHeight="1" x14ac:dyDescent="0.35">
      <c r="A194" s="18"/>
      <c r="B194" s="22" t="s">
        <v>370</v>
      </c>
      <c r="C194" s="23" t="s">
        <v>244</v>
      </c>
      <c r="D194" s="23" t="s">
        <v>493</v>
      </c>
      <c r="E194" s="24">
        <v>1</v>
      </c>
      <c r="F194" s="25">
        <v>4.5</v>
      </c>
      <c r="G194" s="25">
        <v>4.5</v>
      </c>
      <c r="H194" s="26" t="s">
        <v>243</v>
      </c>
      <c r="I194" s="27">
        <f t="shared" si="81"/>
        <v>4.5</v>
      </c>
      <c r="J194" s="28">
        <v>46036</v>
      </c>
      <c r="K194" s="29" t="s">
        <v>371</v>
      </c>
      <c r="L194" s="30">
        <f t="shared" si="82"/>
        <v>1.3914400000000002</v>
      </c>
      <c r="M194" s="30">
        <f>'Custos insumos'!J31</f>
        <v>3.1085599999999998</v>
      </c>
      <c r="N194" s="30">
        <f>IF(B194="Texion Textil",0,IF(B194="Três Elos",0,IF(C194="Malha",0,IF(C194="Dublagem Cretone",'Custos insumos'!$D$23,IF(C194="Dublagem Spun",'Custos insumos'!$D$16,IF(C194="Espelhamento",0,IF(C194="Espelhamento 2x",0,IF(C194="Esp. + Pel.",0,IF(C194="Pel. + Spun",'Custos insumos'!$D$16,IF(C194="Dublagem Cretone PES",'Custos insumos'!$F$25,IF(C194="Dublagem Barreira",'Custos insumos'!$D$22,)))))))))))</f>
        <v>0</v>
      </c>
      <c r="O194" s="18"/>
      <c r="P194" s="53">
        <f t="shared" si="83"/>
        <v>0.30920888888888892</v>
      </c>
      <c r="Q194" s="50">
        <f t="shared" si="84"/>
        <v>900</v>
      </c>
      <c r="R194" s="50" cm="1">
        <f t="array" ref="R194">_xlfn.IFS(C194="Calandra",(350),C194="Peletização",(421),C194="Dublagem Spun",(250),C194="Dublagem Cretone PES",(180),C194="Felpagem",(270/E194),C194="Emborrachamento",(200),C194="Espelhamento",(250),C194="Malha",(1),C194="Dublagem Cretone",(180),C194="Malha",(1),C194="Dublagem Spun - MO",250,C194="Dublagem Cretone - MO",180,C194="Dublagem Cretone PES - MO",180,C194="Espelhamento - MO",250,C194="Emborrachamento",100,C194="Malha",0,C194="Dublagem Barreira",100,C194="Pel. + Cal.",350,C194="Fel. + Pel. + Cal.",270,C194="Pel. + Spun",250,C194="Espelhamento - L: 1,45m",200,C194="Espelhamento - L: 1,65m",200,C194="Estampagem",100,C194="Fel. + Cal.",270,C194="Dublagem Juta",180,C194="Dublagem Cretone - MO (Juta)",180,C194="Dublagem Tapete",150,C194="Esp. + Pel.",200,C194="Espelhamento 2x",100)</f>
        <v>200</v>
      </c>
      <c r="S194" s="50">
        <f t="shared" si="85"/>
        <v>621.71199999999999</v>
      </c>
      <c r="T194" s="18" cm="1">
        <f t="array" ref="T194">_xlfn.IFS(C194="Calandra",0.4,C194="Felpagem",0.3,C194="Dublagem Spun",0.8,C194="Dublagem Cretone",0.8,C194="Dublagem Cretone PES",0.8,C194="Espelhamento",0.8,C194="Peletização",0.5,C194="Dublagem Spun - MO",0.8,C194="Dublagem Cretone - MO",0.8,C194="Dublagem Cretone PES - MO",0.8,C194="Espelhamento - MO",0.8,C194="Emborrachamento",1,C194="Malha",0,C194="Dublagem Barreira",1,C194="Pel. + Cal.",0.4,C194="Fel. + Pel. + Cal.",0.5,C194="Pel. + Spun",0.8,C194="Espelhamento - L: 1,45m",0.8,C194="Espelhamento - L: 1,65m",0.8,C194="Estampagem",1,C194="Fel. + Cal.",0.4,C194="Dublagem Juta",0.8,C194="Dublagem Cretone - MO (Juta)",0.8,C194="Dublagem Tapete",0.8,C194="Esp. + Pel.",0.8,C194="Espelhamento 2x",0.8)</f>
        <v>1</v>
      </c>
      <c r="U194" s="18"/>
      <c r="V194" s="18"/>
      <c r="W194" s="18"/>
      <c r="X194" s="18"/>
      <c r="Y194" s="18"/>
      <c r="Z194" s="18"/>
      <c r="AA194" s="18"/>
    </row>
    <row r="195" spans="1:27" ht="14.25" customHeight="1" x14ac:dyDescent="0.35">
      <c r="A195" s="18"/>
      <c r="B195" s="22" t="s">
        <v>336</v>
      </c>
      <c r="C195" s="23" t="s">
        <v>83</v>
      </c>
      <c r="D195" s="23" t="s">
        <v>506</v>
      </c>
      <c r="E195" s="24">
        <v>1</v>
      </c>
      <c r="F195" s="25">
        <v>3.42</v>
      </c>
      <c r="G195" s="25">
        <v>4.0999999999999996</v>
      </c>
      <c r="H195" s="26" t="s">
        <v>243</v>
      </c>
      <c r="I195" s="27">
        <f t="shared" si="81"/>
        <v>4.0999999999999996</v>
      </c>
      <c r="J195" s="28">
        <v>46036</v>
      </c>
      <c r="K195" s="36" t="s">
        <v>342</v>
      </c>
      <c r="L195" s="30">
        <f t="shared" si="82"/>
        <v>2.3973999999999998</v>
      </c>
      <c r="M195" s="30">
        <f>'Custos insumos'!H3</f>
        <v>0.85260000000000002</v>
      </c>
      <c r="N195" s="30">
        <v>0.85</v>
      </c>
      <c r="O195" s="18"/>
      <c r="P195" s="53" t="e">
        <f t="shared" si="83"/>
        <v>#N/A</v>
      </c>
      <c r="Q195" s="50" t="e">
        <f t="shared" si="84"/>
        <v>#N/A</v>
      </c>
      <c r="R195" s="50" t="e" cm="1">
        <f t="array" ref="R195">_xlfn.IFS(C195="Calandra",(350),C195="Peletização",(421),C195="Dublagem Spun",(250),C195="Dublagem Cretone PES",(180),C195="Felpagem",(270/E195),C195="Emborrachamento",(200),C195="Espelhamento",(250),C195="Malha",(1),C195="Dublagem Cretone",(180),C195="Malha",(1),C195="Dublagem Spun - MO",250,C195="Dublagem Cretone - MO",180,C195="Dublagem Cretone PES - MO",180,C195="Espelhamento - MO",250,C195="Emborrachamento",100,C195="Malha",0,C195="Dublagem Barreira",100,C195="Pel. + Cal.",350,C195="Fel. + Pel. + Cal.",270,C195="Pel. + Spun",250,C195="Espelhamento - L: 1,45m",200,C195="Espelhamento - L: 1,65m",200,C195="Estampagem",100,C195="Fel. + Cal.",270,C195="Dublagem Juta",180,C195="Dublagem Cretone - MO (Juta)",180,C195="Dublagem Tapete",150,C195="Esp. + Pel.",200,C195="Espelhamento 2x",100)</f>
        <v>#N/A</v>
      </c>
      <c r="S195" s="50" t="e">
        <f t="shared" si="85"/>
        <v>#N/A</v>
      </c>
      <c r="T195" s="18" t="e" cm="1">
        <f t="array" ref="T195">_xlfn.IFS(C195="Calandra",0.4,C195="Felpagem",0.3,C195="Dublagem Spun",0.8,C195="Dublagem Cretone",0.8,C195="Dublagem Cretone PES",0.8,C195="Espelhamento",0.8,C195="Peletização",0.5,C195="Dublagem Spun - MO",0.8,C195="Dublagem Cretone - MO",0.8,C195="Dublagem Cretone PES - MO",0.8,C195="Espelhamento - MO",0.8,C195="Emborrachamento",1,C195="Malha",0,C195="Dublagem Barreira",1,C195="Pel. + Cal.",0.4,C195="Fel. + Pel. + Cal.",0.5,C195="Pel. + Spun",0.8,C195="Espelhamento - L: 1,45m",0.8,C195="Espelhamento - L: 1,65m",0.8,C195="Estampagem",1,C195="Fel. + Cal.",0.4,C195="Dublagem Juta",0.8,C195="Dublagem Cretone - MO (Juta)",0.8,C195="Dublagem Tapete",0.8,C195="Esp. + Pel.",0.8,C195="Espelhamento 2x",0.8)</f>
        <v>#N/A</v>
      </c>
      <c r="U195" s="18">
        <v>1</v>
      </c>
      <c r="V195" s="18">
        <v>1</v>
      </c>
      <c r="W195" s="18"/>
      <c r="X195" s="18">
        <v>39.67</v>
      </c>
      <c r="Y195" s="18">
        <v>38.51</v>
      </c>
      <c r="Z195" s="18">
        <v>116.78</v>
      </c>
      <c r="AA195" s="18"/>
    </row>
    <row r="196" spans="1:27" ht="14.25" customHeight="1" x14ac:dyDescent="0.35">
      <c r="A196" s="18"/>
      <c r="B196" s="43" t="s">
        <v>231</v>
      </c>
      <c r="C196" s="32" t="s">
        <v>142</v>
      </c>
      <c r="D196" s="32"/>
      <c r="E196" s="33">
        <v>1</v>
      </c>
      <c r="F196" s="25">
        <v>0.65</v>
      </c>
      <c r="G196" s="25">
        <v>0.7</v>
      </c>
      <c r="H196" s="26" t="s">
        <v>243</v>
      </c>
      <c r="I196" s="27">
        <f t="shared" ref="I196:I213" si="86">G196/E196</f>
        <v>0.7</v>
      </c>
      <c r="J196" s="28">
        <v>46036</v>
      </c>
      <c r="K196" s="36"/>
      <c r="L196" s="30">
        <f t="shared" si="82"/>
        <v>0.7</v>
      </c>
      <c r="M196" s="30">
        <f>IF(B196="Texion Textil",0,IF(C196="Malha",'Custos insumos'!$B$24,IF(C196="Dublagem Cretone",'Custos insumos'!$D$7,IF(C196="Dublagem Spun",'Custos insumos'!$D$4,IF(C196="Espelhamento",'Custos insumos'!$B$11,IF(C196="Espelhamento 2x",2*'Custos insumos'!$B$11,IF(C196="Esp. + Pel.",'Custos insumos'!$B$11,IF(C196="Pel. + Spun",'Custos insumos'!$D$4,IF(C196="Dublagem Cretone PES",'Custos insumos'!$D$7,IF(C196="Dublagem Barreira",'Custos insumos'!$D$11,IF(C196="Dublagem - MO + Filme",'Custos insumos'!$D$4,IF(C196="Dublagem Cretone HM50",'Custos insumos'!$F$9,IF(C196="Dublagem Cretone HM70",'Custos insumos'!$F$10,)))))))))))))</f>
        <v>0</v>
      </c>
      <c r="N196" s="30">
        <f>IF(B196="Texion Textil",0,IF(B196="Três Elos",0,IF(C196="Malha",0,IF(C196="Dublagem Cretone",'Custos insumos'!$D$23,IF(C196="Dublagem Spun",'Custos insumos'!$D$16,IF(C196="Espelhamento",0,IF(C196="Espelhamento 2x",0,IF(C196="Esp. + Pel.",0,IF(C196="Pel. + Spun",'Custos insumos'!$D$16,IF(C196="Dublagem Cretone PES",'Custos insumos'!$F$25,IF(C196="Dublagem Barreira",'Custos insumos'!$D$22,)))))))))))</f>
        <v>0</v>
      </c>
      <c r="O196" s="18"/>
      <c r="P196" s="53">
        <f t="shared" si="83"/>
        <v>0.3013959183673468</v>
      </c>
      <c r="Q196" s="50">
        <f t="shared" si="84"/>
        <v>244.99999999999997</v>
      </c>
      <c r="R196" s="50" cm="1">
        <f t="array" ref="R196">_xlfn.IFS(C196="Calandra",(350),C196="Peletização",(421),C196="Dublagem Spun",(250),C196="Dublagem Cretone PES",(180),C196="Felpagem",(270/E196),C196="Emborrachamento",(200),C196="Espelhamento",(250),C196="Malha",(1),C196="Dublagem Cretone",(180),C196="Malha",(1),C196="Dublagem Spun - MO",250,C196="Dublagem Cretone - MO",180,C196="Dublagem Cretone PES - MO",180,C196="Espelhamento - MO",250,C196="Emborrachamento",100,C196="Malha",0,C196="Dublagem Barreira",100,C196="Pel. + Cal.",350,C196="Fel. + Pel. + Cal.",270,C196="Pel. + Spun",250,C196="Espelhamento - L: 1,45m",200,C196="Espelhamento - L: 1,65m",200,C196="Estampagem",100,C196="Fel. + Cal.",270,C196="Dublagem Juta",180,C196="Dublagem Cretone - MO (Juta)",180,C196="Dublagem Tapete",150,C196="Esp. + Pel.",200,C196="Espelhamento 2x",100)</f>
        <v>350</v>
      </c>
      <c r="S196" s="50">
        <f t="shared" si="85"/>
        <v>171.15800000000002</v>
      </c>
      <c r="T196" s="18" cm="1">
        <f t="array" ref="T196">_xlfn.IFS(C196="Calandra",0.4,C196="Felpagem",0.3,C196="Dublagem Spun",0.8,C196="Dublagem Cretone",0.8,C196="Dublagem Cretone PES",0.8,C196="Espelhamento",0.8,C196="Peletização",0.5,C196="Dublagem Spun - MO",0.8,C196="Dublagem Cretone - MO",0.8,C196="Dublagem Cretone PES - MO",0.8,C196="Espelhamento - MO",0.8,C196="Emborrachamento",1,C196="Malha",0,C196="Dublagem Barreira",1,C196="Pel. + Cal.",0.4,C196="Fel. + Pel. + Cal.",0.5,C196="Pel. + Spun",0.8,C196="Espelhamento - L: 1,45m",0.8,C196="Espelhamento - L: 1,65m",0.8,C196="Estampagem",1,C196="Fel. + Cal.",0.4,C196="Dublagem Juta",0.8,C196="Dublagem Cretone - MO (Juta)",0.8,C196="Dublagem Tapete",0.8,C196="Esp. + Pel.",0.8,C196="Espelhamento 2x",0.8)</f>
        <v>0.4</v>
      </c>
      <c r="U196" s="18">
        <v>1</v>
      </c>
      <c r="V196" s="18">
        <v>1</v>
      </c>
      <c r="W196" s="18"/>
      <c r="X196" s="18">
        <v>39.67</v>
      </c>
      <c r="Y196" s="18">
        <v>38.51</v>
      </c>
      <c r="Z196" s="18">
        <v>116.78</v>
      </c>
      <c r="AA196" s="18"/>
    </row>
    <row r="197" spans="1:27" ht="14.25" customHeight="1" x14ac:dyDescent="0.35">
      <c r="A197" s="18"/>
      <c r="B197" s="43" t="s">
        <v>347</v>
      </c>
      <c r="C197" s="32" t="s">
        <v>142</v>
      </c>
      <c r="D197" s="32"/>
      <c r="E197" s="33">
        <v>1</v>
      </c>
      <c r="F197" s="25">
        <v>0.9</v>
      </c>
      <c r="G197" s="25">
        <v>0.9</v>
      </c>
      <c r="H197" s="26" t="s">
        <v>243</v>
      </c>
      <c r="I197" s="27">
        <f t="shared" si="86"/>
        <v>0.9</v>
      </c>
      <c r="J197" s="28">
        <v>46036</v>
      </c>
      <c r="K197" s="36"/>
      <c r="L197" s="30">
        <f t="shared" si="82"/>
        <v>0.9</v>
      </c>
      <c r="M197" s="30">
        <f>IF(B197="Texion Textil",0,IF(C197="Malha",'Custos insumos'!$B$24,IF(C197="Dublagem Cretone",'Custos insumos'!$D$7,IF(C197="Dublagem Spun",'Custos insumos'!$D$4,IF(C197="Espelhamento",'Custos insumos'!$B$11,IF(C197="Espelhamento 2x",2*'Custos insumos'!$B$11,IF(C197="Esp. + Pel.",'Custos insumos'!$B$11,IF(C197="Pel. + Spun",'Custos insumos'!$D$4,IF(C197="Dublagem Cretone PES",'Custos insumos'!$D$7,IF(C197="Dublagem Barreira",'Custos insumos'!$D$11,IF(C197="Dublagem - MO + Filme",'Custos insumos'!$D$4,IF(C197="Dublagem Cretone HM50",'Custos insumos'!$F$9,IF(C197="Dublagem Cretone HM70",'Custos insumos'!$F$10,)))))))))))))</f>
        <v>0</v>
      </c>
      <c r="N197" s="30">
        <f>IF(B197="Texion Textil",0,IF(B197="Três Elos",0,IF(C197="Malha",0,IF(C197="Dublagem Cretone",'Custos insumos'!$D$23,IF(C197="Dublagem Spun",'Custos insumos'!$D$16,IF(C197="Espelhamento",0,IF(C197="Espelhamento 2x",0,IF(C197="Esp. + Pel.",0,IF(C197="Pel. + Spun",'Custos insumos'!$D$16,IF(C197="Dublagem Cretone PES",'Custos insumos'!$F$25,IF(C197="Dublagem Barreira",'Custos insumos'!$D$22,)))))))))))</f>
        <v>0</v>
      </c>
      <c r="O197" s="18"/>
      <c r="P197" s="53">
        <f t="shared" si="83"/>
        <v>0.45664126984126979</v>
      </c>
      <c r="Q197" s="50">
        <f t="shared" si="84"/>
        <v>315</v>
      </c>
      <c r="R197" s="50" cm="1">
        <f t="array" ref="R197">_xlfn.IFS(C197="Calandra",(350),C197="Peletização",(421),C197="Dublagem Spun",(250),C197="Dublagem Cretone PES",(180),C197="Felpagem",(270/E197),C197="Emborrachamento",(200),C197="Espelhamento",(250),C197="Malha",(1),C197="Dublagem Cretone",(180),C197="Malha",(1),C197="Dublagem Spun - MO",250,C197="Dublagem Cretone - MO",180,C197="Dublagem Cretone PES - MO",180,C197="Espelhamento - MO",250,C197="Emborrachamento",100,C197="Malha",0,C197="Dublagem Barreira",100,C197="Pel. + Cal.",350,C197="Fel. + Pel. + Cal.",270,C197="Pel. + Spun",250,C197="Espelhamento - L: 1,45m",200,C197="Espelhamento - L: 1,65m",200,C197="Estampagem",100,C197="Fel. + Cal.",270,C197="Dublagem Juta",180,C197="Dublagem Cretone - MO (Juta)",180,C197="Dublagem Tapete",150,C197="Esp. + Pel.",200,C197="Espelhamento 2x",100)</f>
        <v>350</v>
      </c>
      <c r="S197" s="50">
        <f t="shared" si="85"/>
        <v>171.15800000000002</v>
      </c>
      <c r="T197" s="18" cm="1">
        <f t="array" ref="T197">_xlfn.IFS(C197="Calandra",0.4,C197="Felpagem",0.3,C197="Dublagem Spun",0.8,C197="Dublagem Cretone",0.8,C197="Dublagem Cretone PES",0.8,C197="Espelhamento",0.8,C197="Peletização",0.5,C197="Dublagem Spun - MO",0.8,C197="Dublagem Cretone - MO",0.8,C197="Dublagem Cretone PES - MO",0.8,C197="Espelhamento - MO",0.8,C197="Emborrachamento",1,C197="Malha",0,C197="Dublagem Barreira",1,C197="Pel. + Cal.",0.4,C197="Fel. + Pel. + Cal.",0.5,C197="Pel. + Spun",0.8,C197="Espelhamento - L: 1,45m",0.8,C197="Espelhamento - L: 1,65m",0.8,C197="Estampagem",1,C197="Fel. + Cal.",0.4,C197="Dublagem Juta",0.8,C197="Dublagem Cretone - MO (Juta)",0.8,C197="Dublagem Tapete",0.8,C197="Esp. + Pel.",0.8,C197="Espelhamento 2x",0.8)</f>
        <v>0.4</v>
      </c>
      <c r="U197" s="18">
        <v>1</v>
      </c>
      <c r="V197" s="18">
        <v>1</v>
      </c>
      <c r="W197" s="18"/>
      <c r="X197" s="18">
        <v>39.67</v>
      </c>
      <c r="Y197" s="18">
        <v>38.51</v>
      </c>
      <c r="Z197" s="18">
        <v>116.78</v>
      </c>
      <c r="AA197" s="18"/>
    </row>
    <row r="198" spans="1:27" ht="14.25" customHeight="1" x14ac:dyDescent="0.35">
      <c r="A198" s="18"/>
      <c r="B198" s="43" t="s">
        <v>347</v>
      </c>
      <c r="C198" s="32" t="s">
        <v>144</v>
      </c>
      <c r="D198" s="32"/>
      <c r="E198" s="33">
        <v>1</v>
      </c>
      <c r="F198" s="25">
        <v>0.55000000000000004</v>
      </c>
      <c r="G198" s="25">
        <v>0.6</v>
      </c>
      <c r="H198" s="26" t="s">
        <v>243</v>
      </c>
      <c r="I198" s="27">
        <f t="shared" si="86"/>
        <v>0.6</v>
      </c>
      <c r="J198" s="28">
        <v>46036</v>
      </c>
      <c r="K198" s="36"/>
      <c r="L198" s="30">
        <f t="shared" si="82"/>
        <v>0.6</v>
      </c>
      <c r="M198" s="30">
        <f>IF(B198="Texion Textil",0,IF(C198="Malha",'Custos insumos'!$B$24,IF(C198="Dublagem Cretone",'Custos insumos'!$D$7,IF(C198="Dublagem Spun",'Custos insumos'!$D$4,IF(C198="Espelhamento",'Custos insumos'!$B$11,IF(C198="Espelhamento 2x",2*'Custos insumos'!$B$11,IF(C198="Esp. + Pel.",'Custos insumos'!$B$11,IF(C198="Pel. + Spun",'Custos insumos'!$D$4,IF(C198="Dublagem Cretone PES",'Custos insumos'!$D$7,IF(C198="Dublagem Barreira",'Custos insumos'!$D$11,IF(C198="Dublagem - MO + Filme",'Custos insumos'!$D$4,IF(C198="Dublagem Cretone HM50",'Custos insumos'!$F$9,IF(C198="Dublagem Cretone HM70",'Custos insumos'!$F$10,)))))))))))))</f>
        <v>0</v>
      </c>
      <c r="N198" s="30">
        <f>IF(B198="Texion Textil",0,IF(B198="Três Elos",0,IF(C198="Malha",0,IF(C198="Dublagem Cretone",'Custos insumos'!$D$23,IF(C198="Dublagem Spun",'Custos insumos'!$D$16,IF(C198="Espelhamento",0,IF(C198="Espelhamento 2x",0,IF(C198="Esp. + Pel.",0,IF(C198="Pel. + Spun",'Custos insumos'!$D$16,IF(C198="Dublagem Cretone PES",'Custos insumos'!$F$25,IF(C198="Dublagem Barreira",'Custos insumos'!$D$22,)))))))))))</f>
        <v>0</v>
      </c>
      <c r="O198" s="18"/>
      <c r="P198" s="53">
        <f t="shared" si="83"/>
        <v>0.30671021377672208</v>
      </c>
      <c r="Q198" s="50">
        <f t="shared" si="84"/>
        <v>252.6</v>
      </c>
      <c r="R198" s="50" cm="1">
        <f t="array" ref="R198">_xlfn.IFS(C198="Calandra",(350),C198="Peletização",(421),C198="Dublagem Spun",(250),C198="Dublagem Cretone PES",(180),C198="Felpagem",(270/E198),C198="Emborrachamento",(200),C198="Espelhamento",(250),C198="Malha",(1),C198="Dublagem Cretone",(180),C198="Malha",(1),C198="Dublagem Spun - MO",250,C198="Dublagem Cretone - MO",180,C198="Dublagem Cretone PES - MO",180,C198="Espelhamento - MO",250,C198="Emborrachamento",100,C198="Malha",0,C198="Dublagem Barreira",100,C198="Pel. + Cal.",350,C198="Fel. + Pel. + Cal.",270,C198="Pel. + Spun",250,C198="Espelhamento - L: 1,45m",200,C198="Espelhamento - L: 1,65m",200,C198="Estampagem",100,C198="Fel. + Cal.",270,C198="Dublagem Juta",180,C198="Dublagem Cretone - MO (Juta)",180,C198="Dublagem Tapete",150,C198="Esp. + Pel.",200,C198="Espelhamento 2x",100)</f>
        <v>421</v>
      </c>
      <c r="S198" s="50">
        <f t="shared" si="85"/>
        <v>175.125</v>
      </c>
      <c r="T198" s="18" cm="1">
        <f t="array" ref="T198">_xlfn.IFS(C198="Calandra",0.4,C198="Felpagem",0.3,C198="Dublagem Spun",0.8,C198="Dublagem Cretone",0.8,C198="Dublagem Cretone PES",0.8,C198="Espelhamento",0.8,C198="Peletização",0.5,C198="Dublagem Spun - MO",0.8,C198="Dublagem Cretone - MO",0.8,C198="Dublagem Cretone PES - MO",0.8,C198="Espelhamento - MO",0.8,C198="Emborrachamento",1,C198="Malha",0,C198="Dublagem Barreira",1,C198="Pel. + Cal.",0.4,C198="Fel. + Pel. + Cal.",0.5,C198="Pel. + Spun",0.8,C198="Espelhamento - L: 1,45m",0.8,C198="Espelhamento - L: 1,65m",0.8,C198="Estampagem",1,C198="Fel. + Cal.",0.4,C198="Dublagem Juta",0.8,C198="Dublagem Cretone - MO (Juta)",0.8,C198="Dublagem Tapete",0.8,C198="Esp. + Pel.",0.8,C198="Espelhamento 2x",0.8)</f>
        <v>0.5</v>
      </c>
      <c r="U198" s="18">
        <v>1</v>
      </c>
      <c r="V198" s="18">
        <v>1</v>
      </c>
      <c r="W198" s="18"/>
      <c r="X198" s="18">
        <v>39.67</v>
      </c>
      <c r="Y198" s="18">
        <v>38.51</v>
      </c>
      <c r="Z198" s="18">
        <v>116.78</v>
      </c>
      <c r="AA198" s="18"/>
    </row>
    <row r="199" spans="1:27" ht="14.25" customHeight="1" x14ac:dyDescent="0.35">
      <c r="A199" s="18"/>
      <c r="B199" s="43"/>
      <c r="C199" s="32" t="s">
        <v>254</v>
      </c>
      <c r="D199" s="32"/>
      <c r="E199" s="33">
        <v>1</v>
      </c>
      <c r="F199" s="25">
        <v>0.45</v>
      </c>
      <c r="G199" s="25">
        <v>0.7</v>
      </c>
      <c r="H199" s="26" t="s">
        <v>243</v>
      </c>
      <c r="I199" s="27">
        <f t="shared" si="86"/>
        <v>0.7</v>
      </c>
      <c r="J199" s="28">
        <v>46036</v>
      </c>
      <c r="K199" s="36"/>
      <c r="L199" s="30">
        <f t="shared" si="82"/>
        <v>0.7</v>
      </c>
      <c r="M199" s="30">
        <f>IF(B199="Texion Textil",0,IF(C199="Malha",'Custos insumos'!$B$24,IF(C199="Dublagem Cretone",'Custos insumos'!$D$7,IF(C199="Dublagem Spun",'Custos insumos'!$D$4,IF(C199="Espelhamento",'Custos insumos'!$B$11,IF(C199="Espelhamento 2x",2*'Custos insumos'!$B$11,IF(C199="Esp. + Pel.",'Custos insumos'!$B$11,IF(C199="Pel. + Spun",'Custos insumos'!$D$4,IF(C199="Dublagem Cretone PES",'Custos insumos'!$D$7,IF(C199="Dublagem Barreira",'Custos insumos'!$D$11,IF(C199="Dublagem - MO + Filme",'Custos insumos'!$D$4,IF(C199="Dublagem Cretone HM50",'Custos insumos'!$F$9,IF(C199="Dublagem Cretone HM70",'Custos insumos'!$F$10,)))))))))))))</f>
        <v>0</v>
      </c>
      <c r="N199" s="30">
        <f>IF(B199="Texion Textil",0,IF(B199="Três Elos",0,IF(C199="Malha",0,IF(C199="Dublagem Cretone",'Custos insumos'!$D$23,IF(C199="Dublagem Spun",'Custos insumos'!$D$16,IF(C199="Espelhamento",0,IF(C199="Espelhamento 2x",0,IF(C199="Esp. + Pel.",0,IF(C199="Pel. + Spun",'Custos insumos'!$D$16,IF(C199="Dublagem Cretone PES",'Custos insumos'!$F$25,IF(C199="Dublagem Barreira",'Custos insumos'!$D$22,)))))))))))</f>
        <v>0</v>
      </c>
      <c r="O199" s="50">
        <f t="shared" ref="O199:O203" si="87">4*44*Q199</f>
        <v>33264</v>
      </c>
      <c r="P199" s="53">
        <f t="shared" si="83"/>
        <v>0.11539153439153438</v>
      </c>
      <c r="Q199" s="50">
        <f t="shared" si="84"/>
        <v>189</v>
      </c>
      <c r="R199" s="50" cm="1">
        <f t="array" ref="R199">_xlfn.IFS(C199="Calandra",(350),C199="Peletização",(421),C199="Dublagem Spun",(250),C199="Dublagem Cretone PES",(180),C199="Felpagem",(270/E199),C199="Emborrachamento",(200),C199="Espelhamento",(250),C199="Malha",(1),C199="Dublagem Cretone",(180),C199="Malha",(1),C199="Dublagem Spun - MO",250,C199="Dublagem Cretone - MO",180,C199="Dublagem Cretone PES - MO",180,C199="Espelhamento - MO",250,C199="Emborrachamento",100,C199="Malha",0,C199="Dublagem Barreira",100,C199="Pel. + Cal.",350,C199="Fel. + Pel. + Cal.",270,C199="Pel. + Spun",250,C199="Espelhamento - L: 1,45m",200,C199="Espelhamento - L: 1,65m",200,C199="Estampagem",100,C199="Fel. + Cal.",270,C199="Dublagem Juta",180,C199="Dublagem Cretone - MO (Juta)",180,C199="Dublagem Tapete",150,C199="Esp. + Pel.",200,C199="Espelhamento 2x",100)</f>
        <v>270</v>
      </c>
      <c r="S199" s="50">
        <f t="shared" si="85"/>
        <v>167.191</v>
      </c>
      <c r="T199" s="18" cm="1">
        <f t="array" ref="T199">_xlfn.IFS(C199="Calandra",0.4,C199="Felpagem",0.3,C199="Dublagem Spun",0.8,C199="Dublagem Cretone",0.8,C199="Dublagem Cretone PES",0.8,C199="Espelhamento",0.8,C199="Peletização",0.5,C199="Dublagem Spun - MO",0.8,C199="Dublagem Cretone - MO",0.8,C199="Dublagem Cretone PES - MO",0.8,C199="Espelhamento - MO",0.8,C199="Emborrachamento",1,C199="Malha",0,C199="Dublagem Barreira",1,C199="Pel. + Cal.",0.4,C199="Fel. + Pel. + Cal.",0.5,C199="Pel. + Spun",0.8,C199="Espelhamento - L: 1,45m",0.8,C199="Espelhamento - L: 1,65m",0.8,C199="Estampagem",1,C199="Fel. + Cal.",0.4,C199="Dublagem Juta",0.8,C199="Dublagem Cretone - MO (Juta)",0.8,C199="Dublagem Tapete",0.8,C199="Esp. + Pel.",0.8,C199="Espelhamento 2x",0.8)</f>
        <v>0.3</v>
      </c>
      <c r="U199" s="18">
        <v>1</v>
      </c>
      <c r="V199" s="18">
        <v>1</v>
      </c>
      <c r="W199" s="18"/>
      <c r="X199" s="18">
        <v>39.67</v>
      </c>
      <c r="Y199" s="18">
        <v>38.51</v>
      </c>
      <c r="Z199" s="18">
        <v>116.78</v>
      </c>
      <c r="AA199" s="18"/>
    </row>
    <row r="200" spans="1:27" ht="14.25" customHeight="1" x14ac:dyDescent="0.35">
      <c r="A200" s="18"/>
      <c r="B200" s="43"/>
      <c r="C200" s="32" t="s">
        <v>144</v>
      </c>
      <c r="D200" s="32"/>
      <c r="E200" s="33">
        <v>1</v>
      </c>
      <c r="F200" s="25">
        <v>0.65</v>
      </c>
      <c r="G200" s="25">
        <v>0.7</v>
      </c>
      <c r="H200" s="26" t="s">
        <v>243</v>
      </c>
      <c r="I200" s="27">
        <f t="shared" si="86"/>
        <v>0.7</v>
      </c>
      <c r="J200" s="28">
        <v>46036</v>
      </c>
      <c r="K200" s="36"/>
      <c r="L200" s="30">
        <f t="shared" si="82"/>
        <v>0.7</v>
      </c>
      <c r="M200" s="30">
        <f>IF(B200="Texion Textil",0,IF(C200="Malha",'Custos insumos'!$B$24,IF(C200="Dublagem Cretone",'Custos insumos'!$D$7,IF(C200="Dublagem Spun",'Custos insumos'!$D$4,IF(C200="Espelhamento",'Custos insumos'!$B$11,IF(C200="Espelhamento 2x",2*'Custos insumos'!$B$11,IF(C200="Esp. + Pel.",'Custos insumos'!$B$11,IF(C200="Pel. + Spun",'Custos insumos'!$D$4,IF(C200="Dublagem Cretone PES",'Custos insumos'!$D$7,IF(C200="Dublagem Barreira",'Custos insumos'!$D$11,IF(C200="Dublagem - MO + Filme",'Custos insumos'!$D$4,IF(C200="Dublagem Cretone HM50",'Custos insumos'!$F$9,IF(C200="Dublagem Cretone HM70",'Custos insumos'!$F$10,)))))))))))))</f>
        <v>0</v>
      </c>
      <c r="N200" s="30">
        <f>IF(B200="Texion Textil",0,IF(B200="Três Elos",0,IF(C200="Malha",0,IF(C200="Dublagem Cretone",'Custos insumos'!$D$23,IF(C200="Dublagem Spun",'Custos insumos'!$D$16,IF(C200="Espelhamento",0,IF(C200="Espelhamento 2x",0,IF(C200="Esp. + Pel.",0,IF(C200="Pel. + Spun",'Custos insumos'!$D$16,IF(C200="Dublagem Cretone PES",'Custos insumos'!$F$25,IF(C200="Dublagem Barreira",'Custos insumos'!$D$22,)))))))))))</f>
        <v>0</v>
      </c>
      <c r="O200" s="50">
        <f t="shared" si="87"/>
        <v>51867.199999999997</v>
      </c>
      <c r="P200" s="53">
        <f t="shared" si="83"/>
        <v>0.40575161180861891</v>
      </c>
      <c r="Q200" s="50">
        <f t="shared" si="84"/>
        <v>294.7</v>
      </c>
      <c r="R200" s="50" cm="1">
        <f t="array" ref="R200">_xlfn.IFS(C200="Calandra",(350),C200="Peletização",(421),C200="Dublagem Spun",(250),C200="Dublagem Cretone PES",(180),C200="Felpagem",(270/E200),C200="Emborrachamento",(200),C200="Espelhamento",(250),C200="Malha",(1),C200="Dublagem Cretone",(180),C200="Malha",(1),C200="Dublagem Spun - MO",250,C200="Dublagem Cretone - MO",180,C200="Dublagem Cretone PES - MO",180,C200="Espelhamento - MO",250,C200="Emborrachamento",100,C200="Malha",0,C200="Dublagem Barreira",100,C200="Pel. + Cal.",350,C200="Fel. + Pel. + Cal.",270,C200="Pel. + Spun",250,C200="Espelhamento - L: 1,45m",200,C200="Espelhamento - L: 1,65m",200,C200="Estampagem",100,C200="Fel. + Cal.",270,C200="Dublagem Juta",180,C200="Dublagem Cretone - MO (Juta)",180,C200="Dublagem Tapete",150,C200="Esp. + Pel.",200,C200="Espelhamento 2x",100)</f>
        <v>421</v>
      </c>
      <c r="S200" s="50">
        <f t="shared" si="85"/>
        <v>175.125</v>
      </c>
      <c r="T200" s="18" cm="1">
        <f t="array" ref="T200">_xlfn.IFS(C200="Calandra",0.4,C200="Felpagem",0.3,C200="Dublagem Spun",0.8,C200="Dublagem Cretone",0.8,C200="Dublagem Cretone PES",0.8,C200="Espelhamento",0.8,C200="Peletização",0.5,C200="Dublagem Spun - MO",0.8,C200="Dublagem Cretone - MO",0.8,C200="Dublagem Cretone PES - MO",0.8,C200="Espelhamento - MO",0.8,C200="Emborrachamento",1,C200="Malha",0,C200="Dublagem Barreira",1,C200="Pel. + Cal.",0.4,C200="Fel. + Pel. + Cal.",0.5,C200="Pel. + Spun",0.8,C200="Espelhamento - L: 1,45m",0.8,C200="Espelhamento - L: 1,65m",0.8,C200="Estampagem",1,C200="Fel. + Cal.",0.4,C200="Dublagem Juta",0.8,C200="Dublagem Cretone - MO (Juta)",0.8,C200="Dublagem Tapete",0.8,C200="Esp. + Pel.",0.8,C200="Espelhamento 2x",0.8)</f>
        <v>0.5</v>
      </c>
      <c r="U200" s="18">
        <v>1</v>
      </c>
      <c r="V200" s="18">
        <v>1</v>
      </c>
      <c r="W200" s="18"/>
      <c r="X200" s="18">
        <v>39.67</v>
      </c>
      <c r="Y200" s="18">
        <v>38.51</v>
      </c>
      <c r="Z200" s="18">
        <v>116.78</v>
      </c>
      <c r="AA200" s="18"/>
    </row>
    <row r="201" spans="1:27" ht="14.25" customHeight="1" x14ac:dyDescent="0.35">
      <c r="A201" s="18"/>
      <c r="B201" s="43"/>
      <c r="C201" s="32" t="s">
        <v>142</v>
      </c>
      <c r="D201" s="32"/>
      <c r="E201" s="33">
        <v>1</v>
      </c>
      <c r="F201" s="25">
        <v>0.65</v>
      </c>
      <c r="G201" s="25">
        <v>0.7</v>
      </c>
      <c r="H201" s="26" t="s">
        <v>243</v>
      </c>
      <c r="I201" s="27">
        <f t="shared" si="86"/>
        <v>0.7</v>
      </c>
      <c r="J201" s="28">
        <v>46036</v>
      </c>
      <c r="K201" s="36"/>
      <c r="L201" s="30">
        <f t="shared" si="82"/>
        <v>0.7</v>
      </c>
      <c r="M201" s="30">
        <f>IF(B201="Texion Textil",0,IF(C201="Malha",'Custos insumos'!$B$24,IF(C201="Dublagem Cretone",'Custos insumos'!$D$7,IF(C201="Dublagem Spun",'Custos insumos'!$D$4,IF(C201="Espelhamento",'Custos insumos'!$B$11,IF(C201="Espelhamento 2x",2*'Custos insumos'!$B$11,IF(C201="Esp. + Pel.",'Custos insumos'!$B$11,IF(C201="Pel. + Spun",'Custos insumos'!$D$4,IF(C201="Dublagem Cretone PES",'Custos insumos'!$D$7,IF(C201="Dublagem Barreira",'Custos insumos'!$D$11,IF(C201="Dublagem - MO + Filme",'Custos insumos'!$D$4,IF(C201="Dublagem Cretone HM50",'Custos insumos'!$F$9,IF(C201="Dublagem Cretone HM70",'Custos insumos'!$F$10,)))))))))))))</f>
        <v>0</v>
      </c>
      <c r="N201" s="30">
        <f>IF(B201="Texion Textil",0,IF(B201="Três Elos",0,IF(C201="Malha",0,IF(C201="Dublagem Cretone",'Custos insumos'!$D$23,IF(C201="Dublagem Spun",'Custos insumos'!$D$16,IF(C201="Espelhamento",0,IF(C201="Espelhamento 2x",0,IF(C201="Esp. + Pel.",0,IF(C201="Pel. + Spun",'Custos insumos'!$D$16,IF(C201="Dublagem Cretone PES",'Custos insumos'!$F$25,IF(C201="Dublagem Barreira",'Custos insumos'!$D$22,)))))))))))</f>
        <v>0</v>
      </c>
      <c r="O201" s="50">
        <f t="shared" si="87"/>
        <v>43119.999999999993</v>
      </c>
      <c r="P201" s="53">
        <f t="shared" si="83"/>
        <v>0.3013959183673468</v>
      </c>
      <c r="Q201" s="50">
        <f t="shared" si="84"/>
        <v>244.99999999999997</v>
      </c>
      <c r="R201" s="50" cm="1">
        <f t="array" ref="R201">_xlfn.IFS(C201="Calandra",(350),C201="Peletização",(421),C201="Dublagem Spun",(250),C201="Dublagem Cretone PES",(180),C201="Felpagem",(270/E201),C201="Emborrachamento",(200),C201="Espelhamento",(250),C201="Malha",(1),C201="Dublagem Cretone",(180),C201="Malha",(1),C201="Dublagem Spun - MO",250,C201="Dublagem Cretone - MO",180,C201="Dublagem Cretone PES - MO",180,C201="Espelhamento - MO",250,C201="Emborrachamento",100,C201="Malha",0,C201="Dublagem Barreira",100,C201="Pel. + Cal.",350,C201="Fel. + Pel. + Cal.",270,C201="Pel. + Spun",250,C201="Espelhamento - L: 1,45m",200,C201="Espelhamento - L: 1,65m",200,C201="Estampagem",100,C201="Fel. + Cal.",270,C201="Dublagem Juta",180,C201="Dublagem Cretone - MO (Juta)",180,C201="Dublagem Tapete",150,C201="Esp. + Pel.",200,C201="Espelhamento 2x",100)</f>
        <v>350</v>
      </c>
      <c r="S201" s="50">
        <f t="shared" si="85"/>
        <v>171.15800000000002</v>
      </c>
      <c r="T201" s="18" cm="1">
        <f t="array" ref="T201">_xlfn.IFS(C201="Calandra",0.4,C201="Felpagem",0.3,C201="Dublagem Spun",0.8,C201="Dublagem Cretone",0.8,C201="Dublagem Cretone PES",0.8,C201="Espelhamento",0.8,C201="Peletização",0.5,C201="Dublagem Spun - MO",0.8,C201="Dublagem Cretone - MO",0.8,C201="Dublagem Cretone PES - MO",0.8,C201="Espelhamento - MO",0.8,C201="Emborrachamento",1,C201="Malha",0,C201="Dublagem Barreira",1,C201="Pel. + Cal.",0.4,C201="Fel. + Pel. + Cal.",0.5,C201="Pel. + Spun",0.8,C201="Espelhamento - L: 1,45m",0.8,C201="Espelhamento - L: 1,65m",0.8,C201="Estampagem",1,C201="Fel. + Cal.",0.4,C201="Dublagem Juta",0.8,C201="Dublagem Cretone - MO (Juta)",0.8,C201="Dublagem Tapete",0.8,C201="Esp. + Pel.",0.8,C201="Espelhamento 2x",0.8)</f>
        <v>0.4</v>
      </c>
      <c r="U201" s="18">
        <v>1</v>
      </c>
      <c r="V201" s="18">
        <v>1</v>
      </c>
      <c r="W201" s="18"/>
      <c r="X201" s="18">
        <v>39.67</v>
      </c>
      <c r="Y201" s="18">
        <v>38.51</v>
      </c>
      <c r="Z201" s="18">
        <v>116.78</v>
      </c>
      <c r="AA201" s="18"/>
    </row>
    <row r="202" spans="1:27" ht="14.25" customHeight="1" x14ac:dyDescent="0.35">
      <c r="A202" s="18"/>
      <c r="B202" s="43"/>
      <c r="C202" s="32" t="s">
        <v>106</v>
      </c>
      <c r="D202" s="32" t="s">
        <v>239</v>
      </c>
      <c r="E202" s="33">
        <v>1</v>
      </c>
      <c r="F202" s="25">
        <v>1.1499999999999999</v>
      </c>
      <c r="G202" s="25">
        <v>1.1499999999999999</v>
      </c>
      <c r="H202" s="26" t="s">
        <v>243</v>
      </c>
      <c r="I202" s="27">
        <f t="shared" si="86"/>
        <v>1.1499999999999999</v>
      </c>
      <c r="J202" s="28">
        <v>46036</v>
      </c>
      <c r="K202" s="36" t="s">
        <v>258</v>
      </c>
      <c r="L202" s="30">
        <f t="shared" si="82"/>
        <v>9.1499710144927304E-2</v>
      </c>
      <c r="M202" s="30">
        <f>IF(B202="Texion Textil",0,IF(C202="Malha",'Custos insumos'!$B$24,IF(C202="Dublagem Cretone",'Custos insumos'!$D$7,IF(C202="Dublagem Spun",'Custos insumos'!$D$4,IF(C202="Espelhamento",'Custos insumos'!$B$11,IF(C202="Espelhamento 2x",2*'Custos insumos'!$B$11,IF(C202="Esp. + Pel.",'Custos insumos'!$B$11,IF(C202="Pel. + Spun",'Custos insumos'!$D$4,IF(C202="Dublagem Cretone PES",'Custos insumos'!$D$7,IF(C202="Dublagem Barreira",'Custos insumos'!$D$11,IF(C202="Dublagem - MO + Filme",'Custos insumos'!$D$4,IF(C202="Dublagem Cretone HM50",'Custos insumos'!$F$9,IF(C202="Dublagem Cretone HM70",'Custos insumos'!$F$10,)))))))))))))</f>
        <v>1.0585002898550726</v>
      </c>
      <c r="N202" s="30">
        <f>IF(B202="Texion Textil",0,IF(B202="Três Elos",0,IF(C202="Malha",0,IF(C202="Dublagem Cretone",'Custos insumos'!$D$23,IF(C202="Dublagem Spun",'Custos insumos'!$D$16,IF(C202="Espelhamento",0,IF(C202="Espelhamento 2x",0,IF(C202="Esp. + Pel.",0,IF(C202="Pel. + Spun",'Custos insumos'!$D$16,IF(C202="Dublagem Cretone PES",'Custos insumos'!$F$25,IF(C202="Dublagem Barreira",'Custos insumos'!$D$22,)))))))))))</f>
        <v>0</v>
      </c>
      <c r="O202" s="50">
        <f t="shared" si="87"/>
        <v>50600</v>
      </c>
      <c r="P202" s="53">
        <f t="shared" si="83"/>
        <v>-0.57096025204788925</v>
      </c>
      <c r="Q202" s="50">
        <f t="shared" si="84"/>
        <v>287.5</v>
      </c>
      <c r="R202" s="50" cm="1">
        <f t="array" ref="R202">_xlfn.IFS(C202="Calandra",(350),C202="Peletização",(421),C202="Dublagem Spun",(250),C202="Dublagem Cretone PES",(180),C202="Felpagem",(270/E202),C202="Emborrachamento",(200),C202="Espelhamento",(250),C202="Malha",(1),C202="Dublagem Cretone",(180),C202="Malha",(1),C202="Dublagem Spun - MO",250,C202="Dublagem Cretone - MO",180,C202="Dublagem Cretone PES - MO",180,C202="Espelhamento - MO",250,C202="Emborrachamento",100,C202="Malha",0,C202="Dublagem Barreira",100,C202="Pel. + Cal.",350,C202="Fel. + Pel. + Cal.",270,C202="Pel. + Spun",250,C202="Espelhamento - L: 1,45m",200,C202="Espelhamento - L: 1,65m",200,C202="Estampagem",100,C202="Fel. + Cal.",270,C202="Dublagem Juta",180,C202="Dublagem Cretone - MO (Juta)",180,C202="Dublagem Tapete",150,C202="Esp. + Pel.",200,C202="Espelhamento 2x",100)</f>
        <v>250</v>
      </c>
      <c r="S202" s="50">
        <f t="shared" si="85"/>
        <v>451.65107246376817</v>
      </c>
      <c r="T202" s="18" cm="1">
        <f t="array" ref="T202">_xlfn.IFS(C202="Calandra",0.4,C202="Felpagem",0.3,C202="Dublagem Spun",0.8,C202="Dublagem Cretone",0.8,C202="Dublagem Cretone PES",0.8,C202="Espelhamento",0.8,C202="Peletização",0.5,C202="Dublagem Spun - MO",0.8,C202="Dublagem Cretone - MO",0.8,C202="Dublagem Cretone PES - MO",0.8,C202="Espelhamento - MO",0.8,C202="Emborrachamento",1,C202="Malha",0,C202="Dublagem Barreira",1,C202="Pel. + Cal.",0.4,C202="Fel. + Pel. + Cal.",0.5,C202="Pel. + Spun",0.8,C202="Espelhamento - L: 1,45m",0.8,C202="Espelhamento - L: 1,65m",0.8,C202="Estampagem",1,C202="Fel. + Cal.",0.4,C202="Dublagem Juta",0.8,C202="Dublagem Cretone - MO (Juta)",0.8,C202="Dublagem Tapete",0.8,C202="Esp. + Pel.",0.8,C202="Espelhamento 2x",0.8)</f>
        <v>0.8</v>
      </c>
      <c r="U202" s="18">
        <v>1</v>
      </c>
      <c r="V202" s="18">
        <v>1</v>
      </c>
      <c r="W202" s="18"/>
      <c r="X202" s="18">
        <v>39.67</v>
      </c>
      <c r="Y202" s="18">
        <v>38.51</v>
      </c>
      <c r="Z202" s="18">
        <v>116.78</v>
      </c>
      <c r="AA202" s="18"/>
    </row>
    <row r="203" spans="1:27" ht="14.25" customHeight="1" x14ac:dyDescent="0.35">
      <c r="A203" s="18"/>
      <c r="B203" s="43"/>
      <c r="C203" s="32" t="s">
        <v>106</v>
      </c>
      <c r="D203" s="32" t="s">
        <v>483</v>
      </c>
      <c r="E203" s="33">
        <v>1</v>
      </c>
      <c r="F203" s="25">
        <v>2.35</v>
      </c>
      <c r="G203" s="25">
        <v>2.4500000000000002</v>
      </c>
      <c r="H203" s="26" t="s">
        <v>243</v>
      </c>
      <c r="I203" s="27">
        <f t="shared" si="86"/>
        <v>2.4500000000000002</v>
      </c>
      <c r="J203" s="28">
        <v>46036</v>
      </c>
      <c r="K203" s="36" t="s">
        <v>259</v>
      </c>
      <c r="L203" s="30">
        <f t="shared" si="82"/>
        <v>1.1276000000000004</v>
      </c>
      <c r="M203" s="30">
        <f>'Custos insumos'!L11</f>
        <v>1.3223999999999998</v>
      </c>
      <c r="N203" s="30">
        <f>IF(B203="Texion Textil",0,IF(B203="Três Elos",0,IF(C203="Malha",0,IF(C203="Dublagem Cretone",'Custos insumos'!$D$23,IF(C203="Dublagem Spun",'Custos insumos'!$D$16,IF(C203="Espelhamento",0,IF(C203="Espelhamento 2x",0,IF(C203="Esp. + Pel.",0,IF(C203="Pel. + Spun",'Custos insumos'!$D$16,IF(C203="Dublagem Cretone PES",'Custos insumos'!$F$25,IF(C203="Dublagem Barreira",'Custos insumos'!$D$22,)))))))))))</f>
        <v>0</v>
      </c>
      <c r="O203" s="50">
        <f t="shared" si="87"/>
        <v>107800</v>
      </c>
      <c r="P203" s="53">
        <f t="shared" si="83"/>
        <v>0.15489632653061228</v>
      </c>
      <c r="Q203" s="50">
        <f t="shared" si="84"/>
        <v>612.5</v>
      </c>
      <c r="R203" s="50" cm="1">
        <f t="array" ref="R203">_xlfn.IFS(C203="Calandra",(350),C203="Peletização",(421),C203="Dublagem Spun",(250),C203="Dublagem Cretone PES",(180),C203="Felpagem",(270/E203),C203="Emborrachamento",(200),C203="Espelhamento",(250),C203="Malha",(1),C203="Dublagem Cretone",(180),C203="Malha",(1),C203="Dublagem Spun - MO",250,C203="Dublagem Cretone - MO",180,C203="Dublagem Cretone PES - MO",180,C203="Espelhamento - MO",250,C203="Emborrachamento",100,C203="Malha",0,C203="Dublagem Barreira",100,C203="Pel. + Cal.",350,C203="Fel. + Pel. + Cal.",270,C203="Pel. + Spun",250,C203="Espelhamento - L: 1,45m",200,C203="Espelhamento - L: 1,65m",200,C203="Estampagem",100,C203="Fel. + Cal.",270,C203="Dublagem Juta",180,C203="Dublagem Cretone - MO (Juta)",180,C203="Dublagem Tapete",150,C203="Esp. + Pel.",200,C203="Espelhamento 2x",100)</f>
        <v>250</v>
      </c>
      <c r="S203" s="50">
        <f t="shared" si="85"/>
        <v>517.62599999999998</v>
      </c>
      <c r="T203" s="18" cm="1">
        <f t="array" ref="T203">_xlfn.IFS(C203="Calandra",0.4,C203="Felpagem",0.3,C203="Dublagem Spun",0.8,C203="Dublagem Cretone",0.8,C203="Dublagem Cretone PES",0.8,C203="Espelhamento",0.8,C203="Peletização",0.5,C203="Dublagem Spun - MO",0.8,C203="Dublagem Cretone - MO",0.8,C203="Dublagem Cretone PES - MO",0.8,C203="Espelhamento - MO",0.8,C203="Emborrachamento",1,C203="Malha",0,C203="Dublagem Barreira",1,C203="Pel. + Cal.",0.4,C203="Fel. + Pel. + Cal.",0.5,C203="Pel. + Spun",0.8,C203="Espelhamento - L: 1,45m",0.8,C203="Espelhamento - L: 1,65m",0.8,C203="Estampagem",1,C203="Fel. + Cal.",0.4,C203="Dublagem Juta",0.8,C203="Dublagem Cretone - MO (Juta)",0.8,C203="Dublagem Tapete",0.8,C203="Esp. + Pel.",0.8,C203="Espelhamento 2x",0.8)</f>
        <v>0.8</v>
      </c>
      <c r="U203" s="18">
        <v>1</v>
      </c>
      <c r="V203" s="18">
        <v>1</v>
      </c>
      <c r="W203" s="18"/>
      <c r="X203" s="18">
        <v>39.67</v>
      </c>
      <c r="Y203" s="18">
        <v>38.51</v>
      </c>
      <c r="Z203" s="18">
        <v>116.78</v>
      </c>
      <c r="AA203" s="18"/>
    </row>
    <row r="204" spans="1:27" ht="14.25" customHeight="1" x14ac:dyDescent="0.35">
      <c r="A204" s="18"/>
      <c r="B204" s="43"/>
      <c r="C204" s="32" t="s">
        <v>244</v>
      </c>
      <c r="D204" s="32" t="s">
        <v>493</v>
      </c>
      <c r="E204" s="33">
        <v>1</v>
      </c>
      <c r="F204" s="25">
        <v>4.8</v>
      </c>
      <c r="G204" s="25">
        <v>4.8</v>
      </c>
      <c r="H204" s="26" t="s">
        <v>243</v>
      </c>
      <c r="I204" s="27">
        <f t="shared" si="86"/>
        <v>4.8</v>
      </c>
      <c r="J204" s="28">
        <v>46036</v>
      </c>
      <c r="K204" s="29"/>
      <c r="L204" s="30">
        <f t="shared" si="82"/>
        <v>1.6914400000000001</v>
      </c>
      <c r="M204" s="30">
        <f>'Custos insumos'!J31</f>
        <v>3.1085599999999998</v>
      </c>
      <c r="N204" s="30"/>
      <c r="O204" s="50"/>
      <c r="P204" s="53">
        <f t="shared" si="83"/>
        <v>0.35238333333333333</v>
      </c>
      <c r="Q204" s="50">
        <f t="shared" si="84"/>
        <v>960</v>
      </c>
      <c r="R204" s="50" cm="1">
        <f t="array" ref="R204">_xlfn.IFS(C204="Calandra",(350),C204="Peletização",(421),C204="Dublagem Spun",(250),C204="Dublagem Cretone PES",(180),C204="Felpagem",(270/E204),C204="Emborrachamento",(200),C204="Espelhamento",(250),C204="Malha",(1),C204="Dublagem Cretone",(180),C204="Malha",(1),C204="Dublagem Spun - MO",250,C204="Dublagem Cretone - MO",180,C204="Dublagem Cretone PES - MO",180,C204="Espelhamento - MO",250,C204="Emborrachamento",100,C204="Malha",0,C204="Dublagem Barreira",100,C204="Pel. + Cal.",350,C204="Fel. + Pel. + Cal.",270,C204="Pel. + Spun",250,C204="Espelhamento - L: 1,45m",200,C204="Espelhamento - L: 1,65m",200,C204="Estampagem",100,C204="Fel. + Cal.",270,C204="Dublagem Juta",180,C204="Dublagem Cretone - MO (Juta)",180,C204="Dublagem Tapete",150,C204="Esp. + Pel.",200,C204="Espelhamento 2x",100)</f>
        <v>200</v>
      </c>
      <c r="S204" s="50">
        <f t="shared" si="85"/>
        <v>621.71199999999999</v>
      </c>
      <c r="T204" s="18" cm="1">
        <f t="array" ref="T204">_xlfn.IFS(C204="Calandra",0.4,C204="Felpagem",0.3,C204="Dublagem Spun",0.8,C204="Dublagem Cretone",0.8,C204="Dublagem Cretone PES",0.8,C204="Espelhamento",0.8,C204="Peletização",0.5,C204="Dublagem Spun - MO",0.8,C204="Dublagem Cretone - MO",0.8,C204="Dublagem Cretone PES - MO",0.8,C204="Espelhamento - MO",0.8,C204="Emborrachamento",1,C204="Malha",0,C204="Dublagem Barreira",1,C204="Pel. + Cal.",0.4,C204="Fel. + Pel. + Cal.",0.5,C204="Pel. + Spun",0.8,C204="Espelhamento - L: 1,45m",0.8,C204="Espelhamento - L: 1,65m",0.8,C204="Estampagem",1,C204="Fel. + Cal.",0.4,C204="Dublagem Juta",0.8,C204="Dublagem Cretone - MO (Juta)",0.8,C204="Dublagem Tapete",0.8,C204="Esp. + Pel.",0.8,C204="Espelhamento 2x",0.8)</f>
        <v>1</v>
      </c>
      <c r="U204" s="18"/>
      <c r="V204" s="18"/>
      <c r="W204" s="18"/>
      <c r="X204" s="18"/>
      <c r="Y204" s="18"/>
      <c r="Z204" s="18"/>
      <c r="AA204" s="18"/>
    </row>
    <row r="205" spans="1:27" ht="14.25" customHeight="1" x14ac:dyDescent="0.35">
      <c r="A205" s="18"/>
      <c r="B205" s="43"/>
      <c r="C205" s="32" t="s">
        <v>322</v>
      </c>
      <c r="D205" s="32" t="s">
        <v>507</v>
      </c>
      <c r="E205" s="33">
        <v>1</v>
      </c>
      <c r="F205" s="25">
        <v>5.25</v>
      </c>
      <c r="G205" s="25">
        <v>5.25</v>
      </c>
      <c r="H205" s="26" t="s">
        <v>243</v>
      </c>
      <c r="I205" s="27">
        <f t="shared" si="86"/>
        <v>5.25</v>
      </c>
      <c r="J205" s="28">
        <v>46036</v>
      </c>
      <c r="K205" s="36" t="s">
        <v>259</v>
      </c>
      <c r="L205" s="30">
        <f>G205-M205-N205</f>
        <v>1.6476000000000002</v>
      </c>
      <c r="M205" s="30">
        <f>'Custos insumos'!L11</f>
        <v>1.3223999999999998</v>
      </c>
      <c r="N205" s="30">
        <f>'Custos insumos'!D22</f>
        <v>2.2799999999999998</v>
      </c>
      <c r="O205" s="50">
        <f t="shared" ref="O205:O213" si="88">4*44*Q205</f>
        <v>92400</v>
      </c>
      <c r="P205" s="53">
        <f t="shared" si="83"/>
        <v>-5.7523809523809394E-2</v>
      </c>
      <c r="Q205" s="50">
        <f t="shared" si="84"/>
        <v>525</v>
      </c>
      <c r="R205" s="50" cm="1">
        <f t="array" ref="R205">_xlfn.IFS(C205="Calandra",(350),C205="Peletização",(421),C205="Dublagem Spun",(250),C205="Dublagem Cretone PES",(180),C205="Felpagem",(270/E205),C205="Emborrachamento",(200),C205="Espelhamento",(250),C205="Malha",(1),C205="Dublagem Cretone",(180),C205="Malha",(1),C205="Dublagem Spun - MO",250,C205="Dublagem Cretone - MO",180,C205="Dublagem Cretone PES - MO",180,C205="Espelhamento - MO",250,C205="Emborrachamento",100,C205="Malha",0,C205="Dublagem Barreira",100,C205="Pel. + Cal.",350,C205="Fel. + Pel. + Cal.",270,C205="Pel. + Spun",250,C205="Espelhamento - L: 1,45m",200,C205="Espelhamento - L: 1,65m",200,C205="Estampagem",100,C205="Fel. + Cal.",270,C205="Dublagem Juta",180,C205="Dublagem Cretone - MO (Juta)",180,C205="Dublagem Tapete",150,C205="Esp. + Pel.",200,C205="Espelhamento 2x",100)</f>
        <v>100</v>
      </c>
      <c r="S205" s="50">
        <f t="shared" si="85"/>
        <v>555.19999999999993</v>
      </c>
      <c r="T205" s="18" cm="1">
        <f t="array" ref="T205">_xlfn.IFS(C205="Calandra",0.4,C205="Felpagem",0.3,C205="Dublagem Spun",0.8,C205="Dublagem Cretone",0.8,C205="Dublagem Cretone PES",0.8,C205="Espelhamento",0.8,C205="Peletização",0.5,C205="Dublagem Spun - MO",0.8,C205="Dublagem Cretone - MO",0.8,C205="Dublagem Cretone PES - MO",0.8,C205="Espelhamento - MO",0.8,C205="Emborrachamento",1,C205="Malha",0,C205="Dublagem Barreira",1,C205="Pel. + Cal.",0.4,C205="Fel. + Pel. + Cal.",0.5,C205="Pel. + Spun",0.8,C205="Espelhamento - L: 1,45m",0.8,C205="Espelhamento - L: 1,65m",0.8,C205="Estampagem",1,C205="Fel. + Cal.",0.4,C205="Dublagem Juta",0.8,C205="Dublagem Cretone - MO (Juta)",0.8,C205="Dublagem Tapete",0.8,C205="Esp. + Pel.",0.8,C205="Espelhamento 2x",0.8)</f>
        <v>1</v>
      </c>
      <c r="U205" s="18">
        <v>1</v>
      </c>
      <c r="V205" s="18">
        <v>1</v>
      </c>
      <c r="W205" s="18"/>
      <c r="X205" s="18">
        <v>39.67</v>
      </c>
      <c r="Y205" s="18">
        <v>38.51</v>
      </c>
      <c r="Z205" s="18">
        <v>116.78</v>
      </c>
      <c r="AA205" s="18"/>
    </row>
    <row r="206" spans="1:27" ht="14.25" customHeight="1" x14ac:dyDescent="0.35">
      <c r="A206" s="18"/>
      <c r="B206" s="43"/>
      <c r="C206" s="32" t="s">
        <v>83</v>
      </c>
      <c r="D206" s="69" t="s">
        <v>477</v>
      </c>
      <c r="E206" s="70">
        <v>1</v>
      </c>
      <c r="F206" s="25">
        <v>3.05</v>
      </c>
      <c r="G206" s="25">
        <v>3.05</v>
      </c>
      <c r="H206" s="26"/>
      <c r="I206" s="27">
        <f t="shared" si="86"/>
        <v>3.05</v>
      </c>
      <c r="J206" s="28">
        <v>46036</v>
      </c>
      <c r="K206" s="36"/>
      <c r="L206" s="30">
        <f t="shared" si="82"/>
        <v>1.6579999999999999</v>
      </c>
      <c r="M206" s="30">
        <f>'Custos insumos'!N6</f>
        <v>1.3919999999999999</v>
      </c>
      <c r="N206" s="30">
        <v>0</v>
      </c>
      <c r="O206" s="50" t="e">
        <f t="shared" si="88"/>
        <v>#N/A</v>
      </c>
      <c r="P206" s="53"/>
      <c r="Q206" s="50" t="e">
        <f t="shared" si="84"/>
        <v>#N/A</v>
      </c>
      <c r="R206" s="50" t="e" cm="1">
        <f t="array" ref="R206">_xlfn.IFS(C206="Calandra",(350),C206="Peletização",(421),C206="Dublagem Spun",(250),C206="Dublagem Cretone PES",(180),C206="Felpagem",(270/E206),C206="Emborrachamento",(200),C206="Espelhamento",(250),C206="Malha",(1),C206="Dublagem Cretone",(180),C206="Malha",(1),C206="Dublagem Spun - MO",250,C206="Dublagem Cretone - MO",180,C206="Dublagem Cretone PES - MO",180,C206="Espelhamento - MO",250,C206="Emborrachamento",100,C206="Malha",0,C206="Dublagem Barreira",100,C206="Pel. + Cal.",350,C206="Fel. + Pel. + Cal.",270,C206="Pel. + Spun",250,C206="Espelhamento - L: 1,45m",200,C206="Espelhamento - L: 1,65m",200,C206="Estampagem",100,C206="Fel. + Cal.",270,C206="Dublagem Juta",180,C206="Dublagem Cretone - MO (Juta)",180,C206="Dublagem Tapete",150,C206="Esp. + Pel.",200,C206="Espelhamento 2x",100)</f>
        <v>#N/A</v>
      </c>
      <c r="S206" s="50"/>
      <c r="T206" s="18"/>
      <c r="U206" s="18"/>
      <c r="V206" s="18"/>
      <c r="W206" s="18"/>
      <c r="X206" s="18"/>
      <c r="Y206" s="18"/>
      <c r="Z206" s="18"/>
      <c r="AA206" s="18"/>
    </row>
    <row r="207" spans="1:27" ht="14.25" customHeight="1" x14ac:dyDescent="0.35">
      <c r="A207" s="18"/>
      <c r="B207" s="43"/>
      <c r="C207" s="32" t="s">
        <v>83</v>
      </c>
      <c r="D207" s="32" t="s">
        <v>484</v>
      </c>
      <c r="E207" s="33">
        <v>1</v>
      </c>
      <c r="F207" s="25">
        <v>2.15</v>
      </c>
      <c r="G207" s="25">
        <v>2.15</v>
      </c>
      <c r="H207" s="26" t="s">
        <v>243</v>
      </c>
      <c r="I207" s="27">
        <f t="shared" si="86"/>
        <v>2.15</v>
      </c>
      <c r="J207" s="28">
        <v>46036</v>
      </c>
      <c r="K207" s="36" t="s">
        <v>258</v>
      </c>
      <c r="L207" s="30">
        <f t="shared" si="82"/>
        <v>1.3939999999999999</v>
      </c>
      <c r="M207" s="30">
        <f>'Custos insumos'!$L$4</f>
        <v>0.75600000000000001</v>
      </c>
      <c r="N207" s="30">
        <v>0</v>
      </c>
      <c r="O207" s="50" t="e">
        <f t="shared" si="88"/>
        <v>#N/A</v>
      </c>
      <c r="P207" s="53" t="e">
        <f t="shared" ref="P207:P213" si="89">(Q207-S207)/Q207</f>
        <v>#N/A</v>
      </c>
      <c r="Q207" s="50" t="e">
        <f t="shared" si="84"/>
        <v>#N/A</v>
      </c>
      <c r="R207" s="50" t="e" cm="1">
        <f t="array" ref="R207">_xlfn.IFS(C207="Calandra",(350),C207="Peletização",(421),C207="Dublagem Spun",(250),C207="Dublagem Cretone PES",(180),C207="Felpagem",(270/E207),C207="Emborrachamento",(200),C207="Espelhamento",(250),C207="Malha",(1),C207="Dublagem Cretone",(180),C207="Malha",(1),C207="Dublagem Spun - MO",250,C207="Dublagem Cretone - MO",180,C207="Dublagem Cretone PES - MO",180,C207="Espelhamento - MO",250,C207="Emborrachamento",100,C207="Malha",0,C207="Dublagem Barreira",100,C207="Pel. + Cal.",350,C207="Fel. + Pel. + Cal.",270,C207="Pel. + Spun",250,C207="Espelhamento - L: 1,45m",200,C207="Espelhamento - L: 1,65m",200,C207="Estampagem",100,C207="Fel. + Cal.",270,C207="Dublagem Juta",180,C207="Dublagem Cretone - MO (Juta)",180,C207="Dublagem Tapete",150,C207="Esp. + Pel.",200,C207="Espelhamento 2x",100)</f>
        <v>#N/A</v>
      </c>
      <c r="S207" s="50" t="e">
        <f t="shared" ref="S207:S213" si="90">(T207*X207)+(U207*Y207)+(V207*Z207)+((M207+N207)*(R207))</f>
        <v>#N/A</v>
      </c>
      <c r="T207" s="18" t="e" cm="1">
        <f t="array" ref="T207">_xlfn.IFS(C207="Calandra",0.4,C207="Felpagem",0.3,C207="Dublagem Spun",0.8,C207="Dublagem Cretone",0.8,C207="Dublagem Cretone PES",0.8,C207="Espelhamento",0.8,C207="Peletização",0.5,C207="Dublagem Spun - MO",0.8,C207="Dublagem Cretone - MO",0.8,C207="Dublagem Cretone PES - MO",0.8,C207="Espelhamento - MO",0.8,C207="Emborrachamento",1,C207="Malha",0,C207="Dublagem Barreira",1,C207="Pel. + Cal.",0.4,C207="Fel. + Pel. + Cal.",0.5,C207="Pel. + Spun",0.8,C207="Espelhamento - L: 1,45m",0.8,C207="Espelhamento - L: 1,65m",0.8,C207="Estampagem",1,C207="Fel. + Cal.",0.4,C207="Dublagem Juta",0.8,C207="Dublagem Cretone - MO (Juta)",0.8,C207="Dublagem Tapete",0.8,C207="Esp. + Pel.",0.8,C207="Espelhamento 2x",0.8)</f>
        <v>#N/A</v>
      </c>
      <c r="U207" s="18">
        <v>1</v>
      </c>
      <c r="V207" s="18">
        <v>1</v>
      </c>
      <c r="W207" s="18"/>
      <c r="X207" s="18">
        <v>39.67</v>
      </c>
      <c r="Y207" s="18">
        <v>38.51</v>
      </c>
      <c r="Z207" s="18">
        <v>116.78</v>
      </c>
      <c r="AA207" s="18"/>
    </row>
    <row r="208" spans="1:27" ht="14.25" customHeight="1" x14ac:dyDescent="0.35">
      <c r="A208" s="18"/>
      <c r="B208" s="43"/>
      <c r="C208" s="32" t="s">
        <v>98</v>
      </c>
      <c r="D208" s="32" t="s">
        <v>239</v>
      </c>
      <c r="E208" s="33">
        <v>1</v>
      </c>
      <c r="F208" s="25">
        <v>1.1499999999999999</v>
      </c>
      <c r="G208" s="25">
        <v>1.1499999999999999</v>
      </c>
      <c r="H208" s="26" t="s">
        <v>243</v>
      </c>
      <c r="I208" s="27">
        <f t="shared" si="86"/>
        <v>1.1499999999999999</v>
      </c>
      <c r="J208" s="28">
        <v>46036</v>
      </c>
      <c r="K208" s="36" t="s">
        <v>258</v>
      </c>
      <c r="L208" s="30">
        <f t="shared" si="82"/>
        <v>1.1499999999999999</v>
      </c>
      <c r="M208" s="30">
        <f>IF(B208="Texion Textil",0,IF(C208="Malha",'Custos insumos'!$B$24,IF(C208="Dublagem Cretone",'Custos insumos'!$D$7,IF(C208="Dublagem Spun",'Custos insumos'!$D$4,IF(C208="Espelhamento",'Custos insumos'!$B$11,IF(C208="Espelhamento 2x",2*'Custos insumos'!$B$11,IF(C208="Esp. + Pel.",'Custos insumos'!$B$11,IF(C208="Pel. + Spun",'Custos insumos'!$D$4,IF(C208="Dublagem Cretone PES",'Custos insumos'!$D$7,IF(C208="Dublagem Barreira",'Custos insumos'!$D$11,IF(C208="Dublagem - MO + Filme",'Custos insumos'!$D$4,IF(C208="Dublagem Cretone HM50",'Custos insumos'!$F$9,IF(C208="Dublagem Cretone HM70",'Custos insumos'!$F$10,)))))))))))))</f>
        <v>0</v>
      </c>
      <c r="N208" s="30">
        <f>IF(B208="Texion Textil",0,IF(B208="Três Elos",0,IF(C208="Malha",0,IF(C208="Dublagem Cretone",'Custos insumos'!$D$23,IF(C208="Dublagem Spun",'Custos insumos'!$D$16,IF(C208="Espelhamento",0,IF(C208="Espelhamento 2x",0,IF(C208="Esp. + Pel.",0,IF(C208="Pel. + Spun",'Custos insumos'!$D$16,IF(C208="Dublagem Cretone PES",'Custos insumos'!$F$25,IF(C208="Dublagem Barreira",'Custos insumos'!$D$22,)))))))))))</f>
        <v>0</v>
      </c>
      <c r="O208" s="50" t="e">
        <f t="shared" si="88"/>
        <v>#N/A</v>
      </c>
      <c r="P208" s="53" t="e">
        <f t="shared" si="89"/>
        <v>#N/A</v>
      </c>
      <c r="Q208" s="50" t="e">
        <f t="shared" si="84"/>
        <v>#N/A</v>
      </c>
      <c r="R208" s="50" t="e" cm="1">
        <f t="array" ref="R208">_xlfn.IFS(C208="Calandra",(350),C208="Peletização",(421),C208="Dublagem Spun",(250),C208="Dublagem Cretone PES",(180),C208="Felpagem",(270/E208),C208="Emborrachamento",(200),C208="Espelhamento",(250),C208="Malha",(1),C208="Dublagem Cretone",(180),C208="Malha",(1),C208="Dublagem Spun - MO",250,C208="Dublagem Cretone - MO",180,C208="Dublagem Cretone PES - MO",180,C208="Espelhamento - MO",250,C208="Emborrachamento",100,C208="Malha",0,C208="Dublagem Barreira",100,C208="Pel. + Cal.",350,C208="Fel. + Pel. + Cal.",270,C208="Pel. + Spun",250,C208="Espelhamento - L: 1,45m",200,C208="Espelhamento - L: 1,65m",200,C208="Estampagem",100,C208="Fel. + Cal.",270,C208="Dublagem Juta",180,C208="Dublagem Cretone - MO (Juta)",180,C208="Dublagem Tapete",150,C208="Esp. + Pel.",200,C208="Espelhamento 2x",100)</f>
        <v>#N/A</v>
      </c>
      <c r="S208" s="50" t="e">
        <f t="shared" si="90"/>
        <v>#N/A</v>
      </c>
      <c r="T208" s="18" t="e" cm="1">
        <f t="array" ref="T208">_xlfn.IFS(C208="Calandra",0.4,C208="Felpagem",0.3,C208="Dublagem Spun",0.8,C208="Dublagem Cretone",0.8,C208="Dublagem Cretone PES",0.8,C208="Espelhamento",0.8,C208="Peletização",0.5,C208="Dublagem Spun - MO",0.8,C208="Dublagem Cretone - MO",0.8,C208="Dublagem Cretone PES - MO",0.8,C208="Espelhamento - MO",0.8,C208="Emborrachamento",1,C208="Malha",0,C208="Dublagem Barreira",1,C208="Pel. + Cal.",0.4,C208="Fel. + Pel. + Cal.",0.5,C208="Pel. + Spun",0.8,C208="Espelhamento - L: 1,45m",0.8,C208="Espelhamento - L: 1,65m",0.8,C208="Estampagem",1,C208="Fel. + Cal.",0.4,C208="Dublagem Juta",0.8,C208="Dublagem Cretone - MO (Juta)",0.8,C208="Dublagem Tapete",0.8,C208="Esp. + Pel.",0.8,C208="Espelhamento 2x",0.8)</f>
        <v>#N/A</v>
      </c>
      <c r="U208" s="18">
        <v>1</v>
      </c>
      <c r="V208" s="18">
        <v>1</v>
      </c>
      <c r="W208" s="18"/>
      <c r="X208" s="18">
        <v>39.67</v>
      </c>
      <c r="Y208" s="18">
        <v>38.51</v>
      </c>
      <c r="Z208" s="18">
        <v>116.78</v>
      </c>
      <c r="AA208" s="18"/>
    </row>
    <row r="209" spans="1:27" ht="14.25" customHeight="1" x14ac:dyDescent="0.35">
      <c r="A209" s="18"/>
      <c r="B209" s="43"/>
      <c r="C209" s="32" t="s">
        <v>98</v>
      </c>
      <c r="D209" s="32" t="s">
        <v>482</v>
      </c>
      <c r="E209" s="33">
        <v>1</v>
      </c>
      <c r="F209" s="25">
        <v>2.9531999999999998</v>
      </c>
      <c r="G209" s="25">
        <v>4.0999999999999996</v>
      </c>
      <c r="H209" s="26" t="s">
        <v>243</v>
      </c>
      <c r="I209" s="27">
        <f t="shared" si="86"/>
        <v>4.0999999999999996</v>
      </c>
      <c r="J209" s="28">
        <v>46036</v>
      </c>
      <c r="K209" s="36" t="s">
        <v>259</v>
      </c>
      <c r="L209" s="30">
        <f t="shared" si="82"/>
        <v>2.7067999999999994</v>
      </c>
      <c r="M209" s="30">
        <f>'Custos insumos'!N3</f>
        <v>0.6611999999999999</v>
      </c>
      <c r="N209" s="30">
        <f>'Custos insumos'!L19</f>
        <v>0.73199999999999998</v>
      </c>
      <c r="O209" s="50" t="e">
        <f t="shared" si="88"/>
        <v>#N/A</v>
      </c>
      <c r="P209" s="53" t="e">
        <f t="shared" si="89"/>
        <v>#N/A</v>
      </c>
      <c r="Q209" s="50" t="e">
        <f t="shared" si="84"/>
        <v>#N/A</v>
      </c>
      <c r="R209" s="50" t="e" cm="1">
        <f t="array" ref="R209">_xlfn.IFS(C209="Calandra",(350),C209="Peletização",(421),C209="Dublagem Spun",(250),C209="Dublagem Cretone PES",(180),C209="Felpagem",(270/E209),C209="Emborrachamento",(200),C209="Espelhamento",(250),C209="Malha",(1),C209="Dublagem Cretone",(180),C209="Malha",(1),C209="Dublagem Spun - MO",250,C209="Dublagem Cretone - MO",180,C209="Dublagem Cretone PES - MO",180,C209="Espelhamento - MO",250,C209="Emborrachamento",100,C209="Malha",0,C209="Dublagem Barreira",100,C209="Pel. + Cal.",350,C209="Fel. + Pel. + Cal.",270,C209="Pel. + Spun",250,C209="Espelhamento - L: 1,45m",200,C209="Espelhamento - L: 1,65m",200,C209="Estampagem",100,C209="Fel. + Cal.",270,C209="Dublagem Juta",180,C209="Dublagem Cretone - MO (Juta)",180,C209="Dublagem Tapete",150,C209="Esp. + Pel.",200,C209="Espelhamento 2x",100)</f>
        <v>#N/A</v>
      </c>
      <c r="S209" s="50" t="e">
        <f t="shared" si="90"/>
        <v>#N/A</v>
      </c>
      <c r="T209" s="18" t="e" cm="1">
        <f t="array" ref="T209">_xlfn.IFS(C209="Calandra",0.4,C209="Felpagem",0.3,C209="Dublagem Spun",0.8,C209="Dublagem Cretone",0.8,C209="Dublagem Cretone PES",0.8,C209="Espelhamento",0.8,C209="Peletização",0.5,C209="Dublagem Spun - MO",0.8,C209="Dublagem Cretone - MO",0.8,C209="Dublagem Cretone PES - MO",0.8,C209="Espelhamento - MO",0.8,C209="Emborrachamento",1,C209="Malha",0,C209="Dublagem Barreira",1,C209="Pel. + Cal.",0.4,C209="Fel. + Pel. + Cal.",0.5,C209="Pel. + Spun",0.8,C209="Espelhamento - L: 1,45m",0.8,C209="Espelhamento - L: 1,65m",0.8,C209="Estampagem",1,C209="Fel. + Cal.",0.4,C209="Dublagem Juta",0.8,C209="Dublagem Cretone - MO (Juta)",0.8,C209="Dublagem Tapete",0.8,C209="Esp. + Pel.",0.8,C209="Espelhamento 2x",0.8)</f>
        <v>#N/A</v>
      </c>
      <c r="U209" s="18">
        <v>1</v>
      </c>
      <c r="V209" s="18">
        <v>1</v>
      </c>
      <c r="W209" s="18"/>
      <c r="X209" s="18">
        <v>39.67</v>
      </c>
      <c r="Y209" s="18">
        <v>38.51</v>
      </c>
      <c r="Z209" s="18">
        <v>116.78</v>
      </c>
      <c r="AA209" s="18"/>
    </row>
    <row r="210" spans="1:27" ht="14.25" customHeight="1" x14ac:dyDescent="0.35">
      <c r="A210" s="18"/>
      <c r="B210" s="43"/>
      <c r="C210" s="32" t="s">
        <v>247</v>
      </c>
      <c r="D210" s="32" t="s">
        <v>239</v>
      </c>
      <c r="E210" s="33">
        <v>1</v>
      </c>
      <c r="F210" s="25">
        <v>1.1499999999999999</v>
      </c>
      <c r="G210" s="25">
        <v>1.1499999999999999</v>
      </c>
      <c r="H210" s="26" t="s">
        <v>243</v>
      </c>
      <c r="I210" s="27">
        <f t="shared" si="86"/>
        <v>1.1499999999999999</v>
      </c>
      <c r="J210" s="28">
        <v>46036</v>
      </c>
      <c r="K210" s="36" t="s">
        <v>258</v>
      </c>
      <c r="L210" s="30">
        <f>G210-M210-N210</f>
        <v>-3.1399999999999997</v>
      </c>
      <c r="M210" s="30">
        <f>IF(B210="Texion Textil",0,IF(C210="Malha",'Custos insumos'!$B$24,IF(C210="Dublagem Cretone",'Custos insumos'!$D$7,IF(C210="Dublagem Spun",'Custos insumos'!$D$4,IF(C210="Espelhamento",'Custos insumos'!$B$11,IF(C210="Espelhamento 2x",2*'Custos insumos'!$B$11,IF(C210="Esp. + Pel.",'Custos insumos'!$B$11,IF(C210="Pel. + Spun",'Custos insumos'!$D$4,IF(C210="Dublagem Cretone PES",'Custos insumos'!$D$7,IF(C210="Dublagem Barreira",'Custos insumos'!$D$11,IF(C210="Dublagem - MO + Filme",'Custos insumos'!$D$4,IF(C210="Dublagem Cretone HM50",'Custos insumos'!$F$9,IF(C210="Dublagem Cretone HM70",'Custos insumos'!$F$10,)))))))))))))</f>
        <v>1.962</v>
      </c>
      <c r="N210" s="30">
        <f>IF(B210="Texion Textil",0,IF(B210="Três Elos",0,IF(C210="Malha",0,IF(C210="Dublagem Cretone",'Custos insumos'!$D$23,IF(C210="Dublagem Spun",'Custos insumos'!$D$16,IF(C210="Espelhamento",0,IF(C210="Espelhamento 2x",0,IF(C210="Esp. + Pel.",0,IF(C210="Pel. + Spun",'Custos insumos'!$D$16,IF(C210="Dublagem Cretone PES",'Custos insumos'!$F$25,IF(C210="Dublagem Barreira",'Custos insumos'!$D$22,)))))))))))</f>
        <v>2.3279999999999998</v>
      </c>
      <c r="O210" s="50">
        <f t="shared" si="88"/>
        <v>36431.999999999993</v>
      </c>
      <c r="P210" s="53">
        <f t="shared" si="89"/>
        <v>-3.6339420289855084</v>
      </c>
      <c r="Q210" s="50">
        <f t="shared" si="84"/>
        <v>206.99999999999997</v>
      </c>
      <c r="R210" s="50" cm="1">
        <f t="array" ref="R210">_xlfn.IFS(C210="Calandra",(350),C210="Peletização",(421),C210="Dublagem Spun",(250),C210="Dublagem Cretone PES",(180),C210="Felpagem",(270/E210),C210="Emborrachamento",(200),C210="Espelhamento",(250),C210="Malha",(1),C210="Dublagem Cretone",(180),C210="Malha",(1),C210="Dublagem Spun - MO",250,C210="Dublagem Cretone - MO",180,C210="Dublagem Cretone PES - MO",180,C210="Espelhamento - MO",250,C210="Emborrachamento",100,C210="Malha",0,C210="Dublagem Barreira",100,C210="Pel. + Cal.",350,C210="Fel. + Pel. + Cal.",270,C210="Pel. + Spun",250,C210="Espelhamento - L: 1,45m",200,C210="Espelhamento - L: 1,65m",200,C210="Estampagem",100,C210="Fel. + Cal.",270,C210="Dublagem Juta",180,C210="Dublagem Cretone - MO (Juta)",180,C210="Dublagem Tapete",150,C210="Esp. + Pel.",200,C210="Espelhamento 2x",100)</f>
        <v>180</v>
      </c>
      <c r="S210" s="50">
        <f t="shared" si="90"/>
        <v>959.22600000000011</v>
      </c>
      <c r="T210" s="18" cm="1">
        <f t="array" ref="T210">_xlfn.IFS(C210="Calandra",0.4,C210="Felpagem",0.3,C210="Dublagem Spun",0.8,C210="Dublagem Cretone",0.8,C210="Dublagem Cretone PES",0.8,C210="Espelhamento",0.8,C210="Peletização",0.5,C210="Dublagem Spun - MO",0.8,C210="Dublagem Cretone - MO",0.8,C210="Dublagem Cretone PES - MO",0.8,C210="Espelhamento - MO",0.8,C210="Emborrachamento",1,C210="Malha",0,C210="Dublagem Barreira",1,C210="Pel. + Cal.",0.4,C210="Fel. + Pel. + Cal.",0.5,C210="Pel. + Spun",0.8,C210="Espelhamento - L: 1,45m",0.8,C210="Espelhamento - L: 1,65m",0.8,C210="Estampagem",1,C210="Fel. + Cal.",0.4,C210="Dublagem Juta",0.8,C210="Dublagem Cretone - MO (Juta)",0.8,C210="Dublagem Tapete",0.8,C210="Esp. + Pel.",0.8,C210="Espelhamento 2x",0.8)</f>
        <v>0.8</v>
      </c>
      <c r="U210" s="18">
        <v>1</v>
      </c>
      <c r="V210" s="18">
        <v>1</v>
      </c>
      <c r="W210" s="18"/>
      <c r="X210" s="18">
        <v>39.67</v>
      </c>
      <c r="Y210" s="18">
        <v>38.51</v>
      </c>
      <c r="Z210" s="18">
        <v>116.78</v>
      </c>
      <c r="AA210" s="18"/>
    </row>
    <row r="211" spans="1:27" ht="14.25" customHeight="1" x14ac:dyDescent="0.35">
      <c r="A211" s="18"/>
      <c r="B211" s="43"/>
      <c r="C211" s="32" t="s">
        <v>247</v>
      </c>
      <c r="D211" s="32" t="s">
        <v>492</v>
      </c>
      <c r="E211" s="33">
        <v>1</v>
      </c>
      <c r="F211" s="25">
        <v>5.9</v>
      </c>
      <c r="G211" s="25">
        <v>5.5</v>
      </c>
      <c r="H211" s="26" t="s">
        <v>243</v>
      </c>
      <c r="I211" s="27">
        <f t="shared" si="86"/>
        <v>5.5</v>
      </c>
      <c r="J211" s="28">
        <v>46036</v>
      </c>
      <c r="K211" s="36" t="s">
        <v>259</v>
      </c>
      <c r="L211" s="30">
        <f>G211-M211-N211</f>
        <v>1.7800000000000007</v>
      </c>
      <c r="M211" s="30">
        <f>'Custos insumos'!N6</f>
        <v>1.3919999999999999</v>
      </c>
      <c r="N211" s="30">
        <f>IF(B211="Texion Textil",0,IF(B211="Três Elos",0,IF(C211="Malha",0,IF(C211="Dublagem Cretone",'Custos insumos'!$D$23,IF(C211="Dublagem Spun",'Custos insumos'!$D$16,IF(C211="Espelhamento",0,IF(C211="Espelhamento 2x",0,IF(C211="Esp. + Pel.",0,IF(C211="Pel. + Spun",'Custos insumos'!$D$16,IF(C211="Dublagem Cretone PES",'Custos insumos'!$F$25,IF(C211="Dublagem Barreira",'Custos insumos'!$D$22,)))))))))))</f>
        <v>2.3279999999999998</v>
      </c>
      <c r="O211" s="50">
        <f t="shared" si="88"/>
        <v>174240</v>
      </c>
      <c r="P211" s="53">
        <f t="shared" si="89"/>
        <v>0.13472121212121216</v>
      </c>
      <c r="Q211" s="50">
        <f t="shared" si="84"/>
        <v>990</v>
      </c>
      <c r="R211" s="50" cm="1">
        <f t="array" ref="R211">_xlfn.IFS(C211="Calandra",(350),C211="Peletização",(421),C211="Dublagem Spun",(250),C211="Dublagem Cretone PES",(180),C211="Felpagem",(270/E211),C211="Emborrachamento",(200),C211="Espelhamento",(250),C211="Malha",(1),C211="Dublagem Cretone",(180),C211="Malha",(1),C211="Dublagem Spun - MO",250,C211="Dublagem Cretone - MO",180,C211="Dublagem Cretone PES - MO",180,C211="Espelhamento - MO",250,C211="Emborrachamento",100,C211="Malha",0,C211="Dublagem Barreira",100,C211="Pel. + Cal.",350,C211="Fel. + Pel. + Cal.",270,C211="Pel. + Spun",250,C211="Espelhamento - L: 1,45m",200,C211="Espelhamento - L: 1,65m",200,C211="Estampagem",100,C211="Fel. + Cal.",270,C211="Dublagem Juta",180,C211="Dublagem Cretone - MO (Juta)",180,C211="Dublagem Tapete",150,C211="Esp. + Pel.",200,C211="Espelhamento 2x",100)</f>
        <v>180</v>
      </c>
      <c r="S211" s="50">
        <f t="shared" si="90"/>
        <v>856.62599999999998</v>
      </c>
      <c r="T211" s="18" cm="1">
        <f t="array" ref="T211">_xlfn.IFS(C211="Calandra",0.4,C211="Felpagem",0.3,C211="Dublagem Spun",0.8,C211="Dublagem Cretone",0.8,C211="Dublagem Cretone PES",0.8,C211="Espelhamento",0.8,C211="Peletização",0.5,C211="Dublagem Spun - MO",0.8,C211="Dublagem Cretone - MO",0.8,C211="Dublagem Cretone PES - MO",0.8,C211="Espelhamento - MO",0.8,C211="Emborrachamento",1,C211="Malha",0,C211="Dublagem Barreira",1,C211="Pel. + Cal.",0.4,C211="Fel. + Pel. + Cal.",0.5,C211="Pel. + Spun",0.8,C211="Espelhamento - L: 1,45m",0.8,C211="Espelhamento - L: 1,65m",0.8,C211="Estampagem",1,C211="Fel. + Cal.",0.4,C211="Dublagem Juta",0.8,C211="Dublagem Cretone - MO (Juta)",0.8,C211="Dublagem Tapete",0.8,C211="Esp. + Pel.",0.8,C211="Espelhamento 2x",0.8)</f>
        <v>0.8</v>
      </c>
      <c r="U211" s="18">
        <v>1</v>
      </c>
      <c r="V211" s="18">
        <v>1</v>
      </c>
      <c r="W211" s="18"/>
      <c r="X211" s="18">
        <v>39.67</v>
      </c>
      <c r="Y211" s="18">
        <v>38.51</v>
      </c>
      <c r="Z211" s="18">
        <v>116.78</v>
      </c>
      <c r="AA211" s="18"/>
    </row>
    <row r="212" spans="1:27" ht="14.25" customHeight="1" x14ac:dyDescent="0.35">
      <c r="A212" s="18"/>
      <c r="B212" s="43"/>
      <c r="C212" s="32" t="s">
        <v>261</v>
      </c>
      <c r="D212" s="32" t="s">
        <v>239</v>
      </c>
      <c r="E212" s="33">
        <v>1</v>
      </c>
      <c r="F212" s="25">
        <v>1.1499999999999999</v>
      </c>
      <c r="G212" s="25">
        <v>1.1499999999999999</v>
      </c>
      <c r="H212" s="26" t="s">
        <v>243</v>
      </c>
      <c r="I212" s="27">
        <f t="shared" si="86"/>
        <v>1.1499999999999999</v>
      </c>
      <c r="J212" s="28">
        <v>46036</v>
      </c>
      <c r="K212" s="36" t="s">
        <v>258</v>
      </c>
      <c r="L212" s="30">
        <f>G212-M212-N212</f>
        <v>1.1499999999999999</v>
      </c>
      <c r="M212" s="30">
        <f>IF(B212="Texion Textil",0,IF(C212="Malha",'Custos insumos'!$B$24,IF(C212="Dublagem Cretone",'Custos insumos'!$D$7,IF(C212="Dublagem Spun",'Custos insumos'!$D$4,IF(C212="Espelhamento",'Custos insumos'!$B$11,IF(C212="Espelhamento 2x",2*'Custos insumos'!$B$11,IF(C212="Esp. + Pel.",'Custos insumos'!$B$11,IF(C212="Pel. + Spun",'Custos insumos'!$D$4,IF(C212="Dublagem Cretone PES",'Custos insumos'!$D$7,IF(C212="Dublagem Barreira",'Custos insumos'!$D$11,IF(C212="Dublagem - MO + Filme",'Custos insumos'!$D$4,IF(C212="Dublagem Cretone HM50",'Custos insumos'!$F$9,IF(C212="Dublagem Cretone HM70",'Custos insumos'!$F$10,)))))))))))))</f>
        <v>0</v>
      </c>
      <c r="N212" s="30">
        <f>IF(B212="Texion Textil",0,IF(B212="Três Elos",0,IF(C212="Malha",0,IF(C212="Dublagem Cretone",'Custos insumos'!$D$23,IF(C212="Dublagem Spun",'Custos insumos'!$D$16,IF(C212="Espelhamento",0,IF(C212="Espelhamento 2x",0,IF(C212="Esp. + Pel.",0,IF(C212="Pel. + Spun",'Custos insumos'!$D$16,IF(C212="Dublagem Cretone PES",'Custos insumos'!$F$25,IF(C212="Dublagem Barreira",'Custos insumos'!$D$22,)))))))))))</f>
        <v>0</v>
      </c>
      <c r="O212" s="50">
        <f t="shared" si="88"/>
        <v>36431.999999999993</v>
      </c>
      <c r="P212" s="53">
        <f t="shared" si="89"/>
        <v>9.6492753623188238E-2</v>
      </c>
      <c r="Q212" s="50">
        <f t="shared" si="84"/>
        <v>206.99999999999997</v>
      </c>
      <c r="R212" s="50" cm="1">
        <f t="array" ref="R212">_xlfn.IFS(C212="Calandra",(350),C212="Peletização",(421),C212="Dublagem Spun",(250),C212="Dublagem Cretone PES",(180),C212="Felpagem",(270/E212),C212="Emborrachamento",(200),C212="Espelhamento",(250),C212="Malha",(1),C212="Dublagem Cretone",(180),C212="Malha",(1),C212="Dublagem Spun - MO",250,C212="Dublagem Cretone - MO",180,C212="Dublagem Cretone PES - MO",180,C212="Espelhamento - MO",250,C212="Emborrachamento",100,C212="Malha",0,C212="Dublagem Barreira",100,C212="Pel. + Cal.",350,C212="Fel. + Pel. + Cal.",270,C212="Pel. + Spun",250,C212="Espelhamento - L: 1,45m",200,C212="Espelhamento - L: 1,65m",200,C212="Estampagem",100,C212="Fel. + Cal.",270,C212="Dublagem Juta",180,C212="Dublagem Cretone - MO (Juta)",180,C212="Dublagem Tapete",150,C212="Esp. + Pel.",200,C212="Espelhamento 2x",100)</f>
        <v>180</v>
      </c>
      <c r="S212" s="50">
        <f t="shared" si="90"/>
        <v>187.02600000000001</v>
      </c>
      <c r="T212" s="18" cm="1">
        <f t="array" ref="T212">_xlfn.IFS(C212="Calandra",0.4,C212="Felpagem",0.3,C212="Dublagem Spun",0.8,C212="Dublagem Cretone",0.8,C212="Dublagem Cretone PES",0.8,C212="Espelhamento",0.8,C212="Peletização",0.5,C212="Dublagem Spun - MO",0.8,C212="Dublagem Cretone - MO",0.8,C212="Dublagem Cretone PES - MO",0.8,C212="Espelhamento - MO",0.8,C212="Emborrachamento",1,C212="Malha",0,C212="Dublagem Barreira",1,C212="Pel. + Cal.",0.4,C212="Fel. + Pel. + Cal.",0.5,C212="Pel. + Spun",0.8,C212="Espelhamento - L: 1,45m",0.8,C212="Espelhamento - L: 1,65m",0.8,C212="Estampagem",1,C212="Fel. + Cal.",0.4,C212="Dublagem Juta",0.8,C212="Dublagem Cretone - MO (Juta)",0.8,C212="Dublagem Tapete",0.8,C212="Esp. + Pel.",0.8,C212="Espelhamento 2x",0.8)</f>
        <v>0.8</v>
      </c>
      <c r="U212" s="18">
        <v>1</v>
      </c>
      <c r="V212" s="18">
        <v>1</v>
      </c>
      <c r="W212" s="18"/>
      <c r="X212" s="18">
        <v>39.67</v>
      </c>
      <c r="Y212" s="18">
        <v>38.51</v>
      </c>
      <c r="Z212" s="18">
        <v>116.78</v>
      </c>
      <c r="AA212" s="18"/>
    </row>
    <row r="213" spans="1:27" ht="14.25" customHeight="1" thickBot="1" x14ac:dyDescent="0.4">
      <c r="A213" s="18"/>
      <c r="B213" s="44"/>
      <c r="C213" s="45" t="s">
        <v>251</v>
      </c>
      <c r="D213" s="45" t="s">
        <v>489</v>
      </c>
      <c r="E213" s="46">
        <v>1</v>
      </c>
      <c r="F213" s="25">
        <v>5.9</v>
      </c>
      <c r="G213" s="25">
        <v>5.9</v>
      </c>
      <c r="H213" s="48" t="s">
        <v>243</v>
      </c>
      <c r="I213" s="47">
        <f t="shared" si="86"/>
        <v>5.9</v>
      </c>
      <c r="J213" s="28">
        <v>46036</v>
      </c>
      <c r="K213" s="49" t="s">
        <v>259</v>
      </c>
      <c r="L213" s="30">
        <f>G213-M213-N213</f>
        <v>1.6100000000000008</v>
      </c>
      <c r="M213" s="30">
        <f>IF(B213="Texion Textil",0,IF(C213="Malha",'Custos insumos'!$B$24,IF(C213="Dublagem Cretone",'Custos insumos'!$D$7,IF(C213="Dublagem Spun",'Custos insumos'!$D$4,IF(C213="Espelhamento",'Custos insumos'!$B$11,IF(C213="Espelhamento 2x",2*'Custos insumos'!$B$11,IF(C213="Esp. + Pel.",'Custos insumos'!$B$11,IF(C213="Pel. + Spun",'Custos insumos'!$D$4,IF(C213="Dublagem Cretone PES",'Custos insumos'!$D$7,IF(C213="Dublagem Barreira",'Custos insumos'!$D$11,IF(C213="Dublagem - MO + Filme",'Custos insumos'!$D$4,IF(C213="Dublagem Cretone HM50",'Custos insumos'!$F$9,IF(C213="Dublagem Cretone HM70",'Custos insumos'!$F$10,)))))))))))))</f>
        <v>1.962</v>
      </c>
      <c r="N213" s="30">
        <f>IF(B213="Texion Textil",0,IF(B213="Três Elos",0,IF(C213="Malha",0,IF(C213="Dublagem Cretone",'Custos insumos'!$D$23,IF(C213="Dublagem Spun",'Custos insumos'!$D$16,IF(C213="Espelhamento",0,IF(C213="Espelhamento 2x",0,IF(C213="Esp. + Pel.",0,IF(C213="Pel. + Spun",'Custos insumos'!$D$16,IF(C213="Dublagem Cretone PES",'Custos insumos'!$F$25,IF(C213="Dublagem Barreira",'Custos insumos'!$D$22,)))))))))))</f>
        <v>2.3279999999999998</v>
      </c>
      <c r="O213" s="50">
        <f t="shared" si="88"/>
        <v>186912</v>
      </c>
      <c r="P213" s="53">
        <f t="shared" si="89"/>
        <v>9.6774011299434928E-2</v>
      </c>
      <c r="Q213" s="50">
        <f t="shared" si="84"/>
        <v>1062</v>
      </c>
      <c r="R213" s="50" cm="1">
        <f t="array" ref="R213">_xlfn.IFS(C213="Calandra",(350),C213="Peletização",(421),C213="Dublagem Spun",(250),C213="Dublagem Cretone PES",(180),C213="Felpagem",(270/E213),C213="Emborrachamento",(200),C213="Espelhamento",(250),C213="Malha",(1),C213="Dublagem Cretone",(180),C213="Malha",(1),C213="Dublagem Spun - MO",250,C213="Dublagem Cretone - MO",180,C213="Dublagem Cretone PES - MO",180,C213="Espelhamento - MO",250,C213="Emborrachamento",100,C213="Malha",0,C213="Dublagem Barreira",100,C213="Pel. + Cal.",350,C213="Fel. + Pel. + Cal.",270,C213="Pel. + Spun",250,C213="Espelhamento - L: 1,45m",200,C213="Espelhamento - L: 1,65m",200,C213="Estampagem",100,C213="Fel. + Cal.",270,C213="Dublagem Juta",180,C213="Dublagem Cretone - MO (Juta)",180,C213="Dublagem Tapete",150,C213="Esp. + Pel.",200,C213="Espelhamento 2x",100)</f>
        <v>180</v>
      </c>
      <c r="S213" s="50">
        <f t="shared" si="90"/>
        <v>959.22600000000011</v>
      </c>
      <c r="T213" s="18" cm="1">
        <f t="array" ref="T213">_xlfn.IFS(C213="Calandra",0.4,C213="Felpagem",0.3,C213="Dublagem Spun",0.8,C213="Dublagem Cretone",0.8,C213="Dublagem Cretone PES",0.8,C213="Espelhamento",0.8,C213="Peletização",0.5,C213="Dublagem Spun - MO",0.8,C213="Dublagem Cretone - MO",0.8,C213="Dublagem Cretone PES - MO",0.8,C213="Espelhamento - MO",0.8,C213="Emborrachamento",1,C213="Malha",0,C213="Dublagem Barreira",1,C213="Pel. + Cal.",0.4,C213="Fel. + Pel. + Cal.",0.5,C213="Pel. + Spun",0.8,C213="Espelhamento - L: 1,45m",0.8,C213="Espelhamento - L: 1,65m",0.8,C213="Estampagem",1,C213="Fel. + Cal.",0.4,C213="Dublagem Juta",0.8,C213="Dublagem Cretone - MO (Juta)",0.8,C213="Dublagem Tapete",0.8,C213="Esp. + Pel.",0.8,C213="Espelhamento 2x",0.8)</f>
        <v>0.8</v>
      </c>
      <c r="U213" s="18">
        <v>1</v>
      </c>
      <c r="V213" s="18">
        <v>1</v>
      </c>
      <c r="W213" s="18"/>
      <c r="X213" s="18">
        <v>39.67</v>
      </c>
      <c r="Y213" s="18">
        <v>38.51</v>
      </c>
      <c r="Z213" s="18">
        <v>116.78</v>
      </c>
      <c r="AA213" s="18"/>
    </row>
    <row r="214" spans="1:27" ht="14.25" customHeight="1" x14ac:dyDescent="0.3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ht="14.25" customHeight="1" x14ac:dyDescent="0.35">
      <c r="A215" s="18"/>
      <c r="B215" s="18"/>
      <c r="C215" s="18"/>
      <c r="D215" s="18"/>
      <c r="E215" s="18"/>
      <c r="F215" s="18">
        <f>270*44*4*0.4</f>
        <v>19008</v>
      </c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ht="14.25" customHeight="1" x14ac:dyDescent="0.3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ht="14.25" customHeight="1" x14ac:dyDescent="0.35">
      <c r="A217" s="18"/>
      <c r="B217" s="18"/>
      <c r="C217" s="18"/>
      <c r="D217" s="18"/>
      <c r="E217" s="18"/>
      <c r="F217" s="18"/>
      <c r="G217" s="50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50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ht="14.25" customHeight="1" x14ac:dyDescent="0.3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ht="14.25" customHeight="1" x14ac:dyDescent="0.3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ht="14.25" customHeight="1" x14ac:dyDescent="0.3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ht="14.25" customHeight="1" x14ac:dyDescent="0.3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 ht="14.25" customHeight="1" x14ac:dyDescent="0.3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 ht="14.25" customHeight="1" x14ac:dyDescent="0.3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 ht="14.25" customHeight="1" x14ac:dyDescent="0.3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 ht="14.25" customHeight="1" x14ac:dyDescent="0.3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 ht="14.25" customHeight="1" x14ac:dyDescent="0.3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 ht="14.25" customHeight="1" x14ac:dyDescent="0.3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 ht="14.25" customHeight="1" x14ac:dyDescent="0.3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 ht="14.25" customHeight="1" x14ac:dyDescent="0.3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 ht="14.25" customHeight="1" x14ac:dyDescent="0.3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 ht="14.25" customHeight="1" x14ac:dyDescent="0.3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 ht="14.25" customHeight="1" x14ac:dyDescent="0.3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 ht="14.25" customHeight="1" x14ac:dyDescent="0.3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 ht="14.25" customHeight="1" x14ac:dyDescent="0.3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ht="14.25" customHeight="1" x14ac:dyDescent="0.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ht="14.25" customHeight="1" x14ac:dyDescent="0.3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ht="14.25" customHeight="1" x14ac:dyDescent="0.3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ht="14.25" customHeight="1" x14ac:dyDescent="0.3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ht="14.25" customHeight="1" x14ac:dyDescent="0.3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ht="14.25" customHeight="1" x14ac:dyDescent="0.3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ht="14.25" customHeight="1" x14ac:dyDescent="0.3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ht="14.25" customHeight="1" x14ac:dyDescent="0.3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ht="14.25" customHeight="1" x14ac:dyDescent="0.3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ht="14.25" customHeight="1" x14ac:dyDescent="0.3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ht="14.25" customHeight="1" x14ac:dyDescent="0.3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ht="14.25" customHeight="1" x14ac:dyDescent="0.3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ht="14.25" customHeight="1" x14ac:dyDescent="0.3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ht="14.25" customHeight="1" x14ac:dyDescent="0.3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ht="14.25" customHeight="1" x14ac:dyDescent="0.3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ht="14.25" customHeight="1" x14ac:dyDescent="0.3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ht="14.25" customHeight="1" x14ac:dyDescent="0.3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ht="14.25" customHeight="1" x14ac:dyDescent="0.3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ht="14.25" customHeight="1" x14ac:dyDescent="0.3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ht="14.25" customHeight="1" x14ac:dyDescent="0.3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ht="14.25" customHeight="1" x14ac:dyDescent="0.3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ht="14.25" customHeight="1" x14ac:dyDescent="0.3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ht="14.25" customHeight="1" x14ac:dyDescent="0.3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ht="14.25" customHeight="1" x14ac:dyDescent="0.3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ht="14.25" customHeight="1" x14ac:dyDescent="0.3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ht="14.25" customHeight="1" x14ac:dyDescent="0.3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ht="14.25" customHeight="1" x14ac:dyDescent="0.3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ht="14.25" customHeight="1" x14ac:dyDescent="0.3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ht="14.25" customHeight="1" x14ac:dyDescent="0.3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ht="14.25" customHeight="1" x14ac:dyDescent="0.3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ht="14.25" customHeight="1" x14ac:dyDescent="0.3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ht="14.25" customHeight="1" x14ac:dyDescent="0.3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ht="14.25" customHeight="1" x14ac:dyDescent="0.3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ht="14.25" customHeight="1" x14ac:dyDescent="0.3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ht="14.25" customHeight="1" x14ac:dyDescent="0.3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ht="14.25" customHeight="1" x14ac:dyDescent="0.3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ht="14.25" customHeight="1" x14ac:dyDescent="0.3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ht="14.25" customHeight="1" x14ac:dyDescent="0.3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ht="14.25" customHeight="1" x14ac:dyDescent="0.3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ht="14.25" customHeight="1" x14ac:dyDescent="0.3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ht="14.25" customHeight="1" x14ac:dyDescent="0.3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ht="14.25" customHeight="1" x14ac:dyDescent="0.3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ht="14.25" customHeight="1" x14ac:dyDescent="0.3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ht="14.25" customHeight="1" x14ac:dyDescent="0.3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ht="14.25" customHeight="1" x14ac:dyDescent="0.3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ht="14.25" customHeight="1" x14ac:dyDescent="0.3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ht="14.25" customHeight="1" x14ac:dyDescent="0.3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ht="14.25" customHeight="1" x14ac:dyDescent="0.3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ht="14.25" customHeight="1" x14ac:dyDescent="0.3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ht="14.25" customHeight="1" x14ac:dyDescent="0.3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ht="14.25" customHeight="1" x14ac:dyDescent="0.3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ht="14.25" customHeight="1" x14ac:dyDescent="0.3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ht="14.25" customHeight="1" x14ac:dyDescent="0.3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ht="14.25" customHeight="1" x14ac:dyDescent="0.3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ht="14.25" customHeight="1" x14ac:dyDescent="0.3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ht="14.25" customHeight="1" x14ac:dyDescent="0.3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ht="14.25" customHeight="1" x14ac:dyDescent="0.3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ht="14.25" customHeight="1" x14ac:dyDescent="0.3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ht="14.25" customHeight="1" x14ac:dyDescent="0.3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ht="14.25" customHeight="1" x14ac:dyDescent="0.3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ht="14.25" customHeight="1" x14ac:dyDescent="0.3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ht="14.25" customHeight="1" x14ac:dyDescent="0.3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ht="14.25" customHeight="1" x14ac:dyDescent="0.3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ht="14.25" customHeight="1" x14ac:dyDescent="0.3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ht="14.25" customHeight="1" x14ac:dyDescent="0.3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ht="14.25" customHeight="1" x14ac:dyDescent="0.3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ht="14.25" customHeight="1" x14ac:dyDescent="0.3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ht="14.25" customHeight="1" x14ac:dyDescent="0.3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ht="14.25" customHeight="1" x14ac:dyDescent="0.3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ht="14.25" customHeight="1" x14ac:dyDescent="0.3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ht="14.25" customHeight="1" x14ac:dyDescent="0.3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ht="14.25" customHeight="1" x14ac:dyDescent="0.3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ht="14.25" customHeight="1" x14ac:dyDescent="0.3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ht="14.25" customHeight="1" x14ac:dyDescent="0.3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ht="14.25" customHeight="1" x14ac:dyDescent="0.3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ht="14.25" customHeight="1" x14ac:dyDescent="0.3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ht="14.25" customHeight="1" x14ac:dyDescent="0.3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ht="14.25" customHeight="1" x14ac:dyDescent="0.3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ht="14.25" customHeight="1" x14ac:dyDescent="0.3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ht="14.25" customHeight="1" x14ac:dyDescent="0.3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ht="14.25" customHeight="1" x14ac:dyDescent="0.3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ht="14.25" customHeight="1" x14ac:dyDescent="0.3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ht="14.25" customHeight="1" x14ac:dyDescent="0.3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ht="14.25" customHeight="1" x14ac:dyDescent="0.3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ht="14.25" customHeight="1" x14ac:dyDescent="0.3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ht="14.25" customHeight="1" x14ac:dyDescent="0.3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 ht="14.25" customHeight="1" x14ac:dyDescent="0.3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 ht="14.25" customHeight="1" x14ac:dyDescent="0.3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 ht="14.25" customHeight="1" x14ac:dyDescent="0.3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 ht="14.25" customHeight="1" x14ac:dyDescent="0.3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 ht="14.25" customHeight="1" x14ac:dyDescent="0.3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 ht="14.25" customHeight="1" x14ac:dyDescent="0.3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 ht="14.25" customHeight="1" x14ac:dyDescent="0.3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 ht="14.25" customHeight="1" x14ac:dyDescent="0.3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 ht="14.25" customHeight="1" x14ac:dyDescent="0.3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ht="14.25" customHeight="1" x14ac:dyDescent="0.3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ht="14.25" customHeight="1" x14ac:dyDescent="0.3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ht="14.25" customHeight="1" x14ac:dyDescent="0.3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ht="14.25" customHeight="1" x14ac:dyDescent="0.3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ht="14.25" customHeight="1" x14ac:dyDescent="0.3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 ht="14.25" customHeight="1" x14ac:dyDescent="0.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ht="14.25" customHeight="1" x14ac:dyDescent="0.3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ht="14.25" customHeight="1" x14ac:dyDescent="0.3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ht="14.25" customHeight="1" x14ac:dyDescent="0.3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ht="14.25" customHeight="1" x14ac:dyDescent="0.3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ht="14.25" customHeight="1" x14ac:dyDescent="0.3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ht="14.25" customHeight="1" x14ac:dyDescent="0.3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ht="14.25" customHeight="1" x14ac:dyDescent="0.3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ht="14.25" customHeight="1" x14ac:dyDescent="0.3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ht="14.25" customHeight="1" x14ac:dyDescent="0.3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ht="14.25" customHeight="1" x14ac:dyDescent="0.3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ht="14.25" customHeight="1" x14ac:dyDescent="0.3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ht="14.25" customHeight="1" x14ac:dyDescent="0.3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ht="14.25" customHeight="1" x14ac:dyDescent="0.3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ht="14.25" customHeight="1" x14ac:dyDescent="0.3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ht="14.25" customHeight="1" x14ac:dyDescent="0.3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ht="14.25" customHeight="1" x14ac:dyDescent="0.3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ht="14.25" customHeight="1" x14ac:dyDescent="0.3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ht="14.25" customHeight="1" x14ac:dyDescent="0.3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ht="14.25" customHeight="1" x14ac:dyDescent="0.3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ht="14.25" customHeight="1" x14ac:dyDescent="0.3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ht="14.25" customHeight="1" x14ac:dyDescent="0.3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ht="14.25" customHeight="1" x14ac:dyDescent="0.3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ht="14.25" customHeight="1" x14ac:dyDescent="0.3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ht="14.25" customHeight="1" x14ac:dyDescent="0.3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ht="14.25" customHeight="1" x14ac:dyDescent="0.3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ht="14.25" customHeight="1" x14ac:dyDescent="0.3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ht="14.25" customHeight="1" x14ac:dyDescent="0.3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ht="14.25" customHeight="1" x14ac:dyDescent="0.3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ht="14.25" customHeight="1" x14ac:dyDescent="0.3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ht="14.25" customHeight="1" x14ac:dyDescent="0.3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ht="14.25" customHeight="1" x14ac:dyDescent="0.3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ht="14.25" customHeight="1" x14ac:dyDescent="0.3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ht="14.25" customHeight="1" x14ac:dyDescent="0.3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ht="14.25" customHeight="1" x14ac:dyDescent="0.3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ht="14.25" customHeight="1" x14ac:dyDescent="0.3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ht="14.25" customHeight="1" x14ac:dyDescent="0.3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ht="14.25" customHeight="1" x14ac:dyDescent="0.3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ht="14.25" customHeight="1" x14ac:dyDescent="0.3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ht="14.25" customHeight="1" x14ac:dyDescent="0.3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ht="14.25" customHeight="1" x14ac:dyDescent="0.3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ht="14.25" customHeight="1" x14ac:dyDescent="0.3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ht="14.25" customHeight="1" x14ac:dyDescent="0.3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ht="14.25" customHeight="1" x14ac:dyDescent="0.3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ht="14.25" customHeight="1" x14ac:dyDescent="0.3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ht="14.25" customHeight="1" x14ac:dyDescent="0.3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ht="14.25" customHeight="1" x14ac:dyDescent="0.3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ht="14.25" customHeight="1" x14ac:dyDescent="0.3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 ht="14.25" customHeight="1" x14ac:dyDescent="0.3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 ht="14.25" customHeight="1" x14ac:dyDescent="0.3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 ht="14.25" customHeight="1" x14ac:dyDescent="0.3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 ht="14.25" customHeight="1" x14ac:dyDescent="0.3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ht="14.25" customHeight="1" x14ac:dyDescent="0.3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 ht="14.25" customHeight="1" x14ac:dyDescent="0.3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 ht="14.25" customHeight="1" x14ac:dyDescent="0.3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ht="14.25" customHeight="1" x14ac:dyDescent="0.3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ht="14.25" customHeight="1" x14ac:dyDescent="0.3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 ht="14.25" customHeight="1" x14ac:dyDescent="0.3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 ht="14.25" customHeight="1" x14ac:dyDescent="0.3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 ht="14.25" customHeight="1" x14ac:dyDescent="0.3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 ht="14.25" customHeight="1" x14ac:dyDescent="0.3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 ht="14.25" customHeight="1" x14ac:dyDescent="0.3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 ht="14.25" customHeight="1" x14ac:dyDescent="0.3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 ht="14.25" customHeight="1" x14ac:dyDescent="0.3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 ht="14.25" customHeight="1" x14ac:dyDescent="0.3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 ht="14.25" customHeight="1" x14ac:dyDescent="0.3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 ht="14.25" customHeight="1" x14ac:dyDescent="0.3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ht="14.25" customHeight="1" x14ac:dyDescent="0.3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 ht="14.25" customHeight="1" x14ac:dyDescent="0.3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 ht="14.25" customHeight="1" x14ac:dyDescent="0.3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 ht="14.25" customHeight="1" x14ac:dyDescent="0.3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 ht="14.25" customHeight="1" x14ac:dyDescent="0.3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 ht="14.25" customHeight="1" x14ac:dyDescent="0.3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 ht="14.25" customHeight="1" x14ac:dyDescent="0.3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 ht="14.25" customHeight="1" x14ac:dyDescent="0.3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 ht="14.25" customHeight="1" x14ac:dyDescent="0.3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 ht="14.25" customHeight="1" x14ac:dyDescent="0.3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 ht="14.25" customHeight="1" x14ac:dyDescent="0.3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 ht="14.25" customHeight="1" x14ac:dyDescent="0.3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 ht="14.25" customHeight="1" x14ac:dyDescent="0.3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ht="14.25" customHeight="1" x14ac:dyDescent="0.3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 ht="14.25" customHeight="1" x14ac:dyDescent="0.3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ht="14.25" customHeight="1" x14ac:dyDescent="0.3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 ht="14.25" customHeight="1" x14ac:dyDescent="0.3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 ht="14.25" customHeight="1" x14ac:dyDescent="0.3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 ht="14.25" customHeight="1" x14ac:dyDescent="0.3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 ht="14.25" customHeight="1" x14ac:dyDescent="0.3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 ht="14.25" customHeight="1" x14ac:dyDescent="0.3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 ht="14.25" customHeight="1" x14ac:dyDescent="0.3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 ht="14.25" customHeight="1" x14ac:dyDescent="0.3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 ht="14.25" customHeight="1" x14ac:dyDescent="0.3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 ht="14.25" customHeight="1" x14ac:dyDescent="0.3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 ht="14.25" customHeight="1" x14ac:dyDescent="0.3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 ht="14.25" customHeight="1" x14ac:dyDescent="0.3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 ht="14.25" customHeight="1" x14ac:dyDescent="0.3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 ht="14.25" customHeight="1" x14ac:dyDescent="0.3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 ht="14.25" customHeight="1" x14ac:dyDescent="0.3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 ht="14.25" customHeight="1" x14ac:dyDescent="0.3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 ht="14.25" customHeight="1" x14ac:dyDescent="0.3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 ht="14.25" customHeight="1" x14ac:dyDescent="0.3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 ht="14.25" customHeight="1" x14ac:dyDescent="0.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 ht="14.25" customHeight="1" x14ac:dyDescent="0.3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 ht="14.25" customHeight="1" x14ac:dyDescent="0.3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 ht="14.25" customHeight="1" x14ac:dyDescent="0.3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 ht="14.25" customHeight="1" x14ac:dyDescent="0.3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 ht="14.25" customHeight="1" x14ac:dyDescent="0.3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 ht="14.25" customHeight="1" x14ac:dyDescent="0.3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 ht="14.25" customHeight="1" x14ac:dyDescent="0.3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ht="14.25" customHeight="1" x14ac:dyDescent="0.3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 ht="14.25" customHeight="1" x14ac:dyDescent="0.3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 ht="14.25" customHeight="1" x14ac:dyDescent="0.3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 ht="14.25" customHeight="1" x14ac:dyDescent="0.3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 ht="14.25" customHeight="1" x14ac:dyDescent="0.3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 ht="14.25" customHeight="1" x14ac:dyDescent="0.3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 ht="14.25" customHeight="1" x14ac:dyDescent="0.3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 ht="14.25" customHeight="1" x14ac:dyDescent="0.3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 ht="14.25" customHeight="1" x14ac:dyDescent="0.3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ht="14.25" customHeight="1" x14ac:dyDescent="0.3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 ht="14.25" customHeight="1" x14ac:dyDescent="0.3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 ht="14.25" customHeight="1" x14ac:dyDescent="0.3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 ht="14.25" customHeight="1" x14ac:dyDescent="0.3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 ht="14.25" customHeight="1" x14ac:dyDescent="0.3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ht="14.25" customHeight="1" x14ac:dyDescent="0.3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ht="14.25" customHeight="1" x14ac:dyDescent="0.3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 ht="14.25" customHeight="1" x14ac:dyDescent="0.3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 ht="14.25" customHeight="1" x14ac:dyDescent="0.3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 ht="14.25" customHeight="1" x14ac:dyDescent="0.3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 ht="14.25" customHeight="1" x14ac:dyDescent="0.3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 ht="14.25" customHeight="1" x14ac:dyDescent="0.3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 ht="14.25" customHeight="1" x14ac:dyDescent="0.3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 ht="14.25" customHeight="1" x14ac:dyDescent="0.3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 ht="14.25" customHeight="1" x14ac:dyDescent="0.3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 ht="14.25" customHeight="1" x14ac:dyDescent="0.3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 ht="14.25" customHeight="1" x14ac:dyDescent="0.3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 ht="14.25" customHeight="1" x14ac:dyDescent="0.3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 ht="14.25" customHeight="1" x14ac:dyDescent="0.3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 ht="14.25" customHeight="1" x14ac:dyDescent="0.3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 ht="14.25" customHeight="1" x14ac:dyDescent="0.3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ht="14.25" customHeight="1" x14ac:dyDescent="0.3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ht="14.25" customHeight="1" x14ac:dyDescent="0.3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ht="14.25" customHeight="1" x14ac:dyDescent="0.3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ht="14.25" customHeight="1" x14ac:dyDescent="0.3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ht="14.25" customHeight="1" x14ac:dyDescent="0.3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ht="14.25" customHeight="1" x14ac:dyDescent="0.3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ht="14.25" customHeight="1" x14ac:dyDescent="0.3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ht="14.25" customHeight="1" x14ac:dyDescent="0.3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ht="14.25" customHeight="1" x14ac:dyDescent="0.3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ht="14.25" customHeight="1" x14ac:dyDescent="0.3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ht="14.25" customHeight="1" x14ac:dyDescent="0.3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ht="14.25" customHeight="1" x14ac:dyDescent="0.3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ht="14.25" customHeight="1" x14ac:dyDescent="0.3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ht="14.25" customHeight="1" x14ac:dyDescent="0.3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ht="14.25" customHeight="1" x14ac:dyDescent="0.3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ht="14.25" customHeight="1" x14ac:dyDescent="0.3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ht="14.25" customHeight="1" x14ac:dyDescent="0.3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ht="14.25" customHeight="1" x14ac:dyDescent="0.3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ht="14.25" customHeight="1" x14ac:dyDescent="0.3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ht="14.25" customHeight="1" x14ac:dyDescent="0.3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ht="14.25" customHeight="1" x14ac:dyDescent="0.3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ht="14.25" customHeight="1" x14ac:dyDescent="0.3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ht="14.25" customHeight="1" x14ac:dyDescent="0.3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ht="14.25" customHeight="1" x14ac:dyDescent="0.3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ht="14.25" customHeight="1" x14ac:dyDescent="0.3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ht="14.25" customHeight="1" x14ac:dyDescent="0.3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ht="14.25" customHeight="1" x14ac:dyDescent="0.3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ht="14.25" customHeight="1" x14ac:dyDescent="0.3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ht="14.25" customHeight="1" x14ac:dyDescent="0.3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 ht="14.25" customHeight="1" x14ac:dyDescent="0.3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 ht="14.25" customHeight="1" x14ac:dyDescent="0.3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ht="14.25" customHeight="1" x14ac:dyDescent="0.3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ht="14.25" customHeight="1" x14ac:dyDescent="0.3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ht="14.25" customHeight="1" x14ac:dyDescent="0.3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ht="14.25" customHeight="1" x14ac:dyDescent="0.3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ht="14.25" customHeight="1" x14ac:dyDescent="0.3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ht="14.25" customHeight="1" x14ac:dyDescent="0.3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ht="14.25" customHeight="1" x14ac:dyDescent="0.3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ht="14.25" customHeight="1" x14ac:dyDescent="0.3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ht="14.25" customHeight="1" x14ac:dyDescent="0.3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ht="14.25" customHeight="1" x14ac:dyDescent="0.3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ht="14.25" customHeight="1" x14ac:dyDescent="0.3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ht="14.25" customHeight="1" x14ac:dyDescent="0.3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ht="14.25" customHeight="1" x14ac:dyDescent="0.3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ht="14.25" customHeight="1" x14ac:dyDescent="0.3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ht="14.25" customHeight="1" x14ac:dyDescent="0.3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ht="14.25" customHeight="1" x14ac:dyDescent="0.3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ht="14.25" customHeight="1" x14ac:dyDescent="0.3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ht="14.25" customHeight="1" x14ac:dyDescent="0.3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ht="14.25" customHeight="1" x14ac:dyDescent="0.3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ht="14.25" customHeight="1" x14ac:dyDescent="0.3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ht="14.25" customHeight="1" x14ac:dyDescent="0.3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ht="14.25" customHeight="1" x14ac:dyDescent="0.3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ht="14.25" customHeight="1" x14ac:dyDescent="0.3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 ht="14.25" customHeight="1" x14ac:dyDescent="0.3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 ht="14.25" customHeight="1" x14ac:dyDescent="0.3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 ht="14.25" customHeight="1" x14ac:dyDescent="0.3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 ht="14.25" customHeight="1" x14ac:dyDescent="0.3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 ht="14.25" customHeight="1" x14ac:dyDescent="0.3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 ht="14.25" customHeight="1" x14ac:dyDescent="0.3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 ht="14.25" customHeight="1" x14ac:dyDescent="0.3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 ht="14.25" customHeight="1" x14ac:dyDescent="0.3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 ht="14.25" customHeight="1" x14ac:dyDescent="0.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 ht="14.25" customHeight="1" x14ac:dyDescent="0.3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 ht="14.25" customHeight="1" x14ac:dyDescent="0.3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 ht="14.25" customHeight="1" x14ac:dyDescent="0.3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 ht="14.25" customHeight="1" x14ac:dyDescent="0.3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ht="14.25" customHeight="1" x14ac:dyDescent="0.3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ht="14.25" customHeight="1" x14ac:dyDescent="0.3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 ht="14.25" customHeight="1" x14ac:dyDescent="0.3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 ht="14.25" customHeight="1" x14ac:dyDescent="0.3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 ht="14.25" customHeight="1" x14ac:dyDescent="0.3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 ht="14.25" customHeight="1" x14ac:dyDescent="0.3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 ht="14.25" customHeight="1" x14ac:dyDescent="0.3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 ht="14.25" customHeight="1" x14ac:dyDescent="0.3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 ht="14.25" customHeight="1" x14ac:dyDescent="0.3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 ht="14.25" customHeight="1" x14ac:dyDescent="0.3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 ht="14.25" customHeight="1" x14ac:dyDescent="0.3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 ht="14.25" customHeight="1" x14ac:dyDescent="0.3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 ht="14.25" customHeight="1" x14ac:dyDescent="0.3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 ht="14.25" customHeight="1" x14ac:dyDescent="0.3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 ht="14.25" customHeight="1" x14ac:dyDescent="0.3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 ht="14.25" customHeight="1" x14ac:dyDescent="0.3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ht="14.25" customHeight="1" x14ac:dyDescent="0.3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 ht="14.25" customHeight="1" x14ac:dyDescent="0.3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 ht="14.25" customHeight="1" x14ac:dyDescent="0.3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 ht="14.25" customHeight="1" x14ac:dyDescent="0.3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 ht="14.25" customHeight="1" x14ac:dyDescent="0.3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 ht="14.25" customHeight="1" x14ac:dyDescent="0.3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 ht="14.25" customHeight="1" x14ac:dyDescent="0.3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 ht="14.25" customHeight="1" x14ac:dyDescent="0.3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 ht="14.25" customHeight="1" x14ac:dyDescent="0.3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 ht="14.25" customHeight="1" x14ac:dyDescent="0.3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 ht="14.25" customHeight="1" x14ac:dyDescent="0.3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 ht="14.25" customHeight="1" x14ac:dyDescent="0.3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 ht="14.25" customHeight="1" x14ac:dyDescent="0.3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ht="14.25" customHeight="1" x14ac:dyDescent="0.3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 ht="14.25" customHeight="1" x14ac:dyDescent="0.3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 ht="14.25" customHeight="1" x14ac:dyDescent="0.3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 ht="14.25" customHeight="1" x14ac:dyDescent="0.3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 ht="14.25" customHeight="1" x14ac:dyDescent="0.3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 ht="14.25" customHeight="1" x14ac:dyDescent="0.3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ht="14.25" customHeight="1" x14ac:dyDescent="0.3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 ht="14.25" customHeight="1" x14ac:dyDescent="0.3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ht="14.25" customHeight="1" x14ac:dyDescent="0.3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ht="14.25" customHeight="1" x14ac:dyDescent="0.3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ht="14.25" customHeight="1" x14ac:dyDescent="0.3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ht="14.25" customHeight="1" x14ac:dyDescent="0.3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ht="14.25" customHeight="1" x14ac:dyDescent="0.3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ht="14.25" customHeight="1" x14ac:dyDescent="0.3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ht="14.25" customHeight="1" x14ac:dyDescent="0.3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ht="14.25" customHeight="1" x14ac:dyDescent="0.3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ht="14.25" customHeight="1" x14ac:dyDescent="0.3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ht="14.25" customHeight="1" x14ac:dyDescent="0.3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ht="14.25" customHeight="1" x14ac:dyDescent="0.3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ht="14.25" customHeight="1" x14ac:dyDescent="0.3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ht="14.25" customHeight="1" x14ac:dyDescent="0.3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ht="14.25" customHeight="1" x14ac:dyDescent="0.3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ht="14.25" customHeight="1" x14ac:dyDescent="0.3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ht="14.25" customHeight="1" x14ac:dyDescent="0.3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ht="14.25" customHeight="1" x14ac:dyDescent="0.3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 ht="14.25" customHeight="1" x14ac:dyDescent="0.3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 ht="14.25" customHeight="1" x14ac:dyDescent="0.3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ht="14.25" customHeight="1" x14ac:dyDescent="0.3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ht="14.25" customHeight="1" x14ac:dyDescent="0.3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ht="14.25" customHeight="1" x14ac:dyDescent="0.3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ht="14.25" customHeight="1" x14ac:dyDescent="0.3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 ht="14.25" customHeight="1" x14ac:dyDescent="0.3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ht="14.25" customHeight="1" x14ac:dyDescent="0.3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 ht="14.25" customHeight="1" x14ac:dyDescent="0.3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 ht="14.25" customHeight="1" x14ac:dyDescent="0.3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 ht="14.25" customHeight="1" x14ac:dyDescent="0.3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ht="14.25" customHeight="1" x14ac:dyDescent="0.3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 ht="14.25" customHeight="1" x14ac:dyDescent="0.3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 ht="14.25" customHeight="1" x14ac:dyDescent="0.3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 ht="14.25" customHeight="1" x14ac:dyDescent="0.3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 ht="14.25" customHeight="1" x14ac:dyDescent="0.3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 ht="14.25" customHeight="1" x14ac:dyDescent="0.3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 ht="14.25" customHeight="1" x14ac:dyDescent="0.3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 ht="14.25" customHeight="1" x14ac:dyDescent="0.3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 ht="14.25" customHeight="1" x14ac:dyDescent="0.3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 ht="14.25" customHeight="1" x14ac:dyDescent="0.3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 ht="14.25" customHeight="1" x14ac:dyDescent="0.3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ht="14.25" customHeight="1" x14ac:dyDescent="0.3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 ht="14.25" customHeight="1" x14ac:dyDescent="0.3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 ht="14.25" customHeight="1" x14ac:dyDescent="0.3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 ht="14.25" customHeight="1" x14ac:dyDescent="0.3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 ht="14.25" customHeight="1" x14ac:dyDescent="0.3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 ht="14.25" customHeight="1" x14ac:dyDescent="0.3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 ht="14.25" customHeight="1" x14ac:dyDescent="0.3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 ht="14.25" customHeight="1" x14ac:dyDescent="0.3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 ht="14.25" customHeight="1" x14ac:dyDescent="0.3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 ht="14.25" customHeight="1" x14ac:dyDescent="0.3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 ht="14.25" customHeight="1" x14ac:dyDescent="0.3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 ht="14.25" customHeight="1" x14ac:dyDescent="0.3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 ht="14.25" customHeight="1" x14ac:dyDescent="0.3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 ht="14.25" customHeight="1" x14ac:dyDescent="0.3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 ht="14.25" customHeight="1" x14ac:dyDescent="0.3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 ht="14.25" customHeight="1" x14ac:dyDescent="0.3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 ht="14.25" customHeight="1" x14ac:dyDescent="0.3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 ht="14.25" customHeight="1" x14ac:dyDescent="0.3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 ht="14.25" customHeight="1" x14ac:dyDescent="0.3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 ht="14.25" customHeight="1" x14ac:dyDescent="0.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 ht="14.25" customHeight="1" x14ac:dyDescent="0.3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 ht="14.25" customHeight="1" x14ac:dyDescent="0.3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 ht="14.25" customHeight="1" x14ac:dyDescent="0.3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 ht="14.25" customHeight="1" x14ac:dyDescent="0.3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 ht="14.25" customHeight="1" x14ac:dyDescent="0.3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 ht="14.25" customHeight="1" x14ac:dyDescent="0.3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 ht="14.25" customHeight="1" x14ac:dyDescent="0.3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 ht="14.25" customHeight="1" x14ac:dyDescent="0.3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 ht="14.25" customHeight="1" x14ac:dyDescent="0.3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 ht="14.25" customHeight="1" x14ac:dyDescent="0.3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 ht="14.25" customHeight="1" x14ac:dyDescent="0.3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 ht="14.25" customHeight="1" x14ac:dyDescent="0.3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 ht="14.25" customHeight="1" x14ac:dyDescent="0.3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 ht="14.25" customHeight="1" x14ac:dyDescent="0.3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 ht="14.25" customHeight="1" x14ac:dyDescent="0.3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 ht="14.25" customHeight="1" x14ac:dyDescent="0.3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 ht="14.25" customHeight="1" x14ac:dyDescent="0.3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 ht="14.25" customHeight="1" x14ac:dyDescent="0.3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 ht="14.25" customHeight="1" x14ac:dyDescent="0.3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 ht="14.25" customHeight="1" x14ac:dyDescent="0.3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ht="14.25" customHeight="1" x14ac:dyDescent="0.3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 ht="14.25" customHeight="1" x14ac:dyDescent="0.3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ht="14.25" customHeight="1" x14ac:dyDescent="0.3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 ht="14.25" customHeight="1" x14ac:dyDescent="0.3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ht="14.25" customHeight="1" x14ac:dyDescent="0.3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 ht="14.25" customHeight="1" x14ac:dyDescent="0.3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 ht="14.25" customHeight="1" x14ac:dyDescent="0.3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 ht="14.25" customHeight="1" x14ac:dyDescent="0.3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 ht="14.25" customHeight="1" x14ac:dyDescent="0.3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 ht="14.25" customHeight="1" x14ac:dyDescent="0.3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 ht="14.25" customHeight="1" x14ac:dyDescent="0.3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 ht="14.25" customHeight="1" x14ac:dyDescent="0.3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ht="14.25" customHeight="1" x14ac:dyDescent="0.3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 ht="14.25" customHeight="1" x14ac:dyDescent="0.3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 ht="14.25" customHeight="1" x14ac:dyDescent="0.3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 ht="14.25" customHeight="1" x14ac:dyDescent="0.3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 ht="14.25" customHeight="1" x14ac:dyDescent="0.3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 ht="14.25" customHeight="1" x14ac:dyDescent="0.3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 ht="14.25" customHeight="1" x14ac:dyDescent="0.3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 ht="14.25" customHeight="1" x14ac:dyDescent="0.3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 ht="14.25" customHeight="1" x14ac:dyDescent="0.3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ht="14.25" customHeight="1" x14ac:dyDescent="0.3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ht="14.25" customHeight="1" x14ac:dyDescent="0.3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 ht="14.25" customHeight="1" x14ac:dyDescent="0.3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 ht="14.25" customHeight="1" x14ac:dyDescent="0.3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 ht="14.25" customHeight="1" x14ac:dyDescent="0.3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ht="14.25" customHeight="1" x14ac:dyDescent="0.3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ht="14.25" customHeight="1" x14ac:dyDescent="0.3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 ht="14.25" customHeight="1" x14ac:dyDescent="0.3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 ht="14.25" customHeight="1" x14ac:dyDescent="0.3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 ht="14.25" customHeight="1" x14ac:dyDescent="0.3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 ht="14.25" customHeight="1" x14ac:dyDescent="0.3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ht="14.25" customHeight="1" x14ac:dyDescent="0.3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 ht="14.25" customHeight="1" x14ac:dyDescent="0.3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 ht="14.25" customHeight="1" x14ac:dyDescent="0.3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 ht="14.25" customHeight="1" x14ac:dyDescent="0.3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 ht="14.25" customHeight="1" x14ac:dyDescent="0.3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 ht="14.25" customHeight="1" x14ac:dyDescent="0.3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ht="14.25" customHeight="1" x14ac:dyDescent="0.3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 ht="14.25" customHeight="1" x14ac:dyDescent="0.3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 ht="14.25" customHeight="1" x14ac:dyDescent="0.3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ht="14.25" customHeight="1" x14ac:dyDescent="0.3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 ht="14.25" customHeight="1" x14ac:dyDescent="0.3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 ht="14.25" customHeight="1" x14ac:dyDescent="0.3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 ht="14.25" customHeight="1" x14ac:dyDescent="0.3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ht="14.25" customHeight="1" x14ac:dyDescent="0.3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 ht="14.25" customHeight="1" x14ac:dyDescent="0.3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 ht="14.25" customHeight="1" x14ac:dyDescent="0.3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 ht="14.25" customHeight="1" x14ac:dyDescent="0.3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 ht="14.25" customHeight="1" x14ac:dyDescent="0.3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 ht="14.25" customHeight="1" x14ac:dyDescent="0.3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 ht="14.25" customHeight="1" x14ac:dyDescent="0.3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 ht="14.25" customHeight="1" x14ac:dyDescent="0.3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ht="14.25" customHeight="1" x14ac:dyDescent="0.3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 ht="14.25" customHeight="1" x14ac:dyDescent="0.3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ht="14.25" customHeight="1" x14ac:dyDescent="0.3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 ht="14.25" customHeight="1" x14ac:dyDescent="0.3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 ht="14.25" customHeight="1" x14ac:dyDescent="0.3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 ht="14.25" customHeight="1" x14ac:dyDescent="0.3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 ht="14.25" customHeight="1" x14ac:dyDescent="0.3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 ht="14.25" customHeight="1" x14ac:dyDescent="0.3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 ht="14.25" customHeight="1" x14ac:dyDescent="0.3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 ht="14.25" customHeight="1" x14ac:dyDescent="0.3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 ht="14.25" customHeight="1" x14ac:dyDescent="0.3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 ht="14.25" customHeight="1" x14ac:dyDescent="0.3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 ht="14.25" customHeight="1" x14ac:dyDescent="0.3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 ht="14.25" customHeight="1" x14ac:dyDescent="0.3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 ht="14.25" customHeight="1" x14ac:dyDescent="0.3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 ht="14.25" customHeight="1" x14ac:dyDescent="0.3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 ht="14.25" customHeight="1" x14ac:dyDescent="0.3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 ht="14.25" customHeight="1" x14ac:dyDescent="0.3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 ht="14.25" customHeight="1" x14ac:dyDescent="0.3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 ht="14.25" customHeight="1" x14ac:dyDescent="0.3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 ht="14.25" customHeight="1" x14ac:dyDescent="0.3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 ht="14.25" customHeight="1" x14ac:dyDescent="0.3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 ht="14.25" customHeight="1" x14ac:dyDescent="0.3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 ht="14.25" customHeight="1" x14ac:dyDescent="0.3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 ht="14.25" customHeight="1" x14ac:dyDescent="0.3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ht="14.25" customHeight="1" x14ac:dyDescent="0.3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 ht="14.25" customHeight="1" x14ac:dyDescent="0.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 ht="14.25" customHeight="1" x14ac:dyDescent="0.3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 ht="14.25" customHeight="1" x14ac:dyDescent="0.3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 ht="14.25" customHeight="1" x14ac:dyDescent="0.3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 ht="14.25" customHeight="1" x14ac:dyDescent="0.3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 ht="14.25" customHeight="1" x14ac:dyDescent="0.3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ht="14.25" customHeight="1" x14ac:dyDescent="0.3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 ht="14.25" customHeight="1" x14ac:dyDescent="0.3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 ht="14.25" customHeight="1" x14ac:dyDescent="0.3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 ht="14.25" customHeight="1" x14ac:dyDescent="0.3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 ht="14.25" customHeight="1" x14ac:dyDescent="0.3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 ht="14.25" customHeight="1" x14ac:dyDescent="0.3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 ht="14.25" customHeight="1" x14ac:dyDescent="0.3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ht="14.25" customHeight="1" x14ac:dyDescent="0.3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 ht="14.25" customHeight="1" x14ac:dyDescent="0.3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 ht="14.25" customHeight="1" x14ac:dyDescent="0.3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 ht="14.25" customHeight="1" x14ac:dyDescent="0.3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ht="14.25" customHeight="1" x14ac:dyDescent="0.3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ht="14.25" customHeight="1" x14ac:dyDescent="0.3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ht="14.25" customHeight="1" x14ac:dyDescent="0.3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ht="14.25" customHeight="1" x14ac:dyDescent="0.3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 ht="14.25" customHeight="1" x14ac:dyDescent="0.3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 ht="14.25" customHeight="1" x14ac:dyDescent="0.3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 ht="14.25" customHeight="1" x14ac:dyDescent="0.3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 ht="14.25" customHeight="1" x14ac:dyDescent="0.3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 ht="14.25" customHeight="1" x14ac:dyDescent="0.3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 ht="14.25" customHeight="1" x14ac:dyDescent="0.3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 ht="14.25" customHeight="1" x14ac:dyDescent="0.3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 ht="14.25" customHeight="1" x14ac:dyDescent="0.3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 ht="14.25" customHeight="1" x14ac:dyDescent="0.3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 ht="14.25" customHeight="1" x14ac:dyDescent="0.3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 ht="14.25" customHeight="1" x14ac:dyDescent="0.3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 ht="14.25" customHeight="1" x14ac:dyDescent="0.3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 ht="14.25" customHeight="1" x14ac:dyDescent="0.3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 ht="14.25" customHeight="1" x14ac:dyDescent="0.3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 ht="14.25" customHeight="1" x14ac:dyDescent="0.3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 ht="14.25" customHeight="1" x14ac:dyDescent="0.3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 ht="14.25" customHeight="1" x14ac:dyDescent="0.3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 ht="14.25" customHeight="1" x14ac:dyDescent="0.3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 ht="14.25" customHeight="1" x14ac:dyDescent="0.3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ht="14.25" customHeight="1" x14ac:dyDescent="0.3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 ht="14.25" customHeight="1" x14ac:dyDescent="0.3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 ht="14.25" customHeight="1" x14ac:dyDescent="0.3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 ht="14.25" customHeight="1" x14ac:dyDescent="0.3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 ht="14.25" customHeight="1" x14ac:dyDescent="0.3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 ht="14.25" customHeight="1" x14ac:dyDescent="0.3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 ht="14.25" customHeight="1" x14ac:dyDescent="0.3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 ht="14.25" customHeight="1" x14ac:dyDescent="0.3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 ht="14.25" customHeight="1" x14ac:dyDescent="0.3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 ht="14.25" customHeight="1" x14ac:dyDescent="0.3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 ht="14.25" customHeight="1" x14ac:dyDescent="0.3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ht="14.25" customHeight="1" x14ac:dyDescent="0.3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 ht="14.25" customHeight="1" x14ac:dyDescent="0.3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 ht="14.25" customHeight="1" x14ac:dyDescent="0.3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 ht="14.25" customHeight="1" x14ac:dyDescent="0.3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 ht="14.25" customHeight="1" x14ac:dyDescent="0.3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 ht="14.25" customHeight="1" x14ac:dyDescent="0.3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 ht="14.25" customHeight="1" x14ac:dyDescent="0.3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 ht="14.25" customHeight="1" x14ac:dyDescent="0.3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 ht="14.25" customHeight="1" x14ac:dyDescent="0.3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 ht="14.25" customHeight="1" x14ac:dyDescent="0.3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 ht="14.25" customHeight="1" x14ac:dyDescent="0.3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 ht="14.25" customHeight="1" x14ac:dyDescent="0.3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 ht="14.25" customHeight="1" x14ac:dyDescent="0.3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 ht="14.25" customHeight="1" x14ac:dyDescent="0.3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 ht="14.25" customHeight="1" x14ac:dyDescent="0.3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 ht="14.25" customHeight="1" x14ac:dyDescent="0.3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 ht="14.25" customHeight="1" x14ac:dyDescent="0.3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 ht="14.25" customHeight="1" x14ac:dyDescent="0.3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 ht="14.25" customHeight="1" x14ac:dyDescent="0.3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 ht="14.25" customHeight="1" x14ac:dyDescent="0.3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 ht="14.25" customHeight="1" x14ac:dyDescent="0.3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 ht="14.25" customHeight="1" x14ac:dyDescent="0.3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 ht="14.25" customHeight="1" x14ac:dyDescent="0.3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 ht="14.25" customHeight="1" x14ac:dyDescent="0.3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 ht="14.25" customHeight="1" x14ac:dyDescent="0.3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 ht="14.25" customHeight="1" x14ac:dyDescent="0.3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 ht="14.25" customHeight="1" x14ac:dyDescent="0.3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 ht="14.25" customHeight="1" x14ac:dyDescent="0.3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 ht="14.25" customHeight="1" x14ac:dyDescent="0.3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 ht="14.25" customHeight="1" x14ac:dyDescent="0.3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 ht="14.25" customHeight="1" x14ac:dyDescent="0.3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ht="14.25" customHeight="1" x14ac:dyDescent="0.3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 ht="14.25" customHeight="1" x14ac:dyDescent="0.3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 ht="14.25" customHeight="1" x14ac:dyDescent="0.3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 ht="14.25" customHeight="1" x14ac:dyDescent="0.3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 ht="14.25" customHeight="1" x14ac:dyDescent="0.3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 ht="14.25" customHeight="1" x14ac:dyDescent="0.3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 ht="14.25" customHeight="1" x14ac:dyDescent="0.3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 ht="14.25" customHeight="1" x14ac:dyDescent="0.3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 ht="14.25" customHeight="1" x14ac:dyDescent="0.3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 ht="14.25" customHeight="1" x14ac:dyDescent="0.3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 ht="14.25" customHeight="1" x14ac:dyDescent="0.3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 ht="14.25" customHeight="1" x14ac:dyDescent="0.3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ht="14.25" customHeight="1" x14ac:dyDescent="0.3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 ht="14.25" customHeight="1" x14ac:dyDescent="0.3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 ht="14.25" customHeight="1" x14ac:dyDescent="0.3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 ht="14.25" customHeight="1" x14ac:dyDescent="0.3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 ht="14.25" customHeight="1" x14ac:dyDescent="0.3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 ht="14.25" customHeight="1" x14ac:dyDescent="0.3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 ht="14.25" customHeight="1" x14ac:dyDescent="0.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 ht="14.25" customHeight="1" x14ac:dyDescent="0.3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 ht="14.25" customHeight="1" x14ac:dyDescent="0.3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 ht="14.25" customHeight="1" x14ac:dyDescent="0.3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 ht="14.25" customHeight="1" x14ac:dyDescent="0.3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 ht="14.25" customHeight="1" x14ac:dyDescent="0.3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 ht="14.25" customHeight="1" x14ac:dyDescent="0.3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 ht="14.25" customHeight="1" x14ac:dyDescent="0.3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 ht="14.25" customHeight="1" x14ac:dyDescent="0.3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 ht="14.25" customHeight="1" x14ac:dyDescent="0.3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 ht="14.25" customHeight="1" x14ac:dyDescent="0.3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 ht="14.25" customHeight="1" x14ac:dyDescent="0.3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ht="14.25" customHeight="1" x14ac:dyDescent="0.3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ht="14.25" customHeight="1" x14ac:dyDescent="0.3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ht="14.25" customHeight="1" x14ac:dyDescent="0.3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ht="14.25" customHeight="1" x14ac:dyDescent="0.3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ht="14.25" customHeight="1" x14ac:dyDescent="0.3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ht="14.25" customHeight="1" x14ac:dyDescent="0.3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ht="14.25" customHeight="1" x14ac:dyDescent="0.3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ht="14.25" customHeight="1" x14ac:dyDescent="0.3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ht="14.25" customHeight="1" x14ac:dyDescent="0.3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 ht="14.25" customHeight="1" x14ac:dyDescent="0.3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 ht="14.25" customHeight="1" x14ac:dyDescent="0.3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 ht="14.25" customHeight="1" x14ac:dyDescent="0.3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 ht="14.25" customHeight="1" x14ac:dyDescent="0.3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 ht="14.25" customHeight="1" x14ac:dyDescent="0.3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 ht="14.25" customHeight="1" x14ac:dyDescent="0.3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ht="14.25" customHeight="1" x14ac:dyDescent="0.3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 ht="14.25" customHeight="1" x14ac:dyDescent="0.3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 ht="14.25" customHeight="1" x14ac:dyDescent="0.3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 ht="14.25" customHeight="1" x14ac:dyDescent="0.3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 ht="14.25" customHeight="1" x14ac:dyDescent="0.3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 ht="14.25" customHeight="1" x14ac:dyDescent="0.3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 ht="14.25" customHeight="1" x14ac:dyDescent="0.3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 ht="14.25" customHeight="1" x14ac:dyDescent="0.3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 ht="14.25" customHeight="1" x14ac:dyDescent="0.3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 ht="14.25" customHeight="1" x14ac:dyDescent="0.3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 ht="14.25" customHeight="1" x14ac:dyDescent="0.3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ht="14.25" customHeight="1" x14ac:dyDescent="0.3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 ht="14.25" customHeight="1" x14ac:dyDescent="0.3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 ht="14.25" customHeight="1" x14ac:dyDescent="0.3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 ht="14.25" customHeight="1" x14ac:dyDescent="0.3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 ht="14.25" customHeight="1" x14ac:dyDescent="0.3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 ht="14.25" customHeight="1" x14ac:dyDescent="0.3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 ht="14.25" customHeight="1" x14ac:dyDescent="0.3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 ht="14.25" customHeight="1" x14ac:dyDescent="0.3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 ht="14.25" customHeight="1" x14ac:dyDescent="0.3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 ht="14.25" customHeight="1" x14ac:dyDescent="0.3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 ht="14.25" customHeight="1" x14ac:dyDescent="0.3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 ht="14.25" customHeight="1" x14ac:dyDescent="0.3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 ht="14.25" customHeight="1" x14ac:dyDescent="0.3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 ht="14.25" customHeight="1" x14ac:dyDescent="0.3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 ht="14.25" customHeight="1" x14ac:dyDescent="0.3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 ht="14.25" customHeight="1" x14ac:dyDescent="0.3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 ht="14.25" customHeight="1" x14ac:dyDescent="0.3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 ht="14.25" customHeight="1" x14ac:dyDescent="0.3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 ht="14.25" customHeight="1" x14ac:dyDescent="0.3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 ht="14.25" customHeight="1" x14ac:dyDescent="0.3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 ht="14.25" customHeight="1" x14ac:dyDescent="0.3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 ht="14.25" customHeight="1" x14ac:dyDescent="0.3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 ht="14.25" customHeight="1" x14ac:dyDescent="0.3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 ht="14.25" customHeight="1" x14ac:dyDescent="0.3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 ht="14.25" customHeight="1" x14ac:dyDescent="0.3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 ht="14.25" customHeight="1" x14ac:dyDescent="0.3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 ht="14.25" customHeight="1" x14ac:dyDescent="0.3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 ht="14.25" customHeight="1" x14ac:dyDescent="0.3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 ht="14.25" customHeight="1" x14ac:dyDescent="0.3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ht="14.25" customHeight="1" x14ac:dyDescent="0.3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 ht="14.25" customHeight="1" x14ac:dyDescent="0.3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 ht="14.25" customHeight="1" x14ac:dyDescent="0.3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 ht="14.25" customHeight="1" x14ac:dyDescent="0.3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 ht="14.25" customHeight="1" x14ac:dyDescent="0.3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 ht="14.25" customHeight="1" x14ac:dyDescent="0.3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 ht="14.25" customHeight="1" x14ac:dyDescent="0.3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 ht="14.25" customHeight="1" x14ac:dyDescent="0.3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 ht="14.25" customHeight="1" x14ac:dyDescent="0.3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 ht="14.25" customHeight="1" x14ac:dyDescent="0.3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 ht="14.25" customHeight="1" x14ac:dyDescent="0.3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 ht="14.25" customHeight="1" x14ac:dyDescent="0.3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ht="14.25" customHeight="1" x14ac:dyDescent="0.3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 ht="14.25" customHeight="1" x14ac:dyDescent="0.3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 ht="14.25" customHeight="1" x14ac:dyDescent="0.3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 ht="14.25" customHeight="1" x14ac:dyDescent="0.3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 ht="14.25" customHeight="1" x14ac:dyDescent="0.3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 ht="14.25" customHeight="1" x14ac:dyDescent="0.3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 ht="14.25" customHeight="1" x14ac:dyDescent="0.3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 ht="14.25" customHeight="1" x14ac:dyDescent="0.3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 ht="14.25" customHeight="1" x14ac:dyDescent="0.3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ht="14.25" customHeight="1" x14ac:dyDescent="0.3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 ht="14.25" customHeight="1" x14ac:dyDescent="0.3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 ht="14.25" customHeight="1" x14ac:dyDescent="0.3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 ht="14.25" customHeight="1" x14ac:dyDescent="0.3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 ht="14.25" customHeight="1" x14ac:dyDescent="0.3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 ht="14.25" customHeight="1" x14ac:dyDescent="0.3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 ht="14.25" customHeight="1" x14ac:dyDescent="0.3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 ht="14.25" customHeight="1" x14ac:dyDescent="0.3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 ht="14.25" customHeight="1" x14ac:dyDescent="0.3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 ht="14.25" customHeight="1" x14ac:dyDescent="0.3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 ht="14.25" customHeight="1" x14ac:dyDescent="0.3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ht="14.25" customHeight="1" x14ac:dyDescent="0.3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 ht="14.25" customHeight="1" x14ac:dyDescent="0.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 ht="14.25" customHeight="1" x14ac:dyDescent="0.3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 ht="14.25" customHeight="1" x14ac:dyDescent="0.3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 ht="14.25" customHeight="1" x14ac:dyDescent="0.3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 ht="14.25" customHeight="1" x14ac:dyDescent="0.3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 ht="14.25" customHeight="1" x14ac:dyDescent="0.3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 ht="14.25" customHeight="1" x14ac:dyDescent="0.3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 ht="14.25" customHeight="1" x14ac:dyDescent="0.3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 ht="14.25" customHeight="1" x14ac:dyDescent="0.3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 ht="14.25" customHeight="1" x14ac:dyDescent="0.3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 ht="14.25" customHeight="1" x14ac:dyDescent="0.3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ht="14.25" customHeight="1" x14ac:dyDescent="0.3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 ht="14.25" customHeight="1" x14ac:dyDescent="0.3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 ht="14.25" customHeight="1" x14ac:dyDescent="0.3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 ht="14.25" customHeight="1" x14ac:dyDescent="0.3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 ht="14.25" customHeight="1" x14ac:dyDescent="0.3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 ht="14.25" customHeight="1" x14ac:dyDescent="0.3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 ht="14.25" customHeight="1" x14ac:dyDescent="0.3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 ht="14.25" customHeight="1" x14ac:dyDescent="0.3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 ht="14.25" customHeight="1" x14ac:dyDescent="0.3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 ht="14.25" customHeight="1" x14ac:dyDescent="0.3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 ht="14.25" customHeight="1" x14ac:dyDescent="0.3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 ht="14.25" customHeight="1" x14ac:dyDescent="0.3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 ht="14.25" customHeight="1" x14ac:dyDescent="0.3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 ht="14.25" customHeight="1" x14ac:dyDescent="0.3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 ht="14.25" customHeight="1" x14ac:dyDescent="0.3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 ht="14.25" customHeight="1" x14ac:dyDescent="0.3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ht="14.25" customHeight="1" x14ac:dyDescent="0.3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 ht="14.25" customHeight="1" x14ac:dyDescent="0.3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 ht="14.25" customHeight="1" x14ac:dyDescent="0.3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 ht="14.25" customHeight="1" x14ac:dyDescent="0.3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 ht="14.25" customHeight="1" x14ac:dyDescent="0.3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 ht="14.25" customHeight="1" x14ac:dyDescent="0.3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 ht="14.25" customHeight="1" x14ac:dyDescent="0.3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ht="14.25" customHeight="1" x14ac:dyDescent="0.3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 ht="14.25" customHeight="1" x14ac:dyDescent="0.3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 ht="14.25" customHeight="1" x14ac:dyDescent="0.3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ht="14.25" customHeight="1" x14ac:dyDescent="0.3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 ht="14.25" customHeight="1" x14ac:dyDescent="0.3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 ht="14.25" customHeight="1" x14ac:dyDescent="0.3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 ht="14.25" customHeight="1" x14ac:dyDescent="0.3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 ht="14.25" customHeight="1" x14ac:dyDescent="0.3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 ht="14.25" customHeight="1" x14ac:dyDescent="0.3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 ht="14.25" customHeight="1" x14ac:dyDescent="0.3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 ht="14.25" customHeight="1" x14ac:dyDescent="0.3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 ht="14.25" customHeight="1" x14ac:dyDescent="0.3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 ht="14.25" customHeight="1" x14ac:dyDescent="0.3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 ht="14.25" customHeight="1" x14ac:dyDescent="0.3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 ht="14.25" customHeight="1" x14ac:dyDescent="0.3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 ht="14.25" customHeight="1" x14ac:dyDescent="0.3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 ht="14.25" customHeight="1" x14ac:dyDescent="0.3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 ht="14.25" customHeight="1" x14ac:dyDescent="0.3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 ht="14.25" customHeight="1" x14ac:dyDescent="0.3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 ht="14.25" customHeight="1" x14ac:dyDescent="0.3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 ht="14.25" customHeight="1" x14ac:dyDescent="0.3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 ht="14.25" customHeight="1" x14ac:dyDescent="0.3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 ht="14.25" customHeight="1" x14ac:dyDescent="0.3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 ht="14.25" customHeight="1" x14ac:dyDescent="0.3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 ht="14.25" customHeight="1" x14ac:dyDescent="0.3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 ht="14.25" customHeight="1" x14ac:dyDescent="0.3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spans="1:27" ht="14.25" customHeight="1" x14ac:dyDescent="0.3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 spans="1:27" ht="14.25" customHeight="1" x14ac:dyDescent="0.3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 spans="1:27" ht="14.25" customHeight="1" x14ac:dyDescent="0.3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 spans="1:27" ht="14.25" customHeight="1" x14ac:dyDescent="0.3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 spans="1:27" ht="14.25" customHeight="1" x14ac:dyDescent="0.3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 spans="1:27" ht="14.25" customHeight="1" x14ac:dyDescent="0.3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  <row r="1001" spans="1:27" ht="14.25" customHeight="1" x14ac:dyDescent="0.35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</row>
    <row r="1002" spans="1:27" ht="14.25" customHeight="1" x14ac:dyDescent="0.35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</row>
    <row r="1003" spans="1:27" ht="14.25" customHeight="1" x14ac:dyDescent="0.35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</row>
    <row r="1004" spans="1:27" ht="14.25" customHeight="1" x14ac:dyDescent="0.35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</row>
    <row r="1005" spans="1:27" ht="14.25" customHeight="1" x14ac:dyDescent="0.3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</row>
    <row r="1006" spans="1:27" ht="14.25" customHeight="1" x14ac:dyDescent="0.35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</row>
    <row r="1007" spans="1:27" ht="14.25" customHeight="1" x14ac:dyDescent="0.35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</row>
    <row r="1008" spans="1:27" ht="14.25" customHeight="1" x14ac:dyDescent="0.35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</row>
    <row r="1009" spans="1:27" ht="14.25" customHeight="1" x14ac:dyDescent="0.35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</row>
    <row r="1010" spans="1:27" ht="14.25" customHeight="1" x14ac:dyDescent="0.35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</row>
    <row r="1011" spans="1:27" ht="14.25" customHeight="1" x14ac:dyDescent="0.35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</row>
    <row r="1012" spans="1:27" ht="14.25" customHeight="1" x14ac:dyDescent="0.35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</row>
    <row r="1013" spans="1:27" ht="14.25" customHeight="1" x14ac:dyDescent="0.35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</row>
    <row r="1014" spans="1:27" ht="14.25" customHeight="1" x14ac:dyDescent="0.35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</row>
    <row r="1015" spans="1:27" ht="14.25" customHeight="1" x14ac:dyDescent="0.35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</row>
    <row r="1016" spans="1:27" ht="14.25" customHeight="1" x14ac:dyDescent="0.35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</row>
    <row r="1017" spans="1:27" ht="14.25" customHeight="1" x14ac:dyDescent="0.35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</row>
    <row r="1018" spans="1:27" ht="14.25" customHeight="1" x14ac:dyDescent="0.35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</row>
    <row r="1019" spans="1:27" ht="14.25" customHeight="1" x14ac:dyDescent="0.35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</row>
    <row r="1020" spans="1:27" ht="14.25" customHeight="1" x14ac:dyDescent="0.35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</row>
  </sheetData>
  <pageMargins left="0.511811024" right="0.511811024" top="0.78740157499999996" bottom="0.78740157499999996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065E-08F5-4DF6-ABF2-2A184A9E2ACD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6"/>
  <sheetViews>
    <sheetView zoomScaleNormal="100" workbookViewId="0">
      <selection activeCell="N4" sqref="N4"/>
    </sheetView>
  </sheetViews>
  <sheetFormatPr defaultColWidth="14.453125" defaultRowHeight="15" customHeight="1" x14ac:dyDescent="0.35"/>
  <cols>
    <col min="1" max="1" width="27.08984375" customWidth="1"/>
    <col min="2" max="3" width="13.36328125" customWidth="1"/>
    <col min="4" max="4" width="19.453125" customWidth="1"/>
    <col min="5" max="5" width="11.453125" customWidth="1"/>
    <col min="6" max="6" width="11" customWidth="1"/>
    <col min="7" max="8" width="8.6328125" customWidth="1"/>
    <col min="9" max="9" width="11" customWidth="1"/>
    <col min="10" max="11" width="8.6328125" customWidth="1"/>
    <col min="12" max="12" width="11" bestFit="1" customWidth="1"/>
    <col min="13" max="13" width="8.6328125" customWidth="1"/>
    <col min="14" max="14" width="9.1796875" customWidth="1"/>
    <col min="15" max="28" width="8.6328125" customWidth="1"/>
  </cols>
  <sheetData>
    <row r="1" spans="1:18" ht="14.25" customHeight="1" x14ac:dyDescent="0.35">
      <c r="B1" s="16" t="s">
        <v>243</v>
      </c>
      <c r="C1" s="16" t="s">
        <v>243</v>
      </c>
      <c r="D1" s="16" t="s">
        <v>243</v>
      </c>
      <c r="E1" s="16" t="s">
        <v>243</v>
      </c>
      <c r="F1" s="16" t="s">
        <v>243</v>
      </c>
      <c r="G1" s="16" t="s">
        <v>376</v>
      </c>
      <c r="H1" s="16" t="s">
        <v>243</v>
      </c>
      <c r="I1" s="16" t="s">
        <v>376</v>
      </c>
      <c r="L1" s="16" t="s">
        <v>243</v>
      </c>
      <c r="M1" s="16" t="s">
        <v>376</v>
      </c>
      <c r="N1" s="16" t="s">
        <v>243</v>
      </c>
      <c r="O1" s="16" t="s">
        <v>376</v>
      </c>
    </row>
    <row r="2" spans="1:18" ht="14.25" customHeight="1" x14ac:dyDescent="0.35">
      <c r="A2" s="16" t="s">
        <v>377</v>
      </c>
      <c r="B2" s="16" t="s">
        <v>378</v>
      </c>
      <c r="C2" s="16" t="s">
        <v>379</v>
      </c>
      <c r="D2" s="16" t="s">
        <v>380</v>
      </c>
      <c r="F2" s="81" t="s">
        <v>381</v>
      </c>
      <c r="G2" s="82"/>
      <c r="H2" s="81" t="s">
        <v>382</v>
      </c>
      <c r="I2" s="82"/>
      <c r="J2" s="16" t="s">
        <v>383</v>
      </c>
      <c r="L2" s="81" t="s">
        <v>423</v>
      </c>
      <c r="M2" s="82"/>
      <c r="N2" s="81" t="s">
        <v>440</v>
      </c>
      <c r="O2" s="82"/>
    </row>
    <row r="3" spans="1:18" ht="14.25" customHeight="1" x14ac:dyDescent="0.35">
      <c r="A3" s="16" t="s">
        <v>384</v>
      </c>
      <c r="B3" s="30"/>
      <c r="C3" s="30"/>
      <c r="D3" s="30">
        <f>(922.9/1020)*1.2</f>
        <v>1.085764705882353</v>
      </c>
      <c r="E3" s="30"/>
      <c r="F3" s="55">
        <f>G3*1.45*1.2</f>
        <v>0.85260000000000002</v>
      </c>
      <c r="G3" s="16">
        <v>0.49</v>
      </c>
      <c r="H3" s="55">
        <f>I3*1.45*1.2</f>
        <v>0.85260000000000002</v>
      </c>
      <c r="I3" s="16">
        <v>0.49</v>
      </c>
      <c r="L3">
        <f>M3*1.2*1.45</f>
        <v>0.73080000000000001</v>
      </c>
      <c r="M3">
        <v>0.42</v>
      </c>
      <c r="N3">
        <f>O3*1.2*1.45</f>
        <v>0.6611999999999999</v>
      </c>
      <c r="O3">
        <v>0.38</v>
      </c>
    </row>
    <row r="4" spans="1:18" ht="14.25" customHeight="1" x14ac:dyDescent="0.35">
      <c r="A4" s="16" t="s">
        <v>385</v>
      </c>
      <c r="B4" s="30"/>
      <c r="C4" s="30">
        <f>1687.5/1500</f>
        <v>1.125</v>
      </c>
      <c r="D4" s="30">
        <f>(936/1000)*1.2</f>
        <v>1.1232</v>
      </c>
      <c r="E4" s="30"/>
      <c r="F4" s="55">
        <f>G4*1.5*1.2</f>
        <v>0.88200000000000001</v>
      </c>
      <c r="G4" s="16">
        <v>0.49</v>
      </c>
      <c r="H4" s="55">
        <f>I4*1.5*1.2</f>
        <v>0.88200000000000001</v>
      </c>
      <c r="I4" s="16">
        <v>0.49</v>
      </c>
      <c r="L4">
        <f>M4*1.2*1.5</f>
        <v>0.75600000000000001</v>
      </c>
      <c r="M4">
        <v>0.42</v>
      </c>
      <c r="N4">
        <f>O4*1.2*1.5</f>
        <v>0.68399999999999994</v>
      </c>
      <c r="O4">
        <v>0.38</v>
      </c>
    </row>
    <row r="5" spans="1:18" ht="14.25" customHeight="1" x14ac:dyDescent="0.35">
      <c r="A5" s="16" t="s">
        <v>386</v>
      </c>
      <c r="B5" s="30"/>
      <c r="C5" s="30"/>
      <c r="D5" s="30"/>
      <c r="E5" s="30">
        <f>0.49*1.6*1.2</f>
        <v>0.94079999999999997</v>
      </c>
      <c r="F5" s="55">
        <f>G5*1.6*1.2</f>
        <v>0.94079999999999997</v>
      </c>
      <c r="G5" s="16">
        <v>0.49</v>
      </c>
      <c r="H5" s="55"/>
      <c r="I5" s="16">
        <v>0.49</v>
      </c>
      <c r="L5">
        <f>M5*1.2*1.6</f>
        <v>0.80640000000000001</v>
      </c>
      <c r="M5">
        <v>0.42</v>
      </c>
      <c r="N5">
        <f>O5*1.2*1.6</f>
        <v>0.72960000000000003</v>
      </c>
      <c r="O5">
        <v>0.38</v>
      </c>
      <c r="R5">
        <f>0.8*1.35*1.2</f>
        <v>1.296</v>
      </c>
    </row>
    <row r="6" spans="1:18" ht="14.25" customHeight="1" x14ac:dyDescent="0.35">
      <c r="A6" s="16" t="s">
        <v>387</v>
      </c>
      <c r="B6" s="30"/>
      <c r="C6" s="30"/>
      <c r="D6" s="30"/>
      <c r="E6" s="30">
        <f>0.87*1.5*1.2</f>
        <v>1.5659999999999998</v>
      </c>
      <c r="F6" s="55">
        <f>G6*1.45*1.2</f>
        <v>1.5138</v>
      </c>
      <c r="G6" s="16">
        <v>0.87</v>
      </c>
      <c r="H6" s="55">
        <f>I6*1.45*1.2</f>
        <v>1.5138</v>
      </c>
      <c r="I6" s="16">
        <v>0.87</v>
      </c>
      <c r="L6">
        <f>M6*1.2*1.45</f>
        <v>1.4616</v>
      </c>
      <c r="M6">
        <v>0.84</v>
      </c>
      <c r="N6">
        <f>O6*1.2*1.45</f>
        <v>1.3919999999999999</v>
      </c>
      <c r="O6">
        <v>0.8</v>
      </c>
    </row>
    <row r="7" spans="1:18" ht="14.25" customHeight="1" x14ac:dyDescent="0.35">
      <c r="A7" s="16" t="s">
        <v>388</v>
      </c>
      <c r="B7" s="30"/>
      <c r="C7" s="30">
        <f>2655/1500</f>
        <v>1.77</v>
      </c>
      <c r="D7" s="30">
        <f>(2452.5/1500)*1.2</f>
        <v>1.962</v>
      </c>
      <c r="F7" s="55">
        <f>G7*1.5*1.2</f>
        <v>1.5659999999999998</v>
      </c>
      <c r="G7" s="16">
        <v>0.87</v>
      </c>
      <c r="H7" s="55">
        <f>I7*1.5*1.2</f>
        <v>1.5659999999999998</v>
      </c>
      <c r="I7" s="16">
        <v>0.87</v>
      </c>
      <c r="L7">
        <f>M7*1.2*1.5</f>
        <v>1.512</v>
      </c>
      <c r="M7">
        <v>0.84</v>
      </c>
      <c r="N7">
        <f>O7*1.2*1.5</f>
        <v>1.44</v>
      </c>
      <c r="O7">
        <v>0.8</v>
      </c>
    </row>
    <row r="8" spans="1:18" ht="14.25" customHeight="1" x14ac:dyDescent="0.35">
      <c r="A8" s="16" t="s">
        <v>389</v>
      </c>
      <c r="B8" s="30"/>
      <c r="C8" s="30"/>
      <c r="D8" s="30"/>
      <c r="F8" s="55">
        <f>G8*1.55*1.32</f>
        <v>1.7800200000000002</v>
      </c>
      <c r="G8" s="16">
        <v>0.87</v>
      </c>
      <c r="H8" s="55">
        <f>I8*1.55*1.2</f>
        <v>1.6182000000000001</v>
      </c>
      <c r="I8" s="16">
        <v>0.87</v>
      </c>
      <c r="L8">
        <f>M8*1.2*1.55</f>
        <v>1.5624</v>
      </c>
      <c r="M8">
        <v>0.84</v>
      </c>
      <c r="N8">
        <f>O8*1.2*1.55</f>
        <v>1.488</v>
      </c>
      <c r="O8">
        <v>0.8</v>
      </c>
    </row>
    <row r="9" spans="1:18" ht="14.25" customHeight="1" x14ac:dyDescent="0.35">
      <c r="A9" s="16" t="s">
        <v>425</v>
      </c>
      <c r="B9" s="30"/>
      <c r="C9" s="30"/>
      <c r="D9" s="30">
        <f>1.55*1.5*1.2</f>
        <v>2.79</v>
      </c>
      <c r="F9" s="55">
        <f>G9*1.5*1.2</f>
        <v>2.2319999999999998</v>
      </c>
      <c r="G9" s="16">
        <v>1.24</v>
      </c>
      <c r="H9" s="55"/>
      <c r="L9">
        <f>M9*1.2*1.45</f>
        <v>2.0880000000000001</v>
      </c>
      <c r="M9">
        <v>1.2</v>
      </c>
      <c r="N9">
        <f>O9*1.2*1.45</f>
        <v>2.0531999999999999</v>
      </c>
      <c r="O9">
        <v>1.18</v>
      </c>
    </row>
    <row r="10" spans="1:18" ht="14.25" customHeight="1" x14ac:dyDescent="0.35">
      <c r="A10" s="16" t="s">
        <v>390</v>
      </c>
      <c r="B10" s="30"/>
      <c r="C10" s="30"/>
      <c r="D10" s="30">
        <f>2.18*1.5*1.2</f>
        <v>3.9240000000000004</v>
      </c>
      <c r="F10" s="55">
        <f>G10*1.2*1.5</f>
        <v>3.1320000000000001</v>
      </c>
      <c r="G10" s="16">
        <v>1.74</v>
      </c>
      <c r="H10" s="55"/>
    </row>
    <row r="11" spans="1:18" ht="14.25" customHeight="1" x14ac:dyDescent="0.35">
      <c r="A11" s="16" t="s">
        <v>391</v>
      </c>
      <c r="B11" s="30">
        <f>18259.13/17250</f>
        <v>1.0585002898550726</v>
      </c>
      <c r="C11" s="30"/>
      <c r="D11" s="30">
        <f>(18259.13/17250)*1.2</f>
        <v>1.270200347826087</v>
      </c>
      <c r="F11" s="55">
        <f>G11*1.2*1.45</f>
        <v>0.90479999999999994</v>
      </c>
      <c r="G11" s="16">
        <v>0.52</v>
      </c>
      <c r="H11" s="55">
        <f>I11*1.2*1.45</f>
        <v>0.90479999999999994</v>
      </c>
      <c r="I11" s="16">
        <v>0.52</v>
      </c>
      <c r="L11">
        <f>M11*1.2*1.45</f>
        <v>1.3223999999999998</v>
      </c>
      <c r="M11">
        <v>0.76</v>
      </c>
      <c r="N11">
        <f>M11*1.45*3000</f>
        <v>3305.9999999999995</v>
      </c>
    </row>
    <row r="12" spans="1:18" ht="14.25" customHeight="1" x14ac:dyDescent="0.35">
      <c r="A12" s="16" t="s">
        <v>392</v>
      </c>
      <c r="B12" s="30"/>
      <c r="C12" s="30"/>
      <c r="D12" s="30"/>
      <c r="F12" s="55">
        <f>G12*1.2*1.5</f>
        <v>0.93599999999999994</v>
      </c>
      <c r="G12" s="16">
        <v>0.52</v>
      </c>
      <c r="H12" s="55">
        <f>I12*1.2*1.5</f>
        <v>0.93599999999999994</v>
      </c>
      <c r="I12" s="16">
        <v>0.52</v>
      </c>
      <c r="L12">
        <f>M12*1.2*1.5</f>
        <v>1.3679999999999999</v>
      </c>
      <c r="M12">
        <v>0.76</v>
      </c>
    </row>
    <row r="13" spans="1:18" ht="14.25" customHeight="1" x14ac:dyDescent="0.35">
      <c r="A13" s="16" t="s">
        <v>393</v>
      </c>
      <c r="B13" s="30"/>
      <c r="C13" s="30"/>
      <c r="D13" s="30"/>
      <c r="F13" s="55"/>
      <c r="H13" s="55">
        <f>I13*1.2*1.65</f>
        <v>1.0295999999999998</v>
      </c>
      <c r="I13" s="16">
        <v>0.52</v>
      </c>
      <c r="L13">
        <f>M13*1.2*1.6</f>
        <v>1.4592000000000001</v>
      </c>
      <c r="M13">
        <v>0.76</v>
      </c>
    </row>
    <row r="14" spans="1:18" ht="14.25" customHeight="1" x14ac:dyDescent="0.35">
      <c r="A14" s="16" t="s">
        <v>447</v>
      </c>
      <c r="B14" s="30"/>
      <c r="C14" s="30"/>
      <c r="D14" s="30"/>
      <c r="F14" s="55"/>
      <c r="H14" s="55"/>
      <c r="I14" s="16"/>
      <c r="N14">
        <f>1.2*0.2936</f>
        <v>0.35232000000000002</v>
      </c>
    </row>
    <row r="15" spans="1:18" ht="14.25" customHeight="1" x14ac:dyDescent="0.35">
      <c r="A15" s="16" t="s">
        <v>433</v>
      </c>
      <c r="B15" s="30"/>
      <c r="C15" s="30"/>
      <c r="D15" s="30"/>
      <c r="F15" s="55"/>
      <c r="H15" s="55"/>
      <c r="I15" s="16"/>
      <c r="L15">
        <f>0.3915*1.2</f>
        <v>0.4698</v>
      </c>
    </row>
    <row r="16" spans="1:18" ht="14.25" customHeight="1" x14ac:dyDescent="0.35">
      <c r="A16" s="16" t="s">
        <v>441</v>
      </c>
      <c r="B16" s="30"/>
      <c r="C16" s="30"/>
      <c r="D16" s="30">
        <f>0.5981*1.2</f>
        <v>0.71771999999999991</v>
      </c>
    </row>
    <row r="17" spans="1:13" ht="14.25" customHeight="1" x14ac:dyDescent="0.35">
      <c r="A17" s="16" t="s">
        <v>442</v>
      </c>
      <c r="B17" s="30"/>
      <c r="C17" s="30"/>
      <c r="D17" s="30">
        <f>0.6187*1.2</f>
        <v>0.74243999999999999</v>
      </c>
    </row>
    <row r="18" spans="1:13" ht="14.25" customHeight="1" x14ac:dyDescent="0.35">
      <c r="A18" s="16" t="s">
        <v>443</v>
      </c>
      <c r="B18" s="30"/>
      <c r="C18" s="30"/>
      <c r="D18" s="30">
        <f>0.7177*1.2</f>
        <v>0.86124000000000001</v>
      </c>
      <c r="L18">
        <f>0.59*1.2</f>
        <v>0.70799999999999996</v>
      </c>
    </row>
    <row r="19" spans="1:13" ht="14.25" customHeight="1" x14ac:dyDescent="0.35">
      <c r="A19" s="16" t="s">
        <v>444</v>
      </c>
      <c r="B19" s="30"/>
      <c r="C19" s="30"/>
      <c r="D19" s="30">
        <f>0.7425*1.2</f>
        <v>0.89100000000000001</v>
      </c>
      <c r="L19">
        <f>0.61*1.2</f>
        <v>0.73199999999999998</v>
      </c>
    </row>
    <row r="20" spans="1:13" ht="14.25" customHeight="1" x14ac:dyDescent="0.35">
      <c r="A20" s="16" t="s">
        <v>452</v>
      </c>
      <c r="B20" s="30"/>
      <c r="C20" s="30"/>
      <c r="D20" s="30"/>
      <c r="L20">
        <f>(0.59*2)*1.2</f>
        <v>1.4159999999999999</v>
      </c>
    </row>
    <row r="21" spans="1:13" ht="14.25" customHeight="1" x14ac:dyDescent="0.35">
      <c r="A21" s="16" t="s">
        <v>453</v>
      </c>
      <c r="B21" s="30"/>
      <c r="C21" s="30"/>
      <c r="D21" s="30"/>
      <c r="L21">
        <f>1.97*1.2</f>
        <v>2.3639999999999999</v>
      </c>
    </row>
    <row r="22" spans="1:13" ht="14.25" customHeight="1" x14ac:dyDescent="0.35">
      <c r="A22" s="16" t="s">
        <v>188</v>
      </c>
      <c r="B22" s="30">
        <v>1.9</v>
      </c>
      <c r="C22" s="30"/>
      <c r="D22" s="30">
        <f>1.9*1.2</f>
        <v>2.2799999999999998</v>
      </c>
      <c r="L22" s="67">
        <f>M22*1.2*1.45</f>
        <v>3.0972</v>
      </c>
      <c r="M22">
        <v>1.78</v>
      </c>
    </row>
    <row r="23" spans="1:13" ht="14.25" customHeight="1" x14ac:dyDescent="0.35">
      <c r="A23" s="16" t="s">
        <v>208</v>
      </c>
      <c r="B23" s="30"/>
      <c r="C23" s="30"/>
      <c r="D23" s="30">
        <f>1.94*1.2</f>
        <v>2.3279999999999998</v>
      </c>
    </row>
    <row r="24" spans="1:13" ht="14.25" customHeight="1" x14ac:dyDescent="0.35">
      <c r="A24" s="16" t="s">
        <v>68</v>
      </c>
      <c r="B24" s="30">
        <v>12.5</v>
      </c>
      <c r="C24" s="30">
        <v>12.5</v>
      </c>
      <c r="D24" s="30">
        <v>12.5</v>
      </c>
    </row>
    <row r="25" spans="1:13" ht="14.25" customHeight="1" x14ac:dyDescent="0.35">
      <c r="A25" s="16" t="s">
        <v>394</v>
      </c>
      <c r="D25" s="30">
        <f>1.15</f>
        <v>1.1499999999999999</v>
      </c>
      <c r="E25" s="30">
        <f t="shared" ref="E25:F25" si="0">1.94*1.2</f>
        <v>2.3279999999999998</v>
      </c>
      <c r="F25" s="30">
        <f t="shared" si="0"/>
        <v>2.3279999999999998</v>
      </c>
      <c r="L25" s="67">
        <f>13.5/9</f>
        <v>1.5</v>
      </c>
    </row>
    <row r="26" spans="1:13" ht="14.25" customHeight="1" x14ac:dyDescent="0.35">
      <c r="A26" s="16" t="s">
        <v>395</v>
      </c>
      <c r="D26" s="30"/>
      <c r="E26" s="30"/>
      <c r="H26" s="16">
        <f>3.16*1.5*1.2</f>
        <v>5.6879999999999997</v>
      </c>
      <c r="I26" s="16">
        <v>3.16</v>
      </c>
      <c r="J26" s="16">
        <f t="shared" ref="J26:J28" si="1">1.5*K26*1.2</f>
        <v>5.3279999999999994</v>
      </c>
      <c r="K26" s="16">
        <v>2.96</v>
      </c>
      <c r="L26" s="16"/>
      <c r="M26" s="16"/>
    </row>
    <row r="27" spans="1:13" ht="14.25" customHeight="1" x14ac:dyDescent="0.35">
      <c r="A27" s="16" t="s">
        <v>396</v>
      </c>
      <c r="D27" s="30"/>
      <c r="E27" s="30"/>
      <c r="J27" s="16">
        <f t="shared" si="1"/>
        <v>5.0579999999999998</v>
      </c>
      <c r="K27" s="16">
        <v>2.81</v>
      </c>
      <c r="L27" s="16"/>
      <c r="M27" s="16"/>
    </row>
    <row r="28" spans="1:13" ht="14.25" customHeight="1" x14ac:dyDescent="0.35">
      <c r="A28" s="16" t="s">
        <v>397</v>
      </c>
      <c r="J28" s="16">
        <f t="shared" si="1"/>
        <v>3.5459999999999998</v>
      </c>
      <c r="K28" s="16">
        <v>1.97</v>
      </c>
      <c r="L28" s="16"/>
      <c r="M28" s="16"/>
    </row>
    <row r="29" spans="1:13" ht="14.25" customHeight="1" x14ac:dyDescent="0.35">
      <c r="A29" s="16" t="s">
        <v>409</v>
      </c>
      <c r="J29" s="16">
        <f>1.4*K29*1.2</f>
        <v>4.3511999999999995</v>
      </c>
      <c r="K29" s="16">
        <v>2.59</v>
      </c>
      <c r="L29" s="16"/>
      <c r="M29" s="16"/>
    </row>
    <row r="30" spans="1:13" ht="14.25" customHeight="1" x14ac:dyDescent="0.35">
      <c r="A30" s="16" t="s">
        <v>398</v>
      </c>
      <c r="J30" s="16">
        <f>1.5*K30*1.2</f>
        <v>4.6619999999999999</v>
      </c>
      <c r="K30" s="16">
        <v>2.59</v>
      </c>
      <c r="L30" s="16"/>
      <c r="M30" s="16"/>
    </row>
    <row r="31" spans="1:13" ht="14.25" customHeight="1" x14ac:dyDescent="0.35">
      <c r="A31" s="16" t="s">
        <v>410</v>
      </c>
      <c r="J31" s="16">
        <f>1.4*K31*1.22</f>
        <v>3.1085599999999998</v>
      </c>
      <c r="K31" s="16">
        <v>1.82</v>
      </c>
      <c r="L31" s="16"/>
      <c r="M31" s="16"/>
    </row>
    <row r="32" spans="1:13" ht="14.25" customHeight="1" x14ac:dyDescent="0.35">
      <c r="A32" s="16" t="s">
        <v>517</v>
      </c>
      <c r="J32" s="16">
        <f>1.45*K32*1.22</f>
        <v>3.2195799999999997</v>
      </c>
      <c r="K32" s="16">
        <v>1.82</v>
      </c>
      <c r="L32" s="16"/>
      <c r="M32" s="16"/>
    </row>
    <row r="33" spans="1:13" ht="14.25" customHeight="1" x14ac:dyDescent="0.35">
      <c r="A33" s="16" t="s">
        <v>516</v>
      </c>
      <c r="J33" s="16">
        <f>1.5*K33*1.22</f>
        <v>3.3306</v>
      </c>
      <c r="K33" s="16">
        <v>1.82</v>
      </c>
      <c r="L33" s="16"/>
      <c r="M33" s="16"/>
    </row>
    <row r="34" spans="1:13" ht="14.25" customHeight="1" x14ac:dyDescent="0.35"/>
    <row r="35" spans="1:13" ht="14.25" customHeight="1" x14ac:dyDescent="0.35"/>
    <row r="36" spans="1:13" ht="14.25" customHeight="1" x14ac:dyDescent="0.35"/>
    <row r="37" spans="1:13" ht="14.25" customHeight="1" x14ac:dyDescent="0.35"/>
    <row r="38" spans="1:13" ht="14.25" customHeight="1" x14ac:dyDescent="0.35"/>
    <row r="39" spans="1:13" ht="14.25" customHeight="1" x14ac:dyDescent="0.35"/>
    <row r="40" spans="1:13" ht="14.25" customHeight="1" x14ac:dyDescent="0.35"/>
    <row r="41" spans="1:13" ht="14.25" customHeight="1" x14ac:dyDescent="0.35"/>
    <row r="42" spans="1:13" ht="14.25" customHeight="1" x14ac:dyDescent="0.35"/>
    <row r="43" spans="1:13" ht="14.25" customHeight="1" x14ac:dyDescent="0.35"/>
    <row r="44" spans="1:13" ht="14.25" customHeight="1" x14ac:dyDescent="0.35"/>
    <row r="45" spans="1:13" ht="14.25" customHeight="1" x14ac:dyDescent="0.35"/>
    <row r="46" spans="1:13" ht="14.25" customHeight="1" x14ac:dyDescent="0.35"/>
    <row r="47" spans="1:13" ht="14.25" customHeight="1" x14ac:dyDescent="0.35"/>
    <row r="48" spans="1:13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</sheetData>
  <mergeCells count="4">
    <mergeCell ref="F2:G2"/>
    <mergeCell ref="H2:I2"/>
    <mergeCell ref="L2:M2"/>
    <mergeCell ref="N2:O2"/>
  </mergeCells>
  <phoneticPr fontId="11" type="noConversion"/>
  <pageMargins left="0.511811024" right="0.511811024" top="0.78740157499999996" bottom="0.78740157499999996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53125" defaultRowHeight="15" customHeight="1" x14ac:dyDescent="0.35"/>
  <cols>
    <col min="1" max="1" width="10.36328125" customWidth="1"/>
    <col min="2" max="2" width="11.453125" customWidth="1"/>
    <col min="3" max="26" width="8.6328125" customWidth="1"/>
  </cols>
  <sheetData>
    <row r="1" spans="1:2" ht="14.25" customHeight="1" x14ac:dyDescent="0.35">
      <c r="A1" s="16" t="s">
        <v>58</v>
      </c>
      <c r="B1" s="16" t="s">
        <v>399</v>
      </c>
    </row>
    <row r="2" spans="1:2" ht="14.25" customHeight="1" x14ac:dyDescent="0.35">
      <c r="A2" s="16" t="s">
        <v>142</v>
      </c>
      <c r="B2" s="16">
        <v>360</v>
      </c>
    </row>
    <row r="3" spans="1:2" ht="14.25" customHeight="1" x14ac:dyDescent="0.35">
      <c r="A3" s="16" t="s">
        <v>144</v>
      </c>
      <c r="B3" s="55">
        <f>3000/9</f>
        <v>333.33333333333331</v>
      </c>
    </row>
    <row r="4" spans="1:2" ht="14.25" customHeight="1" x14ac:dyDescent="0.35"/>
    <row r="5" spans="1:2" ht="14.25" customHeight="1" x14ac:dyDescent="0.35"/>
    <row r="6" spans="1:2" ht="14.25" customHeight="1" x14ac:dyDescent="0.35"/>
    <row r="7" spans="1:2" ht="14.25" customHeight="1" x14ac:dyDescent="0.35"/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53125" defaultRowHeight="15" customHeight="1" x14ac:dyDescent="0.35"/>
  <cols>
    <col min="1" max="1" width="8.6328125" customWidth="1"/>
    <col min="2" max="2" width="24.36328125" customWidth="1"/>
    <col min="3" max="3" width="10.453125" customWidth="1"/>
    <col min="4" max="4" width="13.08984375" customWidth="1"/>
    <col min="5" max="26" width="8.6328125" customWidth="1"/>
  </cols>
  <sheetData>
    <row r="1" spans="1:26" ht="14.25" customHeight="1" x14ac:dyDescent="0.35"/>
    <row r="2" spans="1:26" ht="27" customHeight="1" x14ac:dyDescent="0.55000000000000004">
      <c r="A2" s="56"/>
      <c r="B2" s="57" t="s">
        <v>88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4.25" customHeight="1" x14ac:dyDescent="0.35"/>
    <row r="4" spans="1:26" ht="21.75" customHeight="1" x14ac:dyDescent="0.35">
      <c r="B4" s="58" t="s">
        <v>400</v>
      </c>
      <c r="C4" s="58" t="s">
        <v>60</v>
      </c>
      <c r="D4" s="58" t="s">
        <v>401</v>
      </c>
    </row>
    <row r="5" spans="1:26" ht="18.75" customHeight="1" x14ac:dyDescent="0.35">
      <c r="A5" s="59"/>
      <c r="B5" s="59" t="s">
        <v>87</v>
      </c>
      <c r="C5" s="8">
        <v>1</v>
      </c>
      <c r="D5" s="60">
        <v>0.3</v>
      </c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8.75" customHeight="1" x14ac:dyDescent="0.35">
      <c r="A6" s="59"/>
      <c r="B6" s="59" t="s">
        <v>90</v>
      </c>
      <c r="C6" s="8">
        <v>1</v>
      </c>
      <c r="D6" s="60">
        <v>0.3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8.75" customHeight="1" x14ac:dyDescent="0.35">
      <c r="A7" s="59"/>
      <c r="B7" s="59" t="s">
        <v>92</v>
      </c>
      <c r="C7" s="8" t="s">
        <v>266</v>
      </c>
      <c r="D7" s="60">
        <v>1.8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18.75" customHeight="1" x14ac:dyDescent="0.35">
      <c r="A8" s="59"/>
      <c r="B8" s="59" t="s">
        <v>126</v>
      </c>
      <c r="C8" s="8" t="s">
        <v>266</v>
      </c>
      <c r="D8" s="60">
        <v>0.95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8.75" customHeight="1" x14ac:dyDescent="0.35">
      <c r="A9" s="59"/>
      <c r="B9" s="59" t="s">
        <v>136</v>
      </c>
      <c r="C9" s="8">
        <v>1</v>
      </c>
      <c r="D9" s="60">
        <v>0.3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18.75" customHeight="1" x14ac:dyDescent="0.35">
      <c r="A10" s="59"/>
      <c r="B10" s="59" t="s">
        <v>128</v>
      </c>
      <c r="C10" s="8">
        <v>1</v>
      </c>
      <c r="D10" s="60">
        <v>0.45</v>
      </c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18.75" customHeight="1" x14ac:dyDescent="0.35">
      <c r="A11" s="59"/>
      <c r="B11" s="59" t="s">
        <v>162</v>
      </c>
      <c r="C11" s="8">
        <v>1</v>
      </c>
      <c r="D11" s="60">
        <v>0.3</v>
      </c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18.75" customHeight="1" x14ac:dyDescent="0.35">
      <c r="A12" s="59"/>
      <c r="B12" s="59" t="s">
        <v>181</v>
      </c>
      <c r="C12" s="8">
        <v>1</v>
      </c>
      <c r="D12" s="60">
        <v>0.28000000000000003</v>
      </c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ht="18.75" customHeight="1" x14ac:dyDescent="0.35">
      <c r="A13" s="59"/>
      <c r="B13" s="59" t="s">
        <v>217</v>
      </c>
      <c r="C13" s="8">
        <v>1</v>
      </c>
      <c r="D13" s="60">
        <v>0.3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ht="18.75" customHeight="1" x14ac:dyDescent="0.35">
      <c r="A14" s="59"/>
      <c r="B14" s="59" t="s">
        <v>229</v>
      </c>
      <c r="C14" s="8">
        <v>1</v>
      </c>
      <c r="D14" s="60">
        <v>0.3</v>
      </c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ht="18.75" customHeight="1" x14ac:dyDescent="0.35">
      <c r="A15" s="59"/>
      <c r="B15" s="59" t="s">
        <v>190</v>
      </c>
      <c r="C15" s="8" t="s">
        <v>266</v>
      </c>
      <c r="D15" s="60">
        <v>0.45</v>
      </c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51180555555555596" right="0.51180555555555596" top="0.78749999999999998" bottom="0.78749999999999998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53125" defaultRowHeight="15" customHeight="1" x14ac:dyDescent="0.35"/>
  <cols>
    <col min="1" max="1" width="8.6328125" customWidth="1"/>
    <col min="2" max="2" width="18.08984375" customWidth="1"/>
    <col min="3" max="3" width="24.08984375" customWidth="1"/>
    <col min="4" max="4" width="10.453125" customWidth="1"/>
    <col min="5" max="5" width="13.90625" customWidth="1"/>
    <col min="6" max="26" width="8.6328125" customWidth="1"/>
  </cols>
  <sheetData>
    <row r="1" spans="1:26" ht="14.25" customHeight="1" x14ac:dyDescent="0.35"/>
    <row r="2" spans="1:26" ht="27" customHeight="1" x14ac:dyDescent="0.55000000000000004">
      <c r="A2" s="56"/>
      <c r="B2" s="57" t="s">
        <v>71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4.25" customHeight="1" x14ac:dyDescent="0.35"/>
    <row r="4" spans="1:26" ht="14.25" customHeight="1" x14ac:dyDescent="0.35">
      <c r="B4" s="58" t="s">
        <v>400</v>
      </c>
      <c r="C4" s="58" t="s">
        <v>402</v>
      </c>
      <c r="D4" s="58" t="s">
        <v>60</v>
      </c>
      <c r="E4" s="58" t="s">
        <v>401</v>
      </c>
    </row>
    <row r="5" spans="1:26" ht="14.25" customHeight="1" x14ac:dyDescent="0.35">
      <c r="B5" s="59" t="s">
        <v>70</v>
      </c>
      <c r="C5" s="7" t="s">
        <v>72</v>
      </c>
      <c r="D5" s="8">
        <v>2</v>
      </c>
      <c r="E5" s="60">
        <v>0.35</v>
      </c>
    </row>
    <row r="6" spans="1:26" ht="14.25" customHeight="1" x14ac:dyDescent="0.35">
      <c r="B6" s="83" t="s">
        <v>78</v>
      </c>
      <c r="D6" s="7">
        <v>2</v>
      </c>
      <c r="E6" s="61">
        <v>0.4</v>
      </c>
    </row>
    <row r="7" spans="1:26" ht="14.25" customHeight="1" x14ac:dyDescent="0.35">
      <c r="B7" s="82"/>
      <c r="C7" s="7" t="s">
        <v>80</v>
      </c>
      <c r="D7" s="7" t="s">
        <v>266</v>
      </c>
      <c r="E7" s="61">
        <v>0.37</v>
      </c>
    </row>
    <row r="8" spans="1:26" ht="14.25" customHeight="1" x14ac:dyDescent="0.35">
      <c r="B8" s="16" t="s">
        <v>84</v>
      </c>
      <c r="C8" s="7"/>
      <c r="D8" s="7">
        <v>2</v>
      </c>
      <c r="E8" s="61">
        <v>0.6</v>
      </c>
    </row>
    <row r="9" spans="1:26" ht="14.25" customHeight="1" x14ac:dyDescent="0.35">
      <c r="B9" s="16" t="s">
        <v>89</v>
      </c>
      <c r="C9" s="7"/>
      <c r="D9" s="7" t="s">
        <v>266</v>
      </c>
      <c r="E9" s="61">
        <v>0.27</v>
      </c>
    </row>
    <row r="10" spans="1:26" ht="14.25" customHeight="1" x14ac:dyDescent="0.35">
      <c r="B10" s="16" t="s">
        <v>85</v>
      </c>
      <c r="C10" s="7" t="s">
        <v>86</v>
      </c>
      <c r="D10" s="7" t="s">
        <v>266</v>
      </c>
      <c r="E10" s="61">
        <v>1.2</v>
      </c>
    </row>
    <row r="11" spans="1:26" ht="14.25" customHeight="1" x14ac:dyDescent="0.35">
      <c r="B11" s="83" t="s">
        <v>92</v>
      </c>
      <c r="C11" s="7" t="s">
        <v>403</v>
      </c>
      <c r="D11" s="7" t="s">
        <v>266</v>
      </c>
      <c r="E11" s="61">
        <v>4.0999999999999996</v>
      </c>
    </row>
    <row r="12" spans="1:26" ht="14.25" customHeight="1" x14ac:dyDescent="0.35">
      <c r="B12" s="82"/>
      <c r="C12" s="7" t="s">
        <v>404</v>
      </c>
      <c r="D12" s="7" t="s">
        <v>266</v>
      </c>
      <c r="E12" s="61">
        <v>1.2</v>
      </c>
    </row>
    <row r="13" spans="1:26" ht="14.25" customHeight="1" x14ac:dyDescent="0.35">
      <c r="B13" s="83" t="s">
        <v>128</v>
      </c>
      <c r="C13" s="7"/>
      <c r="D13" s="7">
        <v>2</v>
      </c>
      <c r="E13" s="61">
        <v>0.65</v>
      </c>
    </row>
    <row r="14" spans="1:26" ht="14.25" customHeight="1" x14ac:dyDescent="0.35">
      <c r="B14" s="82"/>
      <c r="C14" s="7" t="s">
        <v>131</v>
      </c>
      <c r="D14" s="7" t="s">
        <v>266</v>
      </c>
      <c r="E14" s="61">
        <v>0.75</v>
      </c>
    </row>
    <row r="15" spans="1:26" ht="14.25" customHeight="1" x14ac:dyDescent="0.35">
      <c r="B15" s="82"/>
      <c r="C15" s="7" t="s">
        <v>132</v>
      </c>
      <c r="D15" s="7">
        <v>1</v>
      </c>
      <c r="E15" s="61">
        <v>0.5</v>
      </c>
    </row>
    <row r="16" spans="1:26" ht="14.25" customHeight="1" x14ac:dyDescent="0.35">
      <c r="B16" s="82"/>
      <c r="C16" s="7" t="s">
        <v>133</v>
      </c>
      <c r="D16" s="7" t="s">
        <v>266</v>
      </c>
      <c r="E16" s="61">
        <v>0.75</v>
      </c>
    </row>
    <row r="17" spans="2:5" ht="14.25" customHeight="1" x14ac:dyDescent="0.35">
      <c r="B17" s="16" t="s">
        <v>135</v>
      </c>
      <c r="C17" s="7"/>
      <c r="D17" s="7">
        <v>1</v>
      </c>
      <c r="E17" s="61">
        <v>1.4</v>
      </c>
    </row>
    <row r="18" spans="2:5" ht="14.25" customHeight="1" x14ac:dyDescent="0.35">
      <c r="B18" s="16" t="s">
        <v>156</v>
      </c>
      <c r="C18" s="7"/>
      <c r="D18" s="7">
        <v>3</v>
      </c>
      <c r="E18" s="61">
        <v>0.75</v>
      </c>
    </row>
    <row r="19" spans="2:5" ht="14.25" customHeight="1" x14ac:dyDescent="0.35">
      <c r="B19" s="83" t="s">
        <v>138</v>
      </c>
      <c r="C19" s="7"/>
      <c r="D19" s="7">
        <v>1</v>
      </c>
      <c r="E19" s="61">
        <v>0.3</v>
      </c>
    </row>
    <row r="20" spans="2:5" ht="14.25" customHeight="1" x14ac:dyDescent="0.35">
      <c r="B20" s="82"/>
      <c r="C20" s="7"/>
      <c r="D20" s="7">
        <v>2</v>
      </c>
      <c r="E20" s="61">
        <v>0.5</v>
      </c>
    </row>
    <row r="21" spans="2:5" ht="14.25" customHeight="1" x14ac:dyDescent="0.35">
      <c r="B21" s="83" t="s">
        <v>181</v>
      </c>
      <c r="C21" s="7"/>
      <c r="D21" s="7">
        <v>1</v>
      </c>
      <c r="E21" s="61">
        <v>0.3</v>
      </c>
    </row>
    <row r="22" spans="2:5" ht="14.25" customHeight="1" x14ac:dyDescent="0.35">
      <c r="B22" s="82"/>
      <c r="C22" s="7"/>
      <c r="D22" s="7">
        <v>2</v>
      </c>
      <c r="E22" s="61">
        <v>0.5</v>
      </c>
    </row>
    <row r="23" spans="2:5" ht="14.25" customHeight="1" x14ac:dyDescent="0.35">
      <c r="B23" s="83" t="s">
        <v>217</v>
      </c>
      <c r="C23" s="7" t="s">
        <v>219</v>
      </c>
      <c r="D23" s="7" t="s">
        <v>266</v>
      </c>
      <c r="E23" s="61">
        <v>0.8</v>
      </c>
    </row>
    <row r="24" spans="2:5" ht="14.25" customHeight="1" x14ac:dyDescent="0.35">
      <c r="B24" s="82"/>
      <c r="C24" s="7" t="s">
        <v>405</v>
      </c>
      <c r="D24" s="7" t="s">
        <v>266</v>
      </c>
      <c r="E24" s="61">
        <v>1.1000000000000001</v>
      </c>
    </row>
    <row r="25" spans="2:5" ht="14.25" customHeight="1" x14ac:dyDescent="0.35">
      <c r="B25" s="82"/>
      <c r="C25" s="7" t="s">
        <v>222</v>
      </c>
      <c r="D25" s="7" t="s">
        <v>266</v>
      </c>
      <c r="E25" s="61">
        <v>0.7</v>
      </c>
    </row>
    <row r="26" spans="2:5" ht="14.25" customHeight="1" x14ac:dyDescent="0.35">
      <c r="B26" s="82"/>
      <c r="C26" s="7" t="s">
        <v>86</v>
      </c>
      <c r="D26" s="7" t="s">
        <v>266</v>
      </c>
      <c r="E26" s="61">
        <v>0.7</v>
      </c>
    </row>
    <row r="27" spans="2:5" ht="14.25" customHeight="1" x14ac:dyDescent="0.35">
      <c r="B27" s="83" t="s">
        <v>227</v>
      </c>
      <c r="C27" s="7"/>
      <c r="D27" s="7">
        <v>2</v>
      </c>
      <c r="E27" s="61">
        <v>0.5</v>
      </c>
    </row>
    <row r="28" spans="2:5" ht="14.25" customHeight="1" x14ac:dyDescent="0.35">
      <c r="B28" s="82"/>
      <c r="C28" s="7"/>
      <c r="D28" s="7">
        <v>3</v>
      </c>
      <c r="E28" s="30">
        <v>0.7</v>
      </c>
    </row>
    <row r="29" spans="2:5" ht="14.25" customHeight="1" x14ac:dyDescent="0.35">
      <c r="B29" s="16" t="s">
        <v>49</v>
      </c>
      <c r="C29" s="7"/>
      <c r="D29" s="7">
        <v>2</v>
      </c>
      <c r="E29" s="30">
        <v>0.65</v>
      </c>
    </row>
    <row r="30" spans="2:5" ht="14.25" customHeight="1" x14ac:dyDescent="0.35">
      <c r="B30" s="16" t="s">
        <v>229</v>
      </c>
      <c r="C30" s="7"/>
      <c r="D30" s="7">
        <v>3</v>
      </c>
      <c r="E30" s="61">
        <v>0.75</v>
      </c>
    </row>
    <row r="31" spans="2:5" ht="14.25" customHeight="1" x14ac:dyDescent="0.35"/>
    <row r="32" spans="2:5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B23:B26"/>
    <mergeCell ref="B27:B28"/>
    <mergeCell ref="B6:B7"/>
    <mergeCell ref="B11:B12"/>
    <mergeCell ref="B13:B16"/>
    <mergeCell ref="B19:B20"/>
    <mergeCell ref="B21:B22"/>
  </mergeCells>
  <pageMargins left="0.51180555555555596" right="0.51180555555555596" top="0.78749999999999998" bottom="0.78749999999999998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53125" defaultRowHeight="15" customHeight="1" x14ac:dyDescent="0.35"/>
  <cols>
    <col min="1" max="1" width="8.6328125" customWidth="1"/>
    <col min="2" max="2" width="20" customWidth="1"/>
    <col min="3" max="3" width="19.08984375" customWidth="1"/>
    <col min="4" max="4" width="10.453125" customWidth="1"/>
    <col min="5" max="5" width="13" customWidth="1"/>
    <col min="6" max="7" width="8.6328125" customWidth="1"/>
    <col min="8" max="8" width="18.90625" customWidth="1"/>
    <col min="9" max="9" width="13.6328125" customWidth="1"/>
    <col min="10" max="26" width="8.6328125" customWidth="1"/>
  </cols>
  <sheetData>
    <row r="1" spans="1:26" ht="14.25" customHeight="1" x14ac:dyDescent="0.35"/>
    <row r="2" spans="1:26" ht="27" customHeight="1" x14ac:dyDescent="0.55000000000000004">
      <c r="A2" s="56"/>
      <c r="B2" s="57" t="s">
        <v>101</v>
      </c>
      <c r="C2" s="56"/>
      <c r="D2" s="56"/>
      <c r="E2" s="56"/>
      <c r="F2" s="56"/>
      <c r="G2" s="56"/>
      <c r="H2" s="57" t="s">
        <v>406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4.25" customHeight="1" x14ac:dyDescent="0.35"/>
    <row r="4" spans="1:26" ht="17.25" customHeight="1" x14ac:dyDescent="0.35">
      <c r="B4" s="58" t="s">
        <v>400</v>
      </c>
      <c r="C4" s="58" t="s">
        <v>402</v>
      </c>
      <c r="D4" s="58" t="s">
        <v>60</v>
      </c>
      <c r="E4" s="58" t="s">
        <v>401</v>
      </c>
      <c r="H4" s="58" t="s">
        <v>400</v>
      </c>
      <c r="I4" s="58" t="s">
        <v>407</v>
      </c>
      <c r="J4" s="58"/>
    </row>
    <row r="5" spans="1:26" ht="17.25" customHeight="1" x14ac:dyDescent="0.35">
      <c r="B5" s="16" t="s">
        <v>137</v>
      </c>
      <c r="C5" s="7"/>
      <c r="D5" s="8">
        <v>1</v>
      </c>
      <c r="E5" s="60">
        <v>0.3</v>
      </c>
      <c r="H5" s="16" t="s">
        <v>67</v>
      </c>
      <c r="I5" s="61">
        <v>10.5</v>
      </c>
      <c r="J5" s="8"/>
      <c r="K5" s="60"/>
    </row>
    <row r="6" spans="1:26" ht="17.25" customHeight="1" x14ac:dyDescent="0.35">
      <c r="B6" s="16" t="s">
        <v>181</v>
      </c>
      <c r="C6" s="7"/>
      <c r="D6" s="7" t="s">
        <v>266</v>
      </c>
      <c r="E6" s="61">
        <v>0.77</v>
      </c>
      <c r="H6" s="16" t="s">
        <v>90</v>
      </c>
      <c r="I6" s="30">
        <v>10.5</v>
      </c>
    </row>
    <row r="7" spans="1:26" ht="17.25" customHeight="1" x14ac:dyDescent="0.35">
      <c r="B7" s="83" t="s">
        <v>217</v>
      </c>
      <c r="C7" s="7"/>
      <c r="D7" s="7" t="s">
        <v>266</v>
      </c>
      <c r="E7" s="61">
        <v>0.5</v>
      </c>
      <c r="H7" s="16" t="s">
        <v>128</v>
      </c>
      <c r="I7" s="30">
        <v>10.5</v>
      </c>
    </row>
    <row r="8" spans="1:26" ht="17.25" customHeight="1" x14ac:dyDescent="0.35">
      <c r="B8" s="82"/>
      <c r="C8" s="7" t="s">
        <v>223</v>
      </c>
      <c r="D8" s="7" t="s">
        <v>266</v>
      </c>
      <c r="E8" s="61">
        <v>0.8</v>
      </c>
      <c r="F8" s="7"/>
      <c r="H8" s="16" t="s">
        <v>230</v>
      </c>
      <c r="I8" s="30">
        <v>10.5</v>
      </c>
    </row>
    <row r="9" spans="1:26" ht="17.25" customHeight="1" x14ac:dyDescent="0.35">
      <c r="B9" s="16" t="s">
        <v>231</v>
      </c>
      <c r="C9" s="7"/>
      <c r="D9" s="7" t="s">
        <v>266</v>
      </c>
      <c r="E9" s="61">
        <v>0.5</v>
      </c>
      <c r="F9" s="7"/>
    </row>
    <row r="10" spans="1:26" ht="14.25" customHeight="1" x14ac:dyDescent="0.35"/>
    <row r="11" spans="1:26" ht="14.25" customHeight="1" x14ac:dyDescent="0.35"/>
    <row r="12" spans="1:26" ht="14.25" customHeight="1" x14ac:dyDescent="0.35"/>
    <row r="13" spans="1:26" ht="14.25" customHeight="1" x14ac:dyDescent="0.35"/>
    <row r="14" spans="1:26" ht="14.25" customHeight="1" x14ac:dyDescent="0.35"/>
    <row r="15" spans="1:26" ht="14.25" customHeight="1" x14ac:dyDescent="0.35"/>
    <row r="16" spans="1:2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B7:B8"/>
  </mergeCells>
  <pageMargins left="0.51180555555555596" right="0.51180555555555596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2021</vt:lpstr>
      <vt:lpstr>2022-2023</vt:lpstr>
      <vt:lpstr>2024</vt:lpstr>
      <vt:lpstr>2025</vt:lpstr>
      <vt:lpstr>2026</vt:lpstr>
      <vt:lpstr>Planilha1</vt:lpstr>
      <vt:lpstr>Custos insumos</vt:lpstr>
      <vt:lpstr>Eficiencias</vt:lpstr>
      <vt:lpstr>Peletizar</vt:lpstr>
      <vt:lpstr>Flanelar</vt:lpstr>
      <vt:lpstr>Calandrar + Malha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rosana terezinha moura leite</cp:lastModifiedBy>
  <dcterms:created xsi:type="dcterms:W3CDTF">2016-02-25T16:05:46Z</dcterms:created>
  <dcterms:modified xsi:type="dcterms:W3CDTF">2026-03-26T15:05:54Z</dcterms:modified>
</cp:coreProperties>
</file>